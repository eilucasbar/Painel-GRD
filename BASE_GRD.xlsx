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SE DE DADOS" sheetId="1" state="visible" r:id="rId3"/>
    <sheet name="LEIA-ME" sheetId="2" state="visible" r:id="rId4"/>
  </sheets>
  <definedNames>
    <definedName function="false" hidden="true" localSheetId="0" name="_xlnm._FilterDatabase" vbProcedure="false">'BASE DE DADOS'!$A$1:$CR$397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<sst xmlns="http://schemas.openxmlformats.org/spreadsheetml/2006/main" count="4064" uniqueCount="216">
  <si>
    <t xml:space="preserve">Grupo</t>
  </si>
  <si>
    <t xml:space="preserve">Gerencia</t>
  </si>
  <si>
    <t xml:space="preserve">Área</t>
  </si>
  <si>
    <t xml:space="preserve">Nome</t>
  </si>
  <si>
    <t xml:space="preserve">Concat</t>
  </si>
  <si>
    <t xml:space="preserve">Sentido</t>
  </si>
  <si>
    <t xml:space="preserve">Objetivos Estratégicos</t>
  </si>
  <si>
    <t xml:space="preserve">Iniciativas/Ações</t>
  </si>
  <si>
    <t xml:space="preserve">Seta</t>
  </si>
  <si>
    <t xml:space="preserve">Peso</t>
  </si>
  <si>
    <t xml:space="preserve">Unidade de Medida</t>
  </si>
  <si>
    <t xml:space="preserve">Meta jan/26</t>
  </si>
  <si>
    <t xml:space="preserve">Real jan/26</t>
  </si>
  <si>
    <t xml:space="preserve">Desvio MTD jan/26</t>
  </si>
  <si>
    <t xml:space="preserve">Enquad. Jan</t>
  </si>
  <si>
    <t xml:space="preserve">Meta fev/26</t>
  </si>
  <si>
    <t xml:space="preserve">Real fev/26</t>
  </si>
  <si>
    <t xml:space="preserve">Desvio MTD fev/26</t>
  </si>
  <si>
    <t xml:space="preserve">Enquad. Fev</t>
  </si>
  <si>
    <t xml:space="preserve">Meta mar/26</t>
  </si>
  <si>
    <t xml:space="preserve">Real mar/26</t>
  </si>
  <si>
    <t xml:space="preserve">Desvio MTD mar/26</t>
  </si>
  <si>
    <t xml:space="preserve">Enquad. Mar</t>
  </si>
  <si>
    <t xml:space="preserve">Meta abr/26</t>
  </si>
  <si>
    <t xml:space="preserve">Real abr/26</t>
  </si>
  <si>
    <t xml:space="preserve">Desvio MTD abr/26</t>
  </si>
  <si>
    <t xml:space="preserve">Enquad. Abr</t>
  </si>
  <si>
    <t xml:space="preserve">Meta YTD abr/26</t>
  </si>
  <si>
    <t xml:space="preserve">Real YTD abr/26</t>
  </si>
  <si>
    <t xml:space="preserve">Desvio YTD abr/26</t>
  </si>
  <si>
    <t xml:space="preserve">Enquad. YTD Abr</t>
  </si>
  <si>
    <t xml:space="preserve">Meta mai/26</t>
  </si>
  <si>
    <t xml:space="preserve">Real mai/26</t>
  </si>
  <si>
    <t xml:space="preserve">Desvio MTD mai/26</t>
  </si>
  <si>
    <t xml:space="preserve">Enquad. Mai</t>
  </si>
  <si>
    <t xml:space="preserve">Meta YTD mai/26</t>
  </si>
  <si>
    <t xml:space="preserve">Real YTD mai/26</t>
  </si>
  <si>
    <t xml:space="preserve">Desvio YTD mai/26</t>
  </si>
  <si>
    <t xml:space="preserve">Enquad. YTD Mai</t>
  </si>
  <si>
    <t xml:space="preserve">Meta jun/26</t>
  </si>
  <si>
    <t xml:space="preserve">Real jun/26</t>
  </si>
  <si>
    <t xml:space="preserve">Desvio MTD jun/26</t>
  </si>
  <si>
    <t xml:space="preserve">Enquad. Jun</t>
  </si>
  <si>
    <t xml:space="preserve">Meta YTD jun/26</t>
  </si>
  <si>
    <t xml:space="preserve">Real YTD jun/26</t>
  </si>
  <si>
    <t xml:space="preserve">Desvio YTD jun/26</t>
  </si>
  <si>
    <t xml:space="preserve">Enquad. YTD Jun</t>
  </si>
  <si>
    <t xml:space="preserve">Meta jul/26</t>
  </si>
  <si>
    <t xml:space="preserve">Real jul/26</t>
  </si>
  <si>
    <t xml:space="preserve">Desvio MTD jul/26</t>
  </si>
  <si>
    <t xml:space="preserve">Enquad. Jul</t>
  </si>
  <si>
    <t xml:space="preserve">Meta YTD jul/26</t>
  </si>
  <si>
    <t xml:space="preserve">Real YTD jul/26</t>
  </si>
  <si>
    <t xml:space="preserve">Desvio YTD jul/26</t>
  </si>
  <si>
    <t xml:space="preserve">Enquad. YTD Jul</t>
  </si>
  <si>
    <t xml:space="preserve">Meta ago/26</t>
  </si>
  <si>
    <t xml:space="preserve">Real ago/26</t>
  </si>
  <si>
    <t xml:space="preserve">Desvio MTD ago/26</t>
  </si>
  <si>
    <t xml:space="preserve">Enquad. Ago</t>
  </si>
  <si>
    <t xml:space="preserve">Meta YTD ago/26</t>
  </si>
  <si>
    <t xml:space="preserve">Real YTD ago/26</t>
  </si>
  <si>
    <t xml:space="preserve">Desvio YTD ago/26</t>
  </si>
  <si>
    <t xml:space="preserve">Enquad. YTD Ago</t>
  </si>
  <si>
    <t xml:space="preserve">Meta set/26</t>
  </si>
  <si>
    <t xml:space="preserve">Real set/26</t>
  </si>
  <si>
    <t xml:space="preserve">Desvio MTD set/26</t>
  </si>
  <si>
    <t xml:space="preserve">Enquad. Set</t>
  </si>
  <si>
    <t xml:space="preserve">Meta YTD set/26</t>
  </si>
  <si>
    <t xml:space="preserve">Real YTD set/26</t>
  </si>
  <si>
    <t xml:space="preserve">Desvio YTD set/26</t>
  </si>
  <si>
    <t xml:space="preserve">Enquad. YTD Set</t>
  </si>
  <si>
    <t xml:space="preserve">Meta out/26</t>
  </si>
  <si>
    <t xml:space="preserve">Real out/26</t>
  </si>
  <si>
    <t xml:space="preserve">Desvio MTD out/26</t>
  </si>
  <si>
    <t xml:space="preserve">Enquad. Out</t>
  </si>
  <si>
    <t xml:space="preserve">Meta YTD out/26</t>
  </si>
  <si>
    <t xml:space="preserve">Real YTD out/26</t>
  </si>
  <si>
    <t xml:space="preserve">Desvio YTD out/26</t>
  </si>
  <si>
    <t xml:space="preserve">Enquad. YTD Out</t>
  </si>
  <si>
    <t xml:space="preserve">Meta nov/26</t>
  </si>
  <si>
    <t xml:space="preserve">Real nov/26</t>
  </si>
  <si>
    <t xml:space="preserve">Desvio MTD nov/26</t>
  </si>
  <si>
    <t xml:space="preserve">Enquad. Nov</t>
  </si>
  <si>
    <t xml:space="preserve">Meta YTD nov/26</t>
  </si>
  <si>
    <t xml:space="preserve">Real YTD nov/26</t>
  </si>
  <si>
    <t xml:space="preserve">Desvio YTD nov/26</t>
  </si>
  <si>
    <t xml:space="preserve">Enquad. YTD Nov</t>
  </si>
  <si>
    <t xml:space="preserve">Meta dez/26</t>
  </si>
  <si>
    <t xml:space="preserve">Real dez/26</t>
  </si>
  <si>
    <t xml:space="preserve">Desvio MTD dez/26</t>
  </si>
  <si>
    <t xml:space="preserve">Enquad. Dez</t>
  </si>
  <si>
    <t xml:space="preserve">Meta YTD dez/26</t>
  </si>
  <si>
    <t xml:space="preserve">Real YTD dez/26</t>
  </si>
  <si>
    <t xml:space="preserve">Desvio YTD dez/26</t>
  </si>
  <si>
    <t xml:space="preserve">Enquad. YTD Dez</t>
  </si>
  <si>
    <t xml:space="preserve">FOCAL DO PROCESSO NA UNIDADE</t>
  </si>
  <si>
    <t xml:space="preserve">GRUPO EFICIÊNCIA OPERACIONAL</t>
  </si>
  <si>
    <t xml:space="preserve">Centro Oeste</t>
  </si>
  <si>
    <t xml:space="preserve">Gerência Centro Oeste</t>
  </si>
  <si>
    <t xml:space="preserve">Aderência da carteira Comercial (Próprio)</t>
  </si>
  <si>
    <t xml:space="preserve">Maior Melhor</t>
  </si>
  <si>
    <t xml:space="preserve">Aumentar Aderencia da Carteira</t>
  </si>
  <si>
    <t xml:space="preserve">Pendente Preenchimento</t>
  </si>
  <si>
    <t xml:space="preserve">↑</t>
  </si>
  <si>
    <t xml:space="preserve">%</t>
  </si>
  <si>
    <t xml:space="preserve">PREENCHER</t>
  </si>
  <si>
    <t xml:space="preserve">Oeste</t>
  </si>
  <si>
    <t xml:space="preserve">Gerência Oeste</t>
  </si>
  <si>
    <t xml:space="preserve">Sudoeste</t>
  </si>
  <si>
    <t xml:space="preserve">Gerência Sudoeste</t>
  </si>
  <si>
    <t xml:space="preserve">Sup Oeste</t>
  </si>
  <si>
    <t xml:space="preserve">UTD BARREIRAS</t>
  </si>
  <si>
    <t xml:space="preserve">TIAGO OLIVEIRA</t>
  </si>
  <si>
    <t xml:space="preserve">UTD BOM JESUS DA LAPA</t>
  </si>
  <si>
    <t xml:space="preserve">JOSEANE CUNHA</t>
  </si>
  <si>
    <t xml:space="preserve">UTD BRUMADO</t>
  </si>
  <si>
    <t xml:space="preserve">JOSSILEI CORREIA</t>
  </si>
  <si>
    <t xml:space="preserve">UTD GUANAMBI</t>
  </si>
  <si>
    <t xml:space="preserve">UTD IBOTIRAMA</t>
  </si>
  <si>
    <t xml:space="preserve">Preenchido</t>
  </si>
  <si>
    <t xml:space="preserve">QUEZIA LORRANE</t>
  </si>
  <si>
    <t xml:space="preserve">UTD IRECÊ</t>
  </si>
  <si>
    <t xml:space="preserve">UTD ITABERABA</t>
  </si>
  <si>
    <t xml:space="preserve">Jean Carlos</t>
  </si>
  <si>
    <t xml:space="preserve">UTD ITAPETINGA</t>
  </si>
  <si>
    <t xml:space="preserve">UTD JEQUIÉ</t>
  </si>
  <si>
    <t xml:space="preserve">UTD LIVRAMENTO DE NOSSA SENHORA</t>
  </si>
  <si>
    <t xml:space="preserve">UTD LUIS EDUARDO MAGALHAES</t>
  </si>
  <si>
    <t xml:space="preserve">UTD SANTA MARIA DA VITORIA</t>
  </si>
  <si>
    <t xml:space="preserve">BRENDA</t>
  </si>
  <si>
    <t xml:space="preserve">UTD SEABRA</t>
  </si>
  <si>
    <t xml:space="preserve">UTD VITORIA DA CONQUISTA</t>
  </si>
  <si>
    <t xml:space="preserve">Aderência do medidor e ramal</t>
  </si>
  <si>
    <t xml:space="preserve">Aumentar Aderencia do medidor</t>
  </si>
  <si>
    <t xml:space="preserve">MAYARA DO VALE DA SILVA</t>
  </si>
  <si>
    <t xml:space="preserve">Diogo Mateus</t>
  </si>
  <si>
    <t xml:space="preserve">Avanço físico da carteira de manutenção</t>
  </si>
  <si>
    <t xml:space="preserve">Aumentar a Aderencia a carteira</t>
  </si>
  <si>
    <t xml:space="preserve">CAIQUE</t>
  </si>
  <si>
    <t xml:space="preserve">WIBSON DA COSTA SILVA</t>
  </si>
  <si>
    <t xml:space="preserve">LUCAS LOBO</t>
  </si>
  <si>
    <t xml:space="preserve">ALISON OLIVEIRA DOS SANTOS</t>
  </si>
  <si>
    <t xml:space="preserve">Danilo Eleutério</t>
  </si>
  <si>
    <t xml:space="preserve">LEONEL </t>
  </si>
  <si>
    <t xml:space="preserve">GRUPO SEGURANÇA</t>
  </si>
  <si>
    <t xml:space="preserve">Blitz da CIPA</t>
  </si>
  <si>
    <t xml:space="preserve">Aumentar qnt de Blitz</t>
  </si>
  <si>
    <t xml:space="preserve">Inteiro</t>
  </si>
  <si>
    <t xml:space="preserve">ANTONIO AMERICO</t>
  </si>
  <si>
    <t xml:space="preserve">CAIO LÍVIO</t>
  </si>
  <si>
    <t xml:space="preserve">MATHEUS VILELA NOVAES</t>
  </si>
  <si>
    <t xml:space="preserve">GRUPO ECONÔMICO FINANCEIRO</t>
  </si>
  <si>
    <t xml:space="preserve">Captação de pastas - UTD</t>
  </si>
  <si>
    <t xml:space="preserve">Aumentar Captação de pastas</t>
  </si>
  <si>
    <t xml:space="preserve">SILAS FREITAS MENEZES PEREIRA</t>
  </si>
  <si>
    <t xml:space="preserve">Comportamento seguro</t>
  </si>
  <si>
    <t xml:space="preserve">Aumentar Comportamento Seguro</t>
  </si>
  <si>
    <t xml:space="preserve">GISELLI</t>
  </si>
  <si>
    <t xml:space="preserve">HERBETH</t>
  </si>
  <si>
    <t xml:space="preserve">Diogenes Avelino</t>
  </si>
  <si>
    <t xml:space="preserve">DIEGO</t>
  </si>
  <si>
    <t xml:space="preserve">GRUPO SATISFAÇÃO DO CLIENTE</t>
  </si>
  <si>
    <t xml:space="preserve">CSAT - UTDs</t>
  </si>
  <si>
    <t xml:space="preserve">Aumentar CSAT</t>
  </si>
  <si>
    <t xml:space="preserve">Vânia Santos</t>
  </si>
  <si>
    <t xml:space="preserve">JORGE LEITE </t>
  </si>
  <si>
    <t xml:space="preserve">Desvio de Telemetria</t>
  </si>
  <si>
    <t xml:space="preserve">Menor Melhor</t>
  </si>
  <si>
    <t xml:space="preserve">Diminuir desvios de telemetria</t>
  </si>
  <si>
    <t xml:space="preserve">↓</t>
  </si>
  <si>
    <t xml:space="preserve">Efetividade Financeira do Corte (EFC) - UTDs</t>
  </si>
  <si>
    <t xml:space="preserve">Aumentar Eficacia do Corte</t>
  </si>
  <si>
    <t xml:space="preserve">GRUPO CONTROLE DE ATIVOS</t>
  </si>
  <si>
    <t xml:space="preserve">Eficiência do uso de medidores - EMED - UTDs</t>
  </si>
  <si>
    <t xml:space="preserve">Aumentar Eficiencia dos Medidores</t>
  </si>
  <si>
    <t xml:space="preserve">UELITON</t>
  </si>
  <si>
    <t xml:space="preserve">EGE</t>
  </si>
  <si>
    <t xml:space="preserve">Diminuir EGE Global</t>
  </si>
  <si>
    <t xml:space="preserve">DANILO SILVA ECA</t>
  </si>
  <si>
    <t xml:space="preserve">Improdutividade de notas comercias reguladas (Conexão)</t>
  </si>
  <si>
    <t xml:space="preserve">Diminuir Improdutividade Comercial</t>
  </si>
  <si>
    <t xml:space="preserve">Ligação Nova Atendida na primeira visita</t>
  </si>
  <si>
    <t xml:space="preserve">Aumentar ILPV</t>
  </si>
  <si>
    <t xml:space="preserve">Mídias Negativas</t>
  </si>
  <si>
    <t xml:space="preserve">Diminuir Midias Negativas</t>
  </si>
  <si>
    <t xml:space="preserve">OPEX MSO</t>
  </si>
  <si>
    <t xml:space="preserve">Diminuir OPEX total</t>
  </si>
  <si>
    <t xml:space="preserve">Reais</t>
  </si>
  <si>
    <t xml:space="preserve">Iana/Lucas</t>
  </si>
  <si>
    <t xml:space="preserve">Qualidade do TOI</t>
  </si>
  <si>
    <t xml:space="preserve">Aumentar a qualidade do TOI</t>
  </si>
  <si>
    <t xml:space="preserve">Decimal</t>
  </si>
  <si>
    <t xml:space="preserve">CAIO LIVIO</t>
  </si>
  <si>
    <t xml:space="preserve">HELDER </t>
  </si>
  <si>
    <t xml:space="preserve">Quantidade de notas reguladas Pendentes FP</t>
  </si>
  <si>
    <t xml:space="preserve">Diminuir Notas Pendentes</t>
  </si>
  <si>
    <t xml:space="preserve">Quantidade Física de Horas Extras</t>
  </si>
  <si>
    <t xml:space="preserve">Diminuir pagamento de horas extras</t>
  </si>
  <si>
    <t xml:space="preserve">Horas</t>
  </si>
  <si>
    <t xml:space="preserve">CINTIA PEREIRA </t>
  </si>
  <si>
    <t xml:space="preserve">Serviço atendido no prazo* (Eficácia da Demanda Regulada (Curto Prazo))</t>
  </si>
  <si>
    <t xml:space="preserve">Aumentar Eficacia</t>
  </si>
  <si>
    <t xml:space="preserve">Serviço atendido no prazo* (Eficácia do Plano de Manutenção)</t>
  </si>
  <si>
    <t xml:space="preserve">Aumentar Eficacia PM</t>
  </si>
  <si>
    <t xml:space="preserve">Taxa de Contato PP</t>
  </si>
  <si>
    <t xml:space="preserve">Aumentar Taxa de Contato</t>
  </si>
  <si>
    <t xml:space="preserve">TMAE</t>
  </si>
  <si>
    <t xml:space="preserve">Diminuir TMAE global</t>
  </si>
  <si>
    <t xml:space="preserve">Como atualizar a base</t>
  </si>
  <si>
    <t xml:space="preserve">1. Preencha somente as colunas Meta e Real (letras azuis) do mês novo. As colunas já existem até dez/26 (células amarelas = ainda vazias).</t>
  </si>
  <si>
    <t xml:space="preserve">2. Desvio e Enquadramento (fundo cinza) são fórmulas: não digite nada nelas. Maior Melhor: enquadra se Real ≥ Meta. Menor Melhor: enquadra se Real ≤ Meta.</t>
  </si>
  <si>
    <t xml:space="preserve">3. Colunas YTD (acumulado) existem de abril a dezembro e também são preenchidas com Meta e Real.</t>
  </si>
  <si>
    <t xml:space="preserve">4. Não renomeie os cabeçalhos: o painel HTML reconhece o mês pelo padrão "Meta set/26", "Real set/26", "Meta YTD set/26"... e a aba deve se chamar BASE DE DADOS.</t>
  </si>
  <si>
    <t xml:space="preserve">5. Unidade de Medida "%": Meta e Real em fração (0,85 = 85%). Desvio de indicadores % é em pontos percentuais; nos demais é variação relativa.</t>
  </si>
  <si>
    <t xml:space="preserve">6. Novas linhas (unidade/indicador): copie uma linha existente e copie também as fórmulas de Desvio e Enquadramento.</t>
  </si>
  <si>
    <t xml:space="preserve">Observação: a coluna Concat (E) está oculta; ela apenas junta Área + Nome.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</si>
</sst>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%"/>
    <numFmt numFmtId="166" formatCode="#,##0.00"/>
    <numFmt numFmtId="167" formatCode="#,##0"/>
    <numFmt numFmtId="168" formatCode="0.00"/>
    <numFmt numFmtId="169" formatCode="#,##0.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A443"/>
        <bgColor rgb="FF008080"/>
      </patternFill>
    </fill>
    <fill>
      <patternFill patternType="solid">
        <fgColor rgb="FFEEF4F0"/>
        <bgColor rgb="FFFFF9DB"/>
      </patternFill>
    </fill>
    <fill>
      <patternFill patternType="solid">
        <fgColor rgb="FFFFF9DB"/>
        <bgColor rgb="FFEEF4F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00A44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EEF4F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9DB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DB"/>
      <rgbColor rgb="FFEEF4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44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R39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E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3" min="3" style="0" width="28"/>
    <col collapsed="false" customWidth="true" hidden="false" outlineLevel="0" max="4" min="4" style="0" width="44"/>
    <col collapsed="false" customWidth="true" hidden="true" outlineLevel="0" max="5" min="5" style="0" width="18"/>
    <col collapsed="false" customWidth="true" hidden="false" outlineLevel="0" max="6" min="6" style="0" width="13"/>
    <col collapsed="false" customWidth="true" hidden="false" outlineLevel="0" max="7" min="7" style="0" width="32"/>
    <col collapsed="false" customWidth="true" hidden="false" outlineLevel="0" max="8" min="8" style="0" width="24"/>
    <col collapsed="false" customWidth="true" hidden="false" outlineLevel="0" max="10" min="9" style="0" width="6"/>
    <col collapsed="false" customWidth="true" hidden="false" outlineLevel="0" max="11" min="11" style="0" width="10"/>
    <col collapsed="false" customWidth="true" hidden="false" outlineLevel="0" max="95" min="12" style="0" width="11"/>
    <col collapsed="false" customWidth="true" hidden="false" outlineLevel="0" max="96" min="96" style="0" width="26"/>
  </cols>
  <sheetData>
    <row r="1" customFormat="false" ht="33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</row>
    <row r="2" customFormat="false" ht="15" hidden="false" customHeight="false" outlineLevel="0" collapsed="false">
      <c r="A2" s="2" t="s">
        <v>96</v>
      </c>
      <c r="B2" s="2" t="s">
        <v>97</v>
      </c>
      <c r="C2" s="2" t="s">
        <v>98</v>
      </c>
      <c r="D2" s="2" t="s">
        <v>99</v>
      </c>
      <c r="E2" s="2" t="str">
        <f aca="false">C2&amp;D2</f>
        <v>Gerência Centro OesteAderência da carteira Comercial (Próprio)</v>
      </c>
      <c r="F2" s="2" t="s">
        <v>100</v>
      </c>
      <c r="G2" s="2" t="s">
        <v>101</v>
      </c>
      <c r="H2" s="2" t="s">
        <v>102</v>
      </c>
      <c r="I2" s="2" t="s">
        <v>103</v>
      </c>
      <c r="J2" s="2" t="n">
        <v>1</v>
      </c>
      <c r="K2" s="2" t="s">
        <v>104</v>
      </c>
      <c r="L2" s="3" t="n">
        <v>0.8</v>
      </c>
      <c r="M2" s="3" t="n">
        <v>0.76</v>
      </c>
      <c r="N2" s="4" t="n">
        <f aca="false">IF(OR(L2="",M2=""),"",IFERROR(IF($K2="%",M2-L2,M2/L2-1),""))</f>
        <v>-0.04</v>
      </c>
      <c r="O2" s="5" t="str">
        <f aca="false">IF(OR(L2="",M2=""),"",IF($F2="Maior Melhor",IF(M2&gt;=L2,"Sim","Não"),IF(M2&lt;=L2,"Sim","Não")))</f>
        <v>Não</v>
      </c>
      <c r="P2" s="3" t="n">
        <v>0.8</v>
      </c>
      <c r="Q2" s="3" t="n">
        <v>0.52</v>
      </c>
      <c r="R2" s="4" t="n">
        <f aca="false">IF(OR(P2="",Q2=""),"",IFERROR(IF($K2="%",Q2-P2,Q2/P2-1),""))</f>
        <v>-0.28</v>
      </c>
      <c r="S2" s="5" t="str">
        <f aca="false">IF(OR(P2="",Q2=""),"",IF($F2="Maior Melhor",IF(Q2&gt;=P2,"Sim","Não"),IF(Q2&lt;=P2,"Sim","Não")))</f>
        <v>Não</v>
      </c>
      <c r="T2" s="3" t="n">
        <v>0.8</v>
      </c>
      <c r="U2" s="3" t="n">
        <v>0.64</v>
      </c>
      <c r="V2" s="4" t="n">
        <f aca="false">IF(OR(T2="",U2=""),"",IFERROR(IF($K2="%",U2-T2,U2/T2-1),""))</f>
        <v>-0.16</v>
      </c>
      <c r="W2" s="5" t="str">
        <f aca="false">IF(OR(T2="",U2=""),"",IF($F2="Maior Melhor",IF(U2&gt;=T2,"Sim","Não"),IF(U2&lt;=T2,"Sim","Não")))</f>
        <v>Não</v>
      </c>
      <c r="X2" s="3" t="n">
        <v>0.8</v>
      </c>
      <c r="Y2" s="3" t="n">
        <v>0.85</v>
      </c>
      <c r="Z2" s="4" t="n">
        <f aca="false">IF(OR(X2="",Y2=""),"",IFERROR(IF($K2="%",Y2-X2,Y2/X2-1),""))</f>
        <v>0.0499999999999999</v>
      </c>
      <c r="AA2" s="5" t="str">
        <f aca="false">IF(OR(X2="",Y2=""),"",IF($F2="Maior Melhor",IF(Y2&gt;=X2,"Sim","Não"),IF(Y2&lt;=X2,"Sim","Não")))</f>
        <v>Sim</v>
      </c>
      <c r="AB2" s="3" t="n">
        <v>0.8</v>
      </c>
      <c r="AC2" s="3" t="n">
        <v>0.85</v>
      </c>
      <c r="AD2" s="4" t="n">
        <f aca="false">IF(OR(AB2="",AC2=""),"",IFERROR(IF($K2="%",AC2-AB2,AC2/AB2-1),""))</f>
        <v>0.0499999999999999</v>
      </c>
      <c r="AE2" s="5" t="str">
        <f aca="false">IF(OR(AB2="",AC2=""),"",IF($F2="Maior Melhor",IF(AC2&gt;=AB2,"Sim","Não"),IF(AC2&lt;=AB2,"Sim","Não")))</f>
        <v>Sim</v>
      </c>
      <c r="AF2" s="3" t="n">
        <v>0.8</v>
      </c>
      <c r="AG2" s="3" t="n">
        <v>0.93</v>
      </c>
      <c r="AH2" s="4" t="n">
        <f aca="false">IF(OR(AF2="",AG2=""),"",IFERROR(IF($K2="%",AG2-AF2,AG2/AF2-1),""))</f>
        <v>0.13</v>
      </c>
      <c r="AI2" s="5" t="str">
        <f aca="false">IF(OR(AF2="",AG2=""),"",IF($F2="Maior Melhor",IF(AG2&gt;=AF2,"Sim","Não"),IF(AG2&lt;=AF2,"Sim","Não")))</f>
        <v>Sim</v>
      </c>
      <c r="AJ2" s="3" t="n">
        <v>0.8</v>
      </c>
      <c r="AK2" s="3" t="n">
        <v>0.93</v>
      </c>
      <c r="AL2" s="4" t="n">
        <f aca="false">IF(OR(AJ2="",AK2=""),"",IFERROR(IF($K2="%",AK2-AJ2,AK2/AJ2-1),""))</f>
        <v>0.13</v>
      </c>
      <c r="AM2" s="5" t="str">
        <f aca="false">IF(OR(AJ2="",AK2=""),"",IF($F2="Maior Melhor",IF(AK2&gt;=AJ2,"Sim","Não"),IF(AK2&lt;=AJ2,"Sim","Não")))</f>
        <v>Sim</v>
      </c>
      <c r="AN2" s="3" t="n">
        <v>0.8</v>
      </c>
      <c r="AO2" s="3" t="n">
        <v>0.9</v>
      </c>
      <c r="AP2" s="4" t="n">
        <f aca="false">IF(OR(AN2="",AO2=""),"",IFERROR(IF($K2="%",AO2-AN2,AO2/AN2-1),""))</f>
        <v>0.1</v>
      </c>
      <c r="AQ2" s="5" t="str">
        <f aca="false">IF(OR(AN2="",AO2=""),"",IF($F2="Maior Melhor",IF(AO2&gt;=AN2,"Sim","Não"),IF(AO2&lt;=AN2,"Sim","Não")))</f>
        <v>Sim</v>
      </c>
      <c r="AR2" s="3" t="n">
        <v>0.8</v>
      </c>
      <c r="AS2" s="3" t="n">
        <v>0.9</v>
      </c>
      <c r="AT2" s="4" t="n">
        <f aca="false">IF(OR(AR2="",AS2=""),"",IFERROR(IF($K2="%",AS2-AR2,AS2/AR2-1),""))</f>
        <v>0.1</v>
      </c>
      <c r="AU2" s="5" t="str">
        <f aca="false">IF(OR(AR2="",AS2=""),"",IF($F2="Maior Melhor",IF(AS2&gt;=AR2,"Sim","Não"),IF(AS2&lt;=AR2,"Sim","Não")))</f>
        <v>Sim</v>
      </c>
      <c r="AV2" s="3" t="n">
        <v>0.8</v>
      </c>
      <c r="AW2" s="3" t="n">
        <v>0.93</v>
      </c>
      <c r="AX2" s="4" t="n">
        <f aca="false">IF(OR(AV2="",AW2=""),"",IFERROR(IF($K2="%",AW2-AV2,AW2/AV2-1),""))</f>
        <v>0.13</v>
      </c>
      <c r="AY2" s="5" t="str">
        <f aca="false">IF(OR(AV2="",AW2=""),"",IF($F2="Maior Melhor",IF(AW2&gt;=AV2,"Sim","Não"),IF(AW2&lt;=AV2,"Sim","Não")))</f>
        <v>Sim</v>
      </c>
      <c r="AZ2" s="3" t="n">
        <v>0.8</v>
      </c>
      <c r="BA2" s="3" t="n">
        <v>0.93</v>
      </c>
      <c r="BB2" s="4" t="n">
        <f aca="false">IF(OR(AZ2="",BA2=""),"",IFERROR(IF($K2="%",BA2-AZ2,BA2/AZ2-1),""))</f>
        <v>0.13</v>
      </c>
      <c r="BC2" s="5" t="str">
        <f aca="false">IF(OR(AZ2="",BA2=""),"",IF($F2="Maior Melhor",IF(BA2&gt;=AZ2,"Sim","Não"),IF(BA2&lt;=AZ2,"Sim","Não")))</f>
        <v>Sim</v>
      </c>
      <c r="BD2" s="3" t="n">
        <v>0.8</v>
      </c>
      <c r="BE2" s="3" t="n">
        <v>0.93</v>
      </c>
      <c r="BF2" s="4" t="n">
        <f aca="false">IF(OR(BD2="",BE2=""),"",IFERROR(IF($K2="%",BE2-BD2,BE2/BD2-1),""))</f>
        <v>0.13</v>
      </c>
      <c r="BG2" s="5" t="str">
        <f aca="false">IF(OR(BD2="",BE2=""),"",IF($F2="Maior Melhor",IF(BE2&gt;=BD2,"Sim","Não"),IF(BE2&lt;=BD2,"Sim","Não")))</f>
        <v>Sim</v>
      </c>
      <c r="BH2" s="3" t="n">
        <v>0.8</v>
      </c>
      <c r="BI2" s="3" t="n">
        <v>0.93</v>
      </c>
      <c r="BJ2" s="4" t="n">
        <f aca="false">IF(OR(BH2="",BI2=""),"",IFERROR(IF($K2="%",BI2-BH2,BI2/BH2-1),""))</f>
        <v>0.13</v>
      </c>
      <c r="BK2" s="5" t="str">
        <f aca="false">IF(OR(BH2="",BI2=""),"",IF($F2="Maior Melhor",IF(BI2&gt;=BH2,"Sim","Não"),IF(BI2&lt;=BH2,"Sim","Não")))</f>
        <v>Sim</v>
      </c>
      <c r="BL2" s="6"/>
      <c r="BM2" s="6"/>
      <c r="BN2" s="4" t="str">
        <f aca="false">IF(OR(BL2="",BM2=""),"",IFERROR(IF($K2="%",BM2-BL2,BM2/BL2-1),""))</f>
        <v/>
      </c>
      <c r="BO2" s="5" t="str">
        <f aca="false">IF(OR(BL2="",BM2=""),"",IF($F2="Maior Melhor",IF(BM2&gt;=BL2,"Sim","Não"),IF(BM2&lt;=BL2,"Sim","Não")))</f>
        <v/>
      </c>
      <c r="BP2" s="6"/>
      <c r="BQ2" s="6"/>
      <c r="BR2" s="4" t="str">
        <f aca="false">IF(OR(BP2="",BQ2=""),"",IFERROR(IF($K2="%",BQ2-BP2,BQ2/BP2-1),""))</f>
        <v/>
      </c>
      <c r="BS2" s="5" t="str">
        <f aca="false">IF(OR(BP2="",BQ2=""),"",IF($F2="Maior Melhor",IF(BQ2&gt;=BP2,"Sim","Não"),IF(BQ2&lt;=BP2,"Sim","Não")))</f>
        <v/>
      </c>
      <c r="BT2" s="6"/>
      <c r="BU2" s="6"/>
      <c r="BV2" s="4" t="str">
        <f aca="false">IF(OR(BT2="",BU2=""),"",IFERROR(IF($K2="%",BU2-BT2,BU2/BT2-1),""))</f>
        <v/>
      </c>
      <c r="BW2" s="5" t="str">
        <f aca="false">IF(OR(BT2="",BU2=""),"",IF($F2="Maior Melhor",IF(BU2&gt;=BT2,"Sim","Não"),IF(BU2&lt;=BT2,"Sim","Não")))</f>
        <v/>
      </c>
      <c r="BX2" s="6"/>
      <c r="BY2" s="6"/>
      <c r="BZ2" s="4" t="str">
        <f aca="false">IF(OR(BX2="",BY2=""),"",IFERROR(IF($K2="%",BY2-BX2,BY2/BX2-1),""))</f>
        <v/>
      </c>
      <c r="CA2" s="5" t="str">
        <f aca="false">IF(OR(BX2="",BY2=""),"",IF($F2="Maior Melhor",IF(BY2&gt;=BX2,"Sim","Não"),IF(BY2&lt;=BX2,"Sim","Não")))</f>
        <v/>
      </c>
      <c r="CB2" s="6"/>
      <c r="CC2" s="6"/>
      <c r="CD2" s="4" t="str">
        <f aca="false">IF(OR(CB2="",CC2=""),"",IFERROR(IF($K2="%",CC2-CB2,CC2/CB2-1),""))</f>
        <v/>
      </c>
      <c r="CE2" s="5" t="str">
        <f aca="false">IF(OR(CB2="",CC2=""),"",IF($F2="Maior Melhor",IF(CC2&gt;=CB2,"Sim","Não"),IF(CC2&lt;=CB2,"Sim","Não")))</f>
        <v/>
      </c>
      <c r="CF2" s="6"/>
      <c r="CG2" s="6"/>
      <c r="CH2" s="4" t="str">
        <f aca="false">IF(OR(CF2="",CG2=""),"",IFERROR(IF($K2="%",CG2-CF2,CG2/CF2-1),""))</f>
        <v/>
      </c>
      <c r="CI2" s="5" t="str">
        <f aca="false">IF(OR(CF2="",CG2=""),"",IF($F2="Maior Melhor",IF(CG2&gt;=CF2,"Sim","Não"),IF(CG2&lt;=CF2,"Sim","Não")))</f>
        <v/>
      </c>
      <c r="CJ2" s="6"/>
      <c r="CK2" s="6"/>
      <c r="CL2" s="4" t="str">
        <f aca="false">IF(OR(CJ2="",CK2=""),"",IFERROR(IF($K2="%",CK2-CJ2,CK2/CJ2-1),""))</f>
        <v/>
      </c>
      <c r="CM2" s="5" t="str">
        <f aca="false">IF(OR(CJ2="",CK2=""),"",IF($F2="Maior Melhor",IF(CK2&gt;=CJ2,"Sim","Não"),IF(CK2&lt;=CJ2,"Sim","Não")))</f>
        <v/>
      </c>
      <c r="CN2" s="6"/>
      <c r="CO2" s="6"/>
      <c r="CP2" s="4" t="str">
        <f aca="false">IF(OR(CN2="",CO2=""),"",IFERROR(IF($K2="%",CO2-CN2,CO2/CN2-1),""))</f>
        <v/>
      </c>
      <c r="CQ2" s="5" t="str">
        <f aca="false">IF(OR(CN2="",CO2=""),"",IF($F2="Maior Melhor",IF(CO2&gt;=CN2,"Sim","Não"),IF(CO2&lt;=CN2,"Sim","Não")))</f>
        <v/>
      </c>
      <c r="CR2" s="2" t="s">
        <v>105</v>
      </c>
    </row>
    <row r="3" customFormat="false" ht="15" hidden="false" customHeight="false" outlineLevel="0" collapsed="false">
      <c r="A3" s="2" t="s">
        <v>96</v>
      </c>
      <c r="B3" s="2" t="s">
        <v>106</v>
      </c>
      <c r="C3" s="2" t="s">
        <v>107</v>
      </c>
      <c r="D3" s="2" t="s">
        <v>99</v>
      </c>
      <c r="E3" s="2" t="str">
        <f aca="false">C3&amp;D3</f>
        <v>Gerência OesteAderência da carteira Comercial (Próprio)</v>
      </c>
      <c r="F3" s="2" t="s">
        <v>100</v>
      </c>
      <c r="G3" s="2" t="s">
        <v>101</v>
      </c>
      <c r="H3" s="2" t="s">
        <v>102</v>
      </c>
      <c r="I3" s="2" t="s">
        <v>103</v>
      </c>
      <c r="J3" s="2" t="n">
        <v>1</v>
      </c>
      <c r="K3" s="2" t="s">
        <v>104</v>
      </c>
      <c r="L3" s="3" t="n">
        <v>0.8</v>
      </c>
      <c r="M3" s="3" t="n">
        <v>0.61</v>
      </c>
      <c r="N3" s="4" t="n">
        <f aca="false">IF(OR(L3="",M3=""),"",IFERROR(IF($K3="%",M3-L3,M3/L3-1),""))</f>
        <v>-0.19</v>
      </c>
      <c r="O3" s="5" t="str">
        <f aca="false">IF(OR(L3="",M3=""),"",IF($F3="Maior Melhor",IF(M3&gt;=L3,"Sim","Não"),IF(M3&lt;=L3,"Sim","Não")))</f>
        <v>Não</v>
      </c>
      <c r="P3" s="3" t="n">
        <v>0.8</v>
      </c>
      <c r="Q3" s="3" t="n">
        <v>0.43</v>
      </c>
      <c r="R3" s="4" t="n">
        <f aca="false">IF(OR(P3="",Q3=""),"",IFERROR(IF($K3="%",Q3-P3,Q3/P3-1),""))</f>
        <v>-0.37</v>
      </c>
      <c r="S3" s="5" t="str">
        <f aca="false">IF(OR(P3="",Q3=""),"",IF($F3="Maior Melhor",IF(Q3&gt;=P3,"Sim","Não"),IF(Q3&lt;=P3,"Sim","Não")))</f>
        <v>Não</v>
      </c>
      <c r="T3" s="3" t="n">
        <v>0.8</v>
      </c>
      <c r="U3" s="3" t="n">
        <v>0.54</v>
      </c>
      <c r="V3" s="4" t="n">
        <f aca="false">IF(OR(T3="",U3=""),"",IFERROR(IF($K3="%",U3-T3,U3/T3-1),""))</f>
        <v>-0.26</v>
      </c>
      <c r="W3" s="5" t="str">
        <f aca="false">IF(OR(T3="",U3=""),"",IF($F3="Maior Melhor",IF(U3&gt;=T3,"Sim","Não"),IF(U3&lt;=T3,"Sim","Não")))</f>
        <v>Não</v>
      </c>
      <c r="X3" s="3" t="n">
        <v>0.8</v>
      </c>
      <c r="Y3" s="3" t="n">
        <v>0.82</v>
      </c>
      <c r="Z3" s="4" t="n">
        <f aca="false">IF(OR(X3="",Y3=""),"",IFERROR(IF($K3="%",Y3-X3,Y3/X3-1),""))</f>
        <v>0.0199999999999999</v>
      </c>
      <c r="AA3" s="5" t="str">
        <f aca="false">IF(OR(X3="",Y3=""),"",IF($F3="Maior Melhor",IF(Y3&gt;=X3,"Sim","Não"),IF(Y3&lt;=X3,"Sim","Não")))</f>
        <v>Sim</v>
      </c>
      <c r="AB3" s="3" t="n">
        <v>0.8</v>
      </c>
      <c r="AC3" s="3" t="n">
        <v>0.82</v>
      </c>
      <c r="AD3" s="4" t="n">
        <f aca="false">IF(OR(AB3="",AC3=""),"",IFERROR(IF($K3="%",AC3-AB3,AC3/AB3-1),""))</f>
        <v>0.0199999999999999</v>
      </c>
      <c r="AE3" s="5" t="str">
        <f aca="false">IF(OR(AB3="",AC3=""),"",IF($F3="Maior Melhor",IF(AC3&gt;=AB3,"Sim","Não"),IF(AC3&lt;=AB3,"Sim","Não")))</f>
        <v>Sim</v>
      </c>
      <c r="AF3" s="3" t="n">
        <v>0.8</v>
      </c>
      <c r="AG3" s="3" t="n">
        <v>0.88</v>
      </c>
      <c r="AH3" s="4" t="n">
        <f aca="false">IF(OR(AF3="",AG3=""),"",IFERROR(IF($K3="%",AG3-AF3,AG3/AF3-1),""))</f>
        <v>0.08</v>
      </c>
      <c r="AI3" s="5" t="str">
        <f aca="false">IF(OR(AF3="",AG3=""),"",IF($F3="Maior Melhor",IF(AG3&gt;=AF3,"Sim","Não"),IF(AG3&lt;=AF3,"Sim","Não")))</f>
        <v>Sim</v>
      </c>
      <c r="AJ3" s="3" t="n">
        <v>0.8</v>
      </c>
      <c r="AK3" s="3" t="n">
        <v>0.88</v>
      </c>
      <c r="AL3" s="4" t="n">
        <f aca="false">IF(OR(AJ3="",AK3=""),"",IFERROR(IF($K3="%",AK3-AJ3,AK3/AJ3-1),""))</f>
        <v>0.08</v>
      </c>
      <c r="AM3" s="5" t="str">
        <f aca="false">IF(OR(AJ3="",AK3=""),"",IF($F3="Maior Melhor",IF(AK3&gt;=AJ3,"Sim","Não"),IF(AK3&lt;=AJ3,"Sim","Não")))</f>
        <v>Sim</v>
      </c>
      <c r="AN3" s="3" t="n">
        <v>0.8</v>
      </c>
      <c r="AO3" s="3" t="n">
        <v>0.87</v>
      </c>
      <c r="AP3" s="4" t="n">
        <f aca="false">IF(OR(AN3="",AO3=""),"",IFERROR(IF($K3="%",AO3-AN3,AO3/AN3-1),""))</f>
        <v>0.07</v>
      </c>
      <c r="AQ3" s="5" t="str">
        <f aca="false">IF(OR(AN3="",AO3=""),"",IF($F3="Maior Melhor",IF(AO3&gt;=AN3,"Sim","Não"),IF(AO3&lt;=AN3,"Sim","Não")))</f>
        <v>Sim</v>
      </c>
      <c r="AR3" s="3" t="n">
        <v>0.8</v>
      </c>
      <c r="AS3" s="3" t="n">
        <v>0.87</v>
      </c>
      <c r="AT3" s="4" t="n">
        <f aca="false">IF(OR(AR3="",AS3=""),"",IFERROR(IF($K3="%",AS3-AR3,AS3/AR3-1),""))</f>
        <v>0.07</v>
      </c>
      <c r="AU3" s="5" t="str">
        <f aca="false">IF(OR(AR3="",AS3=""),"",IF($F3="Maior Melhor",IF(AS3&gt;=AR3,"Sim","Não"),IF(AS3&lt;=AR3,"Sim","Não")))</f>
        <v>Sim</v>
      </c>
      <c r="AV3" s="3" t="n">
        <v>0.8</v>
      </c>
      <c r="AW3" s="3" t="n">
        <v>0.94</v>
      </c>
      <c r="AX3" s="4" t="n">
        <f aca="false">IF(OR(AV3="",AW3=""),"",IFERROR(IF($K3="%",AW3-AV3,AW3/AV3-1),""))</f>
        <v>0.14</v>
      </c>
      <c r="AY3" s="5" t="str">
        <f aca="false">IF(OR(AV3="",AW3=""),"",IF($F3="Maior Melhor",IF(AW3&gt;=AV3,"Sim","Não"),IF(AW3&lt;=AV3,"Sim","Não")))</f>
        <v>Sim</v>
      </c>
      <c r="AZ3" s="3" t="n">
        <v>0.8</v>
      </c>
      <c r="BA3" s="3" t="n">
        <v>0.94</v>
      </c>
      <c r="BB3" s="4" t="n">
        <f aca="false">IF(OR(AZ3="",BA3=""),"",IFERROR(IF($K3="%",BA3-AZ3,BA3/AZ3-1),""))</f>
        <v>0.14</v>
      </c>
      <c r="BC3" s="5" t="str">
        <f aca="false">IF(OR(AZ3="",BA3=""),"",IF($F3="Maior Melhor",IF(BA3&gt;=AZ3,"Sim","Não"),IF(BA3&lt;=AZ3,"Sim","Não")))</f>
        <v>Sim</v>
      </c>
      <c r="BD3" s="3" t="n">
        <v>0.8</v>
      </c>
      <c r="BE3" s="3" t="n">
        <v>0.91</v>
      </c>
      <c r="BF3" s="4" t="n">
        <f aca="false">IF(OR(BD3="",BE3=""),"",IFERROR(IF($K3="%",BE3-BD3,BE3/BD3-1),""))</f>
        <v>0.11</v>
      </c>
      <c r="BG3" s="5" t="str">
        <f aca="false">IF(OR(BD3="",BE3=""),"",IF($F3="Maior Melhor",IF(BE3&gt;=BD3,"Sim","Não"),IF(BE3&lt;=BD3,"Sim","Não")))</f>
        <v>Sim</v>
      </c>
      <c r="BH3" s="3" t="n">
        <v>0.8</v>
      </c>
      <c r="BI3" s="3" t="n">
        <v>0.91</v>
      </c>
      <c r="BJ3" s="4" t="n">
        <f aca="false">IF(OR(BH3="",BI3=""),"",IFERROR(IF($K3="%",BI3-BH3,BI3/BH3-1),""))</f>
        <v>0.11</v>
      </c>
      <c r="BK3" s="5" t="str">
        <f aca="false">IF(OR(BH3="",BI3=""),"",IF($F3="Maior Melhor",IF(BI3&gt;=BH3,"Sim","Não"),IF(BI3&lt;=BH3,"Sim","Não")))</f>
        <v>Sim</v>
      </c>
      <c r="BL3" s="6"/>
      <c r="BM3" s="6"/>
      <c r="BN3" s="4" t="str">
        <f aca="false">IF(OR(BL3="",BM3=""),"",IFERROR(IF($K3="%",BM3-BL3,BM3/BL3-1),""))</f>
        <v/>
      </c>
      <c r="BO3" s="5" t="str">
        <f aca="false">IF(OR(BL3="",BM3=""),"",IF($F3="Maior Melhor",IF(BM3&gt;=BL3,"Sim","Não"),IF(BM3&lt;=BL3,"Sim","Não")))</f>
        <v/>
      </c>
      <c r="BP3" s="6"/>
      <c r="BQ3" s="6"/>
      <c r="BR3" s="4" t="str">
        <f aca="false">IF(OR(BP3="",BQ3=""),"",IFERROR(IF($K3="%",BQ3-BP3,BQ3/BP3-1),""))</f>
        <v/>
      </c>
      <c r="BS3" s="5" t="str">
        <f aca="false">IF(OR(BP3="",BQ3=""),"",IF($F3="Maior Melhor",IF(BQ3&gt;=BP3,"Sim","Não"),IF(BQ3&lt;=BP3,"Sim","Não")))</f>
        <v/>
      </c>
      <c r="BT3" s="6"/>
      <c r="BU3" s="6"/>
      <c r="BV3" s="4" t="str">
        <f aca="false">IF(OR(BT3="",BU3=""),"",IFERROR(IF($K3="%",BU3-BT3,BU3/BT3-1),""))</f>
        <v/>
      </c>
      <c r="BW3" s="5" t="str">
        <f aca="false">IF(OR(BT3="",BU3=""),"",IF($F3="Maior Melhor",IF(BU3&gt;=BT3,"Sim","Não"),IF(BU3&lt;=BT3,"Sim","Não")))</f>
        <v/>
      </c>
      <c r="BX3" s="6"/>
      <c r="BY3" s="6"/>
      <c r="BZ3" s="4" t="str">
        <f aca="false">IF(OR(BX3="",BY3=""),"",IFERROR(IF($K3="%",BY3-BX3,BY3/BX3-1),""))</f>
        <v/>
      </c>
      <c r="CA3" s="5" t="str">
        <f aca="false">IF(OR(BX3="",BY3=""),"",IF($F3="Maior Melhor",IF(BY3&gt;=BX3,"Sim","Não"),IF(BY3&lt;=BX3,"Sim","Não")))</f>
        <v/>
      </c>
      <c r="CB3" s="6"/>
      <c r="CC3" s="6"/>
      <c r="CD3" s="4" t="str">
        <f aca="false">IF(OR(CB3="",CC3=""),"",IFERROR(IF($K3="%",CC3-CB3,CC3/CB3-1),""))</f>
        <v/>
      </c>
      <c r="CE3" s="5" t="str">
        <f aca="false">IF(OR(CB3="",CC3=""),"",IF($F3="Maior Melhor",IF(CC3&gt;=CB3,"Sim","Não"),IF(CC3&lt;=CB3,"Sim","Não")))</f>
        <v/>
      </c>
      <c r="CF3" s="6"/>
      <c r="CG3" s="6"/>
      <c r="CH3" s="4" t="str">
        <f aca="false">IF(OR(CF3="",CG3=""),"",IFERROR(IF($K3="%",CG3-CF3,CG3/CF3-1),""))</f>
        <v/>
      </c>
      <c r="CI3" s="5" t="str">
        <f aca="false">IF(OR(CF3="",CG3=""),"",IF($F3="Maior Melhor",IF(CG3&gt;=CF3,"Sim","Não"),IF(CG3&lt;=CF3,"Sim","Não")))</f>
        <v/>
      </c>
      <c r="CJ3" s="6"/>
      <c r="CK3" s="6"/>
      <c r="CL3" s="4" t="str">
        <f aca="false">IF(OR(CJ3="",CK3=""),"",IFERROR(IF($K3="%",CK3-CJ3,CK3/CJ3-1),""))</f>
        <v/>
      </c>
      <c r="CM3" s="5" t="str">
        <f aca="false">IF(OR(CJ3="",CK3=""),"",IF($F3="Maior Melhor",IF(CK3&gt;=CJ3,"Sim","Não"),IF(CK3&lt;=CJ3,"Sim","Não")))</f>
        <v/>
      </c>
      <c r="CN3" s="6"/>
      <c r="CO3" s="6"/>
      <c r="CP3" s="4" t="str">
        <f aca="false">IF(OR(CN3="",CO3=""),"",IFERROR(IF($K3="%",CO3-CN3,CO3/CN3-1),""))</f>
        <v/>
      </c>
      <c r="CQ3" s="5" t="str">
        <f aca="false">IF(OR(CN3="",CO3=""),"",IF($F3="Maior Melhor",IF(CO3&gt;=CN3,"Sim","Não"),IF(CO3&lt;=CN3,"Sim","Não")))</f>
        <v/>
      </c>
      <c r="CR3" s="2" t="s">
        <v>105</v>
      </c>
    </row>
    <row r="4" customFormat="false" ht="15" hidden="false" customHeight="false" outlineLevel="0" collapsed="false">
      <c r="A4" s="2" t="s">
        <v>96</v>
      </c>
      <c r="B4" s="2" t="s">
        <v>108</v>
      </c>
      <c r="C4" s="2" t="s">
        <v>109</v>
      </c>
      <c r="D4" s="2" t="s">
        <v>99</v>
      </c>
      <c r="E4" s="2" t="str">
        <f aca="false">C4&amp;D4</f>
        <v>Gerência SudoesteAderência da carteira Comercial (Próprio)</v>
      </c>
      <c r="F4" s="2" t="s">
        <v>100</v>
      </c>
      <c r="G4" s="2" t="s">
        <v>101</v>
      </c>
      <c r="H4" s="2" t="s">
        <v>102</v>
      </c>
      <c r="I4" s="2" t="s">
        <v>103</v>
      </c>
      <c r="J4" s="2" t="n">
        <v>1</v>
      </c>
      <c r="K4" s="2" t="s">
        <v>104</v>
      </c>
      <c r="L4" s="3" t="n">
        <v>0.8</v>
      </c>
      <c r="M4" s="3" t="n">
        <v>0.71</v>
      </c>
      <c r="N4" s="4" t="n">
        <f aca="false">IF(OR(L4="",M4=""),"",IFERROR(IF($K4="%",M4-L4,M4/L4-1),""))</f>
        <v>-0.0900000000000001</v>
      </c>
      <c r="O4" s="5" t="str">
        <f aca="false">IF(OR(L4="",M4=""),"",IF($F4="Maior Melhor",IF(M4&gt;=L4,"Sim","Não"),IF(M4&lt;=L4,"Sim","Não")))</f>
        <v>Não</v>
      </c>
      <c r="P4" s="3" t="n">
        <v>0.8</v>
      </c>
      <c r="Q4" s="3" t="n">
        <v>0.64</v>
      </c>
      <c r="R4" s="4" t="n">
        <f aca="false">IF(OR(P4="",Q4=""),"",IFERROR(IF($K4="%",Q4-P4,Q4/P4-1),""))</f>
        <v>-0.16</v>
      </c>
      <c r="S4" s="5" t="str">
        <f aca="false">IF(OR(P4="",Q4=""),"",IF($F4="Maior Melhor",IF(Q4&gt;=P4,"Sim","Não"),IF(Q4&lt;=P4,"Sim","Não")))</f>
        <v>Não</v>
      </c>
      <c r="T4" s="3" t="n">
        <v>0.8</v>
      </c>
      <c r="U4" s="3" t="n">
        <v>0.5</v>
      </c>
      <c r="V4" s="4" t="n">
        <f aca="false">IF(OR(T4="",U4=""),"",IFERROR(IF($K4="%",U4-T4,U4/T4-1),""))</f>
        <v>-0.3</v>
      </c>
      <c r="W4" s="5" t="str">
        <f aca="false">IF(OR(T4="",U4=""),"",IF($F4="Maior Melhor",IF(U4&gt;=T4,"Sim","Não"),IF(U4&lt;=T4,"Sim","Não")))</f>
        <v>Não</v>
      </c>
      <c r="X4" s="3" t="n">
        <v>0.8</v>
      </c>
      <c r="Y4" s="3" t="n">
        <v>0.85</v>
      </c>
      <c r="Z4" s="4" t="n">
        <f aca="false">IF(OR(X4="",Y4=""),"",IFERROR(IF($K4="%",Y4-X4,Y4/X4-1),""))</f>
        <v>0.0499999999999999</v>
      </c>
      <c r="AA4" s="5" t="str">
        <f aca="false">IF(OR(X4="",Y4=""),"",IF($F4="Maior Melhor",IF(Y4&gt;=X4,"Sim","Não"),IF(Y4&lt;=X4,"Sim","Não")))</f>
        <v>Sim</v>
      </c>
      <c r="AB4" s="3" t="n">
        <v>0.8</v>
      </c>
      <c r="AC4" s="3" t="n">
        <v>0.85</v>
      </c>
      <c r="AD4" s="4" t="n">
        <f aca="false">IF(OR(AB4="",AC4=""),"",IFERROR(IF($K4="%",AC4-AB4,AC4/AB4-1),""))</f>
        <v>0.0499999999999999</v>
      </c>
      <c r="AE4" s="5" t="str">
        <f aca="false">IF(OR(AB4="",AC4=""),"",IF($F4="Maior Melhor",IF(AC4&gt;=AB4,"Sim","Não"),IF(AC4&lt;=AB4,"Sim","Não")))</f>
        <v>Sim</v>
      </c>
      <c r="AF4" s="3" t="n">
        <v>0.8</v>
      </c>
      <c r="AG4" s="3" t="n">
        <v>0.94</v>
      </c>
      <c r="AH4" s="4" t="n">
        <f aca="false">IF(OR(AF4="",AG4=""),"",IFERROR(IF($K4="%",AG4-AF4,AG4/AF4-1),""))</f>
        <v>0.14</v>
      </c>
      <c r="AI4" s="5" t="str">
        <f aca="false">IF(OR(AF4="",AG4=""),"",IF($F4="Maior Melhor",IF(AG4&gt;=AF4,"Sim","Não"),IF(AG4&lt;=AF4,"Sim","Não")))</f>
        <v>Sim</v>
      </c>
      <c r="AJ4" s="3" t="n">
        <v>0.8</v>
      </c>
      <c r="AK4" s="3" t="n">
        <v>0.94</v>
      </c>
      <c r="AL4" s="4" t="n">
        <f aca="false">IF(OR(AJ4="",AK4=""),"",IFERROR(IF($K4="%",AK4-AJ4,AK4/AJ4-1),""))</f>
        <v>0.14</v>
      </c>
      <c r="AM4" s="5" t="str">
        <f aca="false">IF(OR(AJ4="",AK4=""),"",IF($F4="Maior Melhor",IF(AK4&gt;=AJ4,"Sim","Não"),IF(AK4&lt;=AJ4,"Sim","Não")))</f>
        <v>Sim</v>
      </c>
      <c r="AN4" s="3" t="n">
        <v>0.8</v>
      </c>
      <c r="AO4" s="3" t="n">
        <v>0.93</v>
      </c>
      <c r="AP4" s="4" t="n">
        <f aca="false">IF(OR(AN4="",AO4=""),"",IFERROR(IF($K4="%",AO4-AN4,AO4/AN4-1),""))</f>
        <v>0.13</v>
      </c>
      <c r="AQ4" s="5" t="str">
        <f aca="false">IF(OR(AN4="",AO4=""),"",IF($F4="Maior Melhor",IF(AO4&gt;=AN4,"Sim","Não"),IF(AO4&lt;=AN4,"Sim","Não")))</f>
        <v>Sim</v>
      </c>
      <c r="AR4" s="3" t="n">
        <v>0.8</v>
      </c>
      <c r="AS4" s="3" t="n">
        <v>0.93</v>
      </c>
      <c r="AT4" s="4" t="n">
        <f aca="false">IF(OR(AR4="",AS4=""),"",IFERROR(IF($K4="%",AS4-AR4,AS4/AR4-1),""))</f>
        <v>0.13</v>
      </c>
      <c r="AU4" s="5" t="str">
        <f aca="false">IF(OR(AR4="",AS4=""),"",IF($F4="Maior Melhor",IF(AS4&gt;=AR4,"Sim","Não"),IF(AS4&lt;=AR4,"Sim","Não")))</f>
        <v>Sim</v>
      </c>
      <c r="AV4" s="3" t="n">
        <v>0.8</v>
      </c>
      <c r="AW4" s="3" t="n">
        <v>0.96</v>
      </c>
      <c r="AX4" s="4" t="n">
        <f aca="false">IF(OR(AV4="",AW4=""),"",IFERROR(IF($K4="%",AW4-AV4,AW4/AV4-1),""))</f>
        <v>0.16</v>
      </c>
      <c r="AY4" s="5" t="str">
        <f aca="false">IF(OR(AV4="",AW4=""),"",IF($F4="Maior Melhor",IF(AW4&gt;=AV4,"Sim","Não"),IF(AW4&lt;=AV4,"Sim","Não")))</f>
        <v>Sim</v>
      </c>
      <c r="AZ4" s="3" t="n">
        <v>0.8</v>
      </c>
      <c r="BA4" s="3" t="n">
        <v>0.96</v>
      </c>
      <c r="BB4" s="4" t="n">
        <f aca="false">IF(OR(AZ4="",BA4=""),"",IFERROR(IF($K4="%",BA4-AZ4,BA4/AZ4-1),""))</f>
        <v>0.16</v>
      </c>
      <c r="BC4" s="5" t="str">
        <f aca="false">IF(OR(AZ4="",BA4=""),"",IF($F4="Maior Melhor",IF(BA4&gt;=AZ4,"Sim","Não"),IF(BA4&lt;=AZ4,"Sim","Não")))</f>
        <v>Sim</v>
      </c>
      <c r="BD4" s="3" t="n">
        <v>0.8</v>
      </c>
      <c r="BE4" s="3" t="n">
        <v>0.96</v>
      </c>
      <c r="BF4" s="4" t="n">
        <f aca="false">IF(OR(BD4="",BE4=""),"",IFERROR(IF($K4="%",BE4-BD4,BE4/BD4-1),""))</f>
        <v>0.16</v>
      </c>
      <c r="BG4" s="5" t="str">
        <f aca="false">IF(OR(BD4="",BE4=""),"",IF($F4="Maior Melhor",IF(BE4&gt;=BD4,"Sim","Não"),IF(BE4&lt;=BD4,"Sim","Não")))</f>
        <v>Sim</v>
      </c>
      <c r="BH4" s="3" t="n">
        <v>0.8</v>
      </c>
      <c r="BI4" s="3" t="n">
        <v>0.96</v>
      </c>
      <c r="BJ4" s="4" t="n">
        <f aca="false">IF(OR(BH4="",BI4=""),"",IFERROR(IF($K4="%",BI4-BH4,BI4/BH4-1),""))</f>
        <v>0.16</v>
      </c>
      <c r="BK4" s="5" t="str">
        <f aca="false">IF(OR(BH4="",BI4=""),"",IF($F4="Maior Melhor",IF(BI4&gt;=BH4,"Sim","Não"),IF(BI4&lt;=BH4,"Sim","Não")))</f>
        <v>Sim</v>
      </c>
      <c r="BL4" s="6"/>
      <c r="BM4" s="6"/>
      <c r="BN4" s="4" t="str">
        <f aca="false">IF(OR(BL4="",BM4=""),"",IFERROR(IF($K4="%",BM4-BL4,BM4/BL4-1),""))</f>
        <v/>
      </c>
      <c r="BO4" s="5" t="str">
        <f aca="false">IF(OR(BL4="",BM4=""),"",IF($F4="Maior Melhor",IF(BM4&gt;=BL4,"Sim","Não"),IF(BM4&lt;=BL4,"Sim","Não")))</f>
        <v/>
      </c>
      <c r="BP4" s="6"/>
      <c r="BQ4" s="6"/>
      <c r="BR4" s="4" t="str">
        <f aca="false">IF(OR(BP4="",BQ4=""),"",IFERROR(IF($K4="%",BQ4-BP4,BQ4/BP4-1),""))</f>
        <v/>
      </c>
      <c r="BS4" s="5" t="str">
        <f aca="false">IF(OR(BP4="",BQ4=""),"",IF($F4="Maior Melhor",IF(BQ4&gt;=BP4,"Sim","Não"),IF(BQ4&lt;=BP4,"Sim","Não")))</f>
        <v/>
      </c>
      <c r="BT4" s="6"/>
      <c r="BU4" s="6"/>
      <c r="BV4" s="4" t="str">
        <f aca="false">IF(OR(BT4="",BU4=""),"",IFERROR(IF($K4="%",BU4-BT4,BU4/BT4-1),""))</f>
        <v/>
      </c>
      <c r="BW4" s="5" t="str">
        <f aca="false">IF(OR(BT4="",BU4=""),"",IF($F4="Maior Melhor",IF(BU4&gt;=BT4,"Sim","Não"),IF(BU4&lt;=BT4,"Sim","Não")))</f>
        <v/>
      </c>
      <c r="BX4" s="6"/>
      <c r="BY4" s="6"/>
      <c r="BZ4" s="4" t="str">
        <f aca="false">IF(OR(BX4="",BY4=""),"",IFERROR(IF($K4="%",BY4-BX4,BY4/BX4-1),""))</f>
        <v/>
      </c>
      <c r="CA4" s="5" t="str">
        <f aca="false">IF(OR(BX4="",BY4=""),"",IF($F4="Maior Melhor",IF(BY4&gt;=BX4,"Sim","Não"),IF(BY4&lt;=BX4,"Sim","Não")))</f>
        <v/>
      </c>
      <c r="CB4" s="6"/>
      <c r="CC4" s="6"/>
      <c r="CD4" s="4" t="str">
        <f aca="false">IF(OR(CB4="",CC4=""),"",IFERROR(IF($K4="%",CC4-CB4,CC4/CB4-1),""))</f>
        <v/>
      </c>
      <c r="CE4" s="5" t="str">
        <f aca="false">IF(OR(CB4="",CC4=""),"",IF($F4="Maior Melhor",IF(CC4&gt;=CB4,"Sim","Não"),IF(CC4&lt;=CB4,"Sim","Não")))</f>
        <v/>
      </c>
      <c r="CF4" s="6"/>
      <c r="CG4" s="6"/>
      <c r="CH4" s="4" t="str">
        <f aca="false">IF(OR(CF4="",CG4=""),"",IFERROR(IF($K4="%",CG4-CF4,CG4/CF4-1),""))</f>
        <v/>
      </c>
      <c r="CI4" s="5" t="str">
        <f aca="false">IF(OR(CF4="",CG4=""),"",IF($F4="Maior Melhor",IF(CG4&gt;=CF4,"Sim","Não"),IF(CG4&lt;=CF4,"Sim","Não")))</f>
        <v/>
      </c>
      <c r="CJ4" s="6"/>
      <c r="CK4" s="6"/>
      <c r="CL4" s="4" t="str">
        <f aca="false">IF(OR(CJ4="",CK4=""),"",IFERROR(IF($K4="%",CK4-CJ4,CK4/CJ4-1),""))</f>
        <v/>
      </c>
      <c r="CM4" s="5" t="str">
        <f aca="false">IF(OR(CJ4="",CK4=""),"",IF($F4="Maior Melhor",IF(CK4&gt;=CJ4,"Sim","Não"),IF(CK4&lt;=CJ4,"Sim","Não")))</f>
        <v/>
      </c>
      <c r="CN4" s="6"/>
      <c r="CO4" s="6"/>
      <c r="CP4" s="4" t="str">
        <f aca="false">IF(OR(CN4="",CO4=""),"",IFERROR(IF($K4="%",CO4-CN4,CO4/CN4-1),""))</f>
        <v/>
      </c>
      <c r="CQ4" s="5" t="str">
        <f aca="false">IF(OR(CN4="",CO4=""),"",IF($F4="Maior Melhor",IF(CO4&gt;=CN4,"Sim","Não"),IF(CO4&lt;=CN4,"Sim","Não")))</f>
        <v/>
      </c>
      <c r="CR4" s="2" t="s">
        <v>105</v>
      </c>
    </row>
    <row r="5" customFormat="false" ht="15" hidden="false" customHeight="false" outlineLevel="0" collapsed="false">
      <c r="A5" s="2" t="s">
        <v>96</v>
      </c>
      <c r="B5" s="2" t="s">
        <v>110</v>
      </c>
      <c r="C5" s="2" t="s">
        <v>110</v>
      </c>
      <c r="D5" s="2" t="s">
        <v>99</v>
      </c>
      <c r="E5" s="2" t="str">
        <f aca="false">C5&amp;D5</f>
        <v>Sup OesteAderência da carteira Comercial (Próprio)</v>
      </c>
      <c r="F5" s="2" t="s">
        <v>100</v>
      </c>
      <c r="G5" s="2" t="s">
        <v>101</v>
      </c>
      <c r="H5" s="2" t="s">
        <v>102</v>
      </c>
      <c r="I5" s="2" t="s">
        <v>103</v>
      </c>
      <c r="J5" s="2" t="n">
        <v>1</v>
      </c>
      <c r="K5" s="2" t="s">
        <v>104</v>
      </c>
      <c r="L5" s="3" t="n">
        <v>0.8</v>
      </c>
      <c r="M5" s="3" t="n">
        <v>0.7</v>
      </c>
      <c r="N5" s="4" t="n">
        <f aca="false">IF(OR(L5="",M5=""),"",IFERROR(IF($K5="%",M5-L5,M5/L5-1),""))</f>
        <v>-0.1</v>
      </c>
      <c r="O5" s="5" t="str">
        <f aca="false">IF(OR(L5="",M5=""),"",IF($F5="Maior Melhor",IF(M5&gt;=L5,"Sim","Não"),IF(M5&lt;=L5,"Sim","Não")))</f>
        <v>Não</v>
      </c>
      <c r="P5" s="3" t="n">
        <v>0.8</v>
      </c>
      <c r="Q5" s="3" t="n">
        <v>0.52</v>
      </c>
      <c r="R5" s="4" t="n">
        <f aca="false">IF(OR(P5="",Q5=""),"",IFERROR(IF($K5="%",Q5-P5,Q5/P5-1),""))</f>
        <v>-0.28</v>
      </c>
      <c r="S5" s="5" t="str">
        <f aca="false">IF(OR(P5="",Q5=""),"",IF($F5="Maior Melhor",IF(Q5&gt;=P5,"Sim","Não"),IF(Q5&lt;=P5,"Sim","Não")))</f>
        <v>Não</v>
      </c>
      <c r="T5" s="3" t="n">
        <v>0.8</v>
      </c>
      <c r="U5" s="3" t="n">
        <v>0.57</v>
      </c>
      <c r="V5" s="4" t="n">
        <f aca="false">IF(OR(T5="",U5=""),"",IFERROR(IF($K5="%",U5-T5,U5/T5-1),""))</f>
        <v>-0.23</v>
      </c>
      <c r="W5" s="5" t="str">
        <f aca="false">IF(OR(T5="",U5=""),"",IF($F5="Maior Melhor",IF(U5&gt;=T5,"Sim","Não"),IF(U5&lt;=T5,"Sim","Não")))</f>
        <v>Não</v>
      </c>
      <c r="X5" s="3" t="n">
        <v>0.8</v>
      </c>
      <c r="Y5" s="3" t="n">
        <v>0.84</v>
      </c>
      <c r="Z5" s="4" t="n">
        <f aca="false">IF(OR(X5="",Y5=""),"",IFERROR(IF($K5="%",Y5-X5,Y5/X5-1),""))</f>
        <v>0.0399999999999999</v>
      </c>
      <c r="AA5" s="5" t="str">
        <f aca="false">IF(OR(X5="",Y5=""),"",IF($F5="Maior Melhor",IF(Y5&gt;=X5,"Sim","Não"),IF(Y5&lt;=X5,"Sim","Não")))</f>
        <v>Sim</v>
      </c>
      <c r="AB5" s="3" t="n">
        <v>0.8</v>
      </c>
      <c r="AC5" s="3" t="n">
        <v>0.84</v>
      </c>
      <c r="AD5" s="4" t="n">
        <f aca="false">IF(OR(AB5="",AC5=""),"",IFERROR(IF($K5="%",AC5-AB5,AC5/AB5-1),""))</f>
        <v>0.0399999999999999</v>
      </c>
      <c r="AE5" s="5" t="str">
        <f aca="false">IF(OR(AB5="",AC5=""),"",IF($F5="Maior Melhor",IF(AC5&gt;=AB5,"Sim","Não"),IF(AC5&lt;=AB5,"Sim","Não")))</f>
        <v>Sim</v>
      </c>
      <c r="AF5" s="3" t="n">
        <v>0.8</v>
      </c>
      <c r="AG5" s="3" t="n">
        <v>0.91</v>
      </c>
      <c r="AH5" s="4" t="n">
        <f aca="false">IF(OR(AF5="",AG5=""),"",IFERROR(IF($K5="%",AG5-AF5,AG5/AF5-1),""))</f>
        <v>0.11</v>
      </c>
      <c r="AI5" s="5" t="str">
        <f aca="false">IF(OR(AF5="",AG5=""),"",IF($F5="Maior Melhor",IF(AG5&gt;=AF5,"Sim","Não"),IF(AG5&lt;=AF5,"Sim","Não")))</f>
        <v>Sim</v>
      </c>
      <c r="AJ5" s="3" t="n">
        <v>0.8</v>
      </c>
      <c r="AK5" s="3" t="n">
        <v>0.91</v>
      </c>
      <c r="AL5" s="4" t="n">
        <f aca="false">IF(OR(AJ5="",AK5=""),"",IFERROR(IF($K5="%",AK5-AJ5,AK5/AJ5-1),""))</f>
        <v>0.11</v>
      </c>
      <c r="AM5" s="5" t="str">
        <f aca="false">IF(OR(AJ5="",AK5=""),"",IF($F5="Maior Melhor",IF(AK5&gt;=AJ5,"Sim","Não"),IF(AK5&lt;=AJ5,"Sim","Não")))</f>
        <v>Sim</v>
      </c>
      <c r="AN5" s="3" t="n">
        <v>0.8</v>
      </c>
      <c r="AO5" s="3" t="n">
        <v>0.9</v>
      </c>
      <c r="AP5" s="4" t="n">
        <f aca="false">IF(OR(AN5="",AO5=""),"",IFERROR(IF($K5="%",AO5-AN5,AO5/AN5-1),""))</f>
        <v>0.1</v>
      </c>
      <c r="AQ5" s="5" t="str">
        <f aca="false">IF(OR(AN5="",AO5=""),"",IF($F5="Maior Melhor",IF(AO5&gt;=AN5,"Sim","Não"),IF(AO5&lt;=AN5,"Sim","Não")))</f>
        <v>Sim</v>
      </c>
      <c r="AR5" s="3" t="n">
        <v>0.8</v>
      </c>
      <c r="AS5" s="3" t="n">
        <v>0.9</v>
      </c>
      <c r="AT5" s="4" t="n">
        <f aca="false">IF(OR(AR5="",AS5=""),"",IFERROR(IF($K5="%",AS5-AR5,AS5/AR5-1),""))</f>
        <v>0.1</v>
      </c>
      <c r="AU5" s="5" t="str">
        <f aca="false">IF(OR(AR5="",AS5=""),"",IF($F5="Maior Melhor",IF(AS5&gt;=AR5,"Sim","Não"),IF(AS5&lt;=AR5,"Sim","Não")))</f>
        <v>Sim</v>
      </c>
      <c r="AV5" s="3" t="n">
        <v>0.8</v>
      </c>
      <c r="AW5" s="3" t="n">
        <v>0.94</v>
      </c>
      <c r="AX5" s="4" t="n">
        <f aca="false">IF(OR(AV5="",AW5=""),"",IFERROR(IF($K5="%",AW5-AV5,AW5/AV5-1),""))</f>
        <v>0.14</v>
      </c>
      <c r="AY5" s="5" t="str">
        <f aca="false">IF(OR(AV5="",AW5=""),"",IF($F5="Maior Melhor",IF(AW5&gt;=AV5,"Sim","Não"),IF(AW5&lt;=AV5,"Sim","Não")))</f>
        <v>Sim</v>
      </c>
      <c r="AZ5" s="3" t="n">
        <v>0.8</v>
      </c>
      <c r="BA5" s="3" t="n">
        <v>0.94</v>
      </c>
      <c r="BB5" s="4" t="n">
        <f aca="false">IF(OR(AZ5="",BA5=""),"",IFERROR(IF($K5="%",BA5-AZ5,BA5/AZ5-1),""))</f>
        <v>0.14</v>
      </c>
      <c r="BC5" s="5" t="str">
        <f aca="false">IF(OR(AZ5="",BA5=""),"",IF($F5="Maior Melhor",IF(BA5&gt;=AZ5,"Sim","Não"),IF(BA5&lt;=AZ5,"Sim","Não")))</f>
        <v>Sim</v>
      </c>
      <c r="BD5" s="3" t="n">
        <v>0.8</v>
      </c>
      <c r="BE5" s="3" t="n">
        <v>0.93</v>
      </c>
      <c r="BF5" s="4" t="n">
        <f aca="false">IF(OR(BD5="",BE5=""),"",IFERROR(IF($K5="%",BE5-BD5,BE5/BD5-1),""))</f>
        <v>0.13</v>
      </c>
      <c r="BG5" s="5" t="str">
        <f aca="false">IF(OR(BD5="",BE5=""),"",IF($F5="Maior Melhor",IF(BE5&gt;=BD5,"Sim","Não"),IF(BE5&lt;=BD5,"Sim","Não")))</f>
        <v>Sim</v>
      </c>
      <c r="BH5" s="3" t="n">
        <v>0.8</v>
      </c>
      <c r="BI5" s="3" t="n">
        <v>0.93</v>
      </c>
      <c r="BJ5" s="4" t="n">
        <f aca="false">IF(OR(BH5="",BI5=""),"",IFERROR(IF($K5="%",BI5-BH5,BI5/BH5-1),""))</f>
        <v>0.13</v>
      </c>
      <c r="BK5" s="5" t="str">
        <f aca="false">IF(OR(BH5="",BI5=""),"",IF($F5="Maior Melhor",IF(BI5&gt;=BH5,"Sim","Não"),IF(BI5&lt;=BH5,"Sim","Não")))</f>
        <v>Sim</v>
      </c>
      <c r="BL5" s="6"/>
      <c r="BM5" s="6"/>
      <c r="BN5" s="4" t="str">
        <f aca="false">IF(OR(BL5="",BM5=""),"",IFERROR(IF($K5="%",BM5-BL5,BM5/BL5-1),""))</f>
        <v/>
      </c>
      <c r="BO5" s="5" t="str">
        <f aca="false">IF(OR(BL5="",BM5=""),"",IF($F5="Maior Melhor",IF(BM5&gt;=BL5,"Sim","Não"),IF(BM5&lt;=BL5,"Sim","Não")))</f>
        <v/>
      </c>
      <c r="BP5" s="6"/>
      <c r="BQ5" s="6"/>
      <c r="BR5" s="4" t="str">
        <f aca="false">IF(OR(BP5="",BQ5=""),"",IFERROR(IF($K5="%",BQ5-BP5,BQ5/BP5-1),""))</f>
        <v/>
      </c>
      <c r="BS5" s="5" t="str">
        <f aca="false">IF(OR(BP5="",BQ5=""),"",IF($F5="Maior Melhor",IF(BQ5&gt;=BP5,"Sim","Não"),IF(BQ5&lt;=BP5,"Sim","Não")))</f>
        <v/>
      </c>
      <c r="BT5" s="6"/>
      <c r="BU5" s="6"/>
      <c r="BV5" s="4" t="str">
        <f aca="false">IF(OR(BT5="",BU5=""),"",IFERROR(IF($K5="%",BU5-BT5,BU5/BT5-1),""))</f>
        <v/>
      </c>
      <c r="BW5" s="5" t="str">
        <f aca="false">IF(OR(BT5="",BU5=""),"",IF($F5="Maior Melhor",IF(BU5&gt;=BT5,"Sim","Não"),IF(BU5&lt;=BT5,"Sim","Não")))</f>
        <v/>
      </c>
      <c r="BX5" s="6"/>
      <c r="BY5" s="6"/>
      <c r="BZ5" s="4" t="str">
        <f aca="false">IF(OR(BX5="",BY5=""),"",IFERROR(IF($K5="%",BY5-BX5,BY5/BX5-1),""))</f>
        <v/>
      </c>
      <c r="CA5" s="5" t="str">
        <f aca="false">IF(OR(BX5="",BY5=""),"",IF($F5="Maior Melhor",IF(BY5&gt;=BX5,"Sim","Não"),IF(BY5&lt;=BX5,"Sim","Não")))</f>
        <v/>
      </c>
      <c r="CB5" s="6"/>
      <c r="CC5" s="6"/>
      <c r="CD5" s="4" t="str">
        <f aca="false">IF(OR(CB5="",CC5=""),"",IFERROR(IF($K5="%",CC5-CB5,CC5/CB5-1),""))</f>
        <v/>
      </c>
      <c r="CE5" s="5" t="str">
        <f aca="false">IF(OR(CB5="",CC5=""),"",IF($F5="Maior Melhor",IF(CC5&gt;=CB5,"Sim","Não"),IF(CC5&lt;=CB5,"Sim","Não")))</f>
        <v/>
      </c>
      <c r="CF5" s="6"/>
      <c r="CG5" s="6"/>
      <c r="CH5" s="4" t="str">
        <f aca="false">IF(OR(CF5="",CG5=""),"",IFERROR(IF($K5="%",CG5-CF5,CG5/CF5-1),""))</f>
        <v/>
      </c>
      <c r="CI5" s="5" t="str">
        <f aca="false">IF(OR(CF5="",CG5=""),"",IF($F5="Maior Melhor",IF(CG5&gt;=CF5,"Sim","Não"),IF(CG5&lt;=CF5,"Sim","Não")))</f>
        <v/>
      </c>
      <c r="CJ5" s="6"/>
      <c r="CK5" s="6"/>
      <c r="CL5" s="4" t="str">
        <f aca="false">IF(OR(CJ5="",CK5=""),"",IFERROR(IF($K5="%",CK5-CJ5,CK5/CJ5-1),""))</f>
        <v/>
      </c>
      <c r="CM5" s="5" t="str">
        <f aca="false">IF(OR(CJ5="",CK5=""),"",IF($F5="Maior Melhor",IF(CK5&gt;=CJ5,"Sim","Não"),IF(CK5&lt;=CJ5,"Sim","Não")))</f>
        <v/>
      </c>
      <c r="CN5" s="6"/>
      <c r="CO5" s="6"/>
      <c r="CP5" s="4" t="str">
        <f aca="false">IF(OR(CN5="",CO5=""),"",IFERROR(IF($K5="%",CO5-CN5,CO5/CN5-1),""))</f>
        <v/>
      </c>
      <c r="CQ5" s="5" t="str">
        <f aca="false">IF(OR(CN5="",CO5=""),"",IF($F5="Maior Melhor",IF(CO5&gt;=CN5,"Sim","Não"),IF(CO5&lt;=CN5,"Sim","Não")))</f>
        <v/>
      </c>
      <c r="CR5" s="2" t="s">
        <v>105</v>
      </c>
    </row>
    <row r="6" customFormat="false" ht="15" hidden="false" customHeight="false" outlineLevel="0" collapsed="false">
      <c r="A6" s="2" t="s">
        <v>96</v>
      </c>
      <c r="B6" s="2" t="s">
        <v>106</v>
      </c>
      <c r="C6" s="2" t="s">
        <v>111</v>
      </c>
      <c r="D6" s="2" t="s">
        <v>99</v>
      </c>
      <c r="E6" s="2" t="str">
        <f aca="false">C6&amp;D6</f>
        <v>UTD BARREIRASAderência da carteira Comercial (Próprio)</v>
      </c>
      <c r="F6" s="2" t="s">
        <v>100</v>
      </c>
      <c r="G6" s="2" t="s">
        <v>101</v>
      </c>
      <c r="H6" s="2" t="s">
        <v>102</v>
      </c>
      <c r="I6" s="2" t="s">
        <v>103</v>
      </c>
      <c r="J6" s="2" t="n">
        <v>1</v>
      </c>
      <c r="K6" s="2" t="s">
        <v>104</v>
      </c>
      <c r="L6" s="3" t="n">
        <v>0.8</v>
      </c>
      <c r="M6" s="3" t="n">
        <v>0.71</v>
      </c>
      <c r="N6" s="4" t="n">
        <f aca="false">IF(OR(L6="",M6=""),"",IFERROR(IF($K6="%",M6-L6,M6/L6-1),""))</f>
        <v>-0.0900000000000001</v>
      </c>
      <c r="O6" s="5" t="str">
        <f aca="false">IF(OR(L6="",M6=""),"",IF($F6="Maior Melhor",IF(M6&gt;=L6,"Sim","Não"),IF(M6&lt;=L6,"Sim","Não")))</f>
        <v>Não</v>
      </c>
      <c r="P6" s="3" t="n">
        <v>0.8</v>
      </c>
      <c r="Q6" s="3" t="n">
        <v>0.46</v>
      </c>
      <c r="R6" s="4" t="n">
        <f aca="false">IF(OR(P6="",Q6=""),"",IFERROR(IF($K6="%",Q6-P6,Q6/P6-1),""))</f>
        <v>-0.34</v>
      </c>
      <c r="S6" s="5" t="str">
        <f aca="false">IF(OR(P6="",Q6=""),"",IF($F6="Maior Melhor",IF(Q6&gt;=P6,"Sim","Não"),IF(Q6&lt;=P6,"Sim","Não")))</f>
        <v>Não</v>
      </c>
      <c r="T6" s="3" t="n">
        <v>0.8</v>
      </c>
      <c r="U6" s="3" t="n">
        <v>0.76</v>
      </c>
      <c r="V6" s="4" t="n">
        <f aca="false">IF(OR(T6="",U6=""),"",IFERROR(IF($K6="%",U6-T6,U6/T6-1),""))</f>
        <v>-0.04</v>
      </c>
      <c r="W6" s="5" t="str">
        <f aca="false">IF(OR(T6="",U6=""),"",IF($F6="Maior Melhor",IF(U6&gt;=T6,"Sim","Não"),IF(U6&lt;=T6,"Sim","Não")))</f>
        <v>Não</v>
      </c>
      <c r="X6" s="3" t="n">
        <v>0.8</v>
      </c>
      <c r="Y6" s="3" t="n">
        <v>0.89</v>
      </c>
      <c r="Z6" s="4" t="n">
        <f aca="false">IF(OR(X6="",Y6=""),"",IFERROR(IF($K6="%",Y6-X6,Y6/X6-1),""))</f>
        <v>0.09</v>
      </c>
      <c r="AA6" s="5" t="str">
        <f aca="false">IF(OR(X6="",Y6=""),"",IF($F6="Maior Melhor",IF(Y6&gt;=X6,"Sim","Não"),IF(Y6&lt;=X6,"Sim","Não")))</f>
        <v>Sim</v>
      </c>
      <c r="AB6" s="3" t="n">
        <v>0.8</v>
      </c>
      <c r="AC6" s="3" t="n">
        <v>0.89</v>
      </c>
      <c r="AD6" s="4" t="n">
        <f aca="false">IF(OR(AB6="",AC6=""),"",IFERROR(IF($K6="%",AC6-AB6,AC6/AB6-1),""))</f>
        <v>0.09</v>
      </c>
      <c r="AE6" s="5" t="str">
        <f aca="false">IF(OR(AB6="",AC6=""),"",IF($F6="Maior Melhor",IF(AC6&gt;=AB6,"Sim","Não"),IF(AC6&lt;=AB6,"Sim","Não")))</f>
        <v>Sim</v>
      </c>
      <c r="AF6" s="3" t="n">
        <v>0.8</v>
      </c>
      <c r="AG6" s="3" t="n">
        <v>0.84</v>
      </c>
      <c r="AH6" s="4" t="n">
        <f aca="false">IF(OR(AF6="",AG6=""),"",IFERROR(IF($K6="%",AG6-AF6,AG6/AF6-1),""))</f>
        <v>0.0399999999999999</v>
      </c>
      <c r="AI6" s="5" t="str">
        <f aca="false">IF(OR(AF6="",AG6=""),"",IF($F6="Maior Melhor",IF(AG6&gt;=AF6,"Sim","Não"),IF(AG6&lt;=AF6,"Sim","Não")))</f>
        <v>Sim</v>
      </c>
      <c r="AJ6" s="3" t="n">
        <v>0.8</v>
      </c>
      <c r="AK6" s="3" t="n">
        <v>0.84</v>
      </c>
      <c r="AL6" s="4" t="n">
        <f aca="false">IF(OR(AJ6="",AK6=""),"",IFERROR(IF($K6="%",AK6-AJ6,AK6/AJ6-1),""))</f>
        <v>0.0399999999999999</v>
      </c>
      <c r="AM6" s="5" t="str">
        <f aca="false">IF(OR(AJ6="",AK6=""),"",IF($F6="Maior Melhor",IF(AK6&gt;=AJ6,"Sim","Não"),IF(AK6&lt;=AJ6,"Sim","Não")))</f>
        <v>Sim</v>
      </c>
      <c r="AN6" s="3" t="n">
        <v>0.8</v>
      </c>
      <c r="AO6" s="3" t="n">
        <v>0.9</v>
      </c>
      <c r="AP6" s="4" t="n">
        <f aca="false">IF(OR(AN6="",AO6=""),"",IFERROR(IF($K6="%",AO6-AN6,AO6/AN6-1),""))</f>
        <v>0.1</v>
      </c>
      <c r="AQ6" s="5" t="str">
        <f aca="false">IF(OR(AN6="",AO6=""),"",IF($F6="Maior Melhor",IF(AO6&gt;=AN6,"Sim","Não"),IF(AO6&lt;=AN6,"Sim","Não")))</f>
        <v>Sim</v>
      </c>
      <c r="AR6" s="3" t="n">
        <v>0.8</v>
      </c>
      <c r="AS6" s="3" t="n">
        <v>0.9</v>
      </c>
      <c r="AT6" s="4" t="n">
        <f aca="false">IF(OR(AR6="",AS6=""),"",IFERROR(IF($K6="%",AS6-AR6,AS6/AR6-1),""))</f>
        <v>0.1</v>
      </c>
      <c r="AU6" s="5" t="str">
        <f aca="false">IF(OR(AR6="",AS6=""),"",IF($F6="Maior Melhor",IF(AS6&gt;=AR6,"Sim","Não"),IF(AS6&lt;=AR6,"Sim","Não")))</f>
        <v>Sim</v>
      </c>
      <c r="AV6" s="3" t="n">
        <v>0.8</v>
      </c>
      <c r="AW6" s="3" t="n">
        <v>0.97</v>
      </c>
      <c r="AX6" s="4" t="n">
        <f aca="false">IF(OR(AV6="",AW6=""),"",IFERROR(IF($K6="%",AW6-AV6,AW6/AV6-1),""))</f>
        <v>0.17</v>
      </c>
      <c r="AY6" s="5" t="str">
        <f aca="false">IF(OR(AV6="",AW6=""),"",IF($F6="Maior Melhor",IF(AW6&gt;=AV6,"Sim","Não"),IF(AW6&lt;=AV6,"Sim","Não")))</f>
        <v>Sim</v>
      </c>
      <c r="AZ6" s="3" t="n">
        <v>0.8</v>
      </c>
      <c r="BA6" s="3" t="n">
        <v>0.97</v>
      </c>
      <c r="BB6" s="4" t="n">
        <f aca="false">IF(OR(AZ6="",BA6=""),"",IFERROR(IF($K6="%",BA6-AZ6,BA6/AZ6-1),""))</f>
        <v>0.17</v>
      </c>
      <c r="BC6" s="5" t="str">
        <f aca="false">IF(OR(AZ6="",BA6=""),"",IF($F6="Maior Melhor",IF(BA6&gt;=AZ6,"Sim","Não"),IF(BA6&lt;=AZ6,"Sim","Não")))</f>
        <v>Sim</v>
      </c>
      <c r="BD6" s="3" t="n">
        <v>0.8</v>
      </c>
      <c r="BE6" s="3" t="n">
        <v>0.88</v>
      </c>
      <c r="BF6" s="4" t="n">
        <f aca="false">IF(OR(BD6="",BE6=""),"",IFERROR(IF($K6="%",BE6-BD6,BE6/BD6-1),""))</f>
        <v>0.08</v>
      </c>
      <c r="BG6" s="5" t="str">
        <f aca="false">IF(OR(BD6="",BE6=""),"",IF($F6="Maior Melhor",IF(BE6&gt;=BD6,"Sim","Não"),IF(BE6&lt;=BD6,"Sim","Não")))</f>
        <v>Sim</v>
      </c>
      <c r="BH6" s="3" t="n">
        <v>0.8</v>
      </c>
      <c r="BI6" s="3" t="n">
        <v>0.88</v>
      </c>
      <c r="BJ6" s="4" t="n">
        <f aca="false">IF(OR(BH6="",BI6=""),"",IFERROR(IF($K6="%",BI6-BH6,BI6/BH6-1),""))</f>
        <v>0.08</v>
      </c>
      <c r="BK6" s="5" t="str">
        <f aca="false">IF(OR(BH6="",BI6=""),"",IF($F6="Maior Melhor",IF(BI6&gt;=BH6,"Sim","Não"),IF(BI6&lt;=BH6,"Sim","Não")))</f>
        <v>Sim</v>
      </c>
      <c r="BL6" s="6"/>
      <c r="BM6" s="6"/>
      <c r="BN6" s="4" t="str">
        <f aca="false">IF(OR(BL6="",BM6=""),"",IFERROR(IF($K6="%",BM6-BL6,BM6/BL6-1),""))</f>
        <v/>
      </c>
      <c r="BO6" s="5" t="str">
        <f aca="false">IF(OR(BL6="",BM6=""),"",IF($F6="Maior Melhor",IF(BM6&gt;=BL6,"Sim","Não"),IF(BM6&lt;=BL6,"Sim","Não")))</f>
        <v/>
      </c>
      <c r="BP6" s="6"/>
      <c r="BQ6" s="6"/>
      <c r="BR6" s="4" t="str">
        <f aca="false">IF(OR(BP6="",BQ6=""),"",IFERROR(IF($K6="%",BQ6-BP6,BQ6/BP6-1),""))</f>
        <v/>
      </c>
      <c r="BS6" s="5" t="str">
        <f aca="false">IF(OR(BP6="",BQ6=""),"",IF($F6="Maior Melhor",IF(BQ6&gt;=BP6,"Sim","Não"),IF(BQ6&lt;=BP6,"Sim","Não")))</f>
        <v/>
      </c>
      <c r="BT6" s="6"/>
      <c r="BU6" s="6"/>
      <c r="BV6" s="4" t="str">
        <f aca="false">IF(OR(BT6="",BU6=""),"",IFERROR(IF($K6="%",BU6-BT6,BU6/BT6-1),""))</f>
        <v/>
      </c>
      <c r="BW6" s="5" t="str">
        <f aca="false">IF(OR(BT6="",BU6=""),"",IF($F6="Maior Melhor",IF(BU6&gt;=BT6,"Sim","Não"),IF(BU6&lt;=BT6,"Sim","Não")))</f>
        <v/>
      </c>
      <c r="BX6" s="6"/>
      <c r="BY6" s="6"/>
      <c r="BZ6" s="4" t="str">
        <f aca="false">IF(OR(BX6="",BY6=""),"",IFERROR(IF($K6="%",BY6-BX6,BY6/BX6-1),""))</f>
        <v/>
      </c>
      <c r="CA6" s="5" t="str">
        <f aca="false">IF(OR(BX6="",BY6=""),"",IF($F6="Maior Melhor",IF(BY6&gt;=BX6,"Sim","Não"),IF(BY6&lt;=BX6,"Sim","Não")))</f>
        <v/>
      </c>
      <c r="CB6" s="6"/>
      <c r="CC6" s="6"/>
      <c r="CD6" s="4" t="str">
        <f aca="false">IF(OR(CB6="",CC6=""),"",IFERROR(IF($K6="%",CC6-CB6,CC6/CB6-1),""))</f>
        <v/>
      </c>
      <c r="CE6" s="5" t="str">
        <f aca="false">IF(OR(CB6="",CC6=""),"",IF($F6="Maior Melhor",IF(CC6&gt;=CB6,"Sim","Não"),IF(CC6&lt;=CB6,"Sim","Não")))</f>
        <v/>
      </c>
      <c r="CF6" s="6"/>
      <c r="CG6" s="6"/>
      <c r="CH6" s="4" t="str">
        <f aca="false">IF(OR(CF6="",CG6=""),"",IFERROR(IF($K6="%",CG6-CF6,CG6/CF6-1),""))</f>
        <v/>
      </c>
      <c r="CI6" s="5" t="str">
        <f aca="false">IF(OR(CF6="",CG6=""),"",IF($F6="Maior Melhor",IF(CG6&gt;=CF6,"Sim","Não"),IF(CG6&lt;=CF6,"Sim","Não")))</f>
        <v/>
      </c>
      <c r="CJ6" s="6"/>
      <c r="CK6" s="6"/>
      <c r="CL6" s="4" t="str">
        <f aca="false">IF(OR(CJ6="",CK6=""),"",IFERROR(IF($K6="%",CK6-CJ6,CK6/CJ6-1),""))</f>
        <v/>
      </c>
      <c r="CM6" s="5" t="str">
        <f aca="false">IF(OR(CJ6="",CK6=""),"",IF($F6="Maior Melhor",IF(CK6&gt;=CJ6,"Sim","Não"),IF(CK6&lt;=CJ6,"Sim","Não")))</f>
        <v/>
      </c>
      <c r="CN6" s="6"/>
      <c r="CO6" s="6"/>
      <c r="CP6" s="4" t="str">
        <f aca="false">IF(OR(CN6="",CO6=""),"",IFERROR(IF($K6="%",CO6-CN6,CO6/CN6-1),""))</f>
        <v/>
      </c>
      <c r="CQ6" s="5" t="str">
        <f aca="false">IF(OR(CN6="",CO6=""),"",IF($F6="Maior Melhor",IF(CO6&gt;=CN6,"Sim","Não"),IF(CO6&lt;=CN6,"Sim","Não")))</f>
        <v/>
      </c>
      <c r="CR6" s="2" t="s">
        <v>112</v>
      </c>
    </row>
    <row r="7" customFormat="false" ht="15" hidden="false" customHeight="false" outlineLevel="0" collapsed="false">
      <c r="A7" s="2" t="s">
        <v>96</v>
      </c>
      <c r="B7" s="2" t="s">
        <v>106</v>
      </c>
      <c r="C7" s="2" t="s">
        <v>113</v>
      </c>
      <c r="D7" s="2" t="s">
        <v>99</v>
      </c>
      <c r="E7" s="2" t="str">
        <f aca="false">C7&amp;D7</f>
        <v>UTD BOM JESUS DA LAPAAderência da carteira Comercial (Próprio)</v>
      </c>
      <c r="F7" s="2" t="s">
        <v>100</v>
      </c>
      <c r="G7" s="2" t="s">
        <v>101</v>
      </c>
      <c r="H7" s="2" t="s">
        <v>102</v>
      </c>
      <c r="I7" s="2" t="s">
        <v>103</v>
      </c>
      <c r="J7" s="2" t="n">
        <v>1</v>
      </c>
      <c r="K7" s="2" t="s">
        <v>104</v>
      </c>
      <c r="L7" s="3" t="n">
        <v>0.8</v>
      </c>
      <c r="M7" s="3" t="n">
        <v>0.7</v>
      </c>
      <c r="N7" s="4" t="n">
        <f aca="false">IF(OR(L7="",M7=""),"",IFERROR(IF($K7="%",M7-L7,M7/L7-1),""))</f>
        <v>-0.1</v>
      </c>
      <c r="O7" s="5" t="str">
        <f aca="false">IF(OR(L7="",M7=""),"",IF($F7="Maior Melhor",IF(M7&gt;=L7,"Sim","Não"),IF(M7&lt;=L7,"Sim","Não")))</f>
        <v>Não</v>
      </c>
      <c r="P7" s="3" t="n">
        <v>0.8</v>
      </c>
      <c r="Q7" s="3" t="n">
        <v>0.57</v>
      </c>
      <c r="R7" s="4" t="n">
        <f aca="false">IF(OR(P7="",Q7=""),"",IFERROR(IF($K7="%",Q7-P7,Q7/P7-1),""))</f>
        <v>-0.23</v>
      </c>
      <c r="S7" s="5" t="str">
        <f aca="false">IF(OR(P7="",Q7=""),"",IF($F7="Maior Melhor",IF(Q7&gt;=P7,"Sim","Não"),IF(Q7&lt;=P7,"Sim","Não")))</f>
        <v>Não</v>
      </c>
      <c r="T7" s="3" t="n">
        <v>0.8</v>
      </c>
      <c r="U7" s="3" t="n">
        <v>0.73</v>
      </c>
      <c r="V7" s="4" t="n">
        <f aca="false">IF(OR(T7="",U7=""),"",IFERROR(IF($K7="%",U7-T7,U7/T7-1),""))</f>
        <v>-0.0700000000000001</v>
      </c>
      <c r="W7" s="5" t="str">
        <f aca="false">IF(OR(T7="",U7=""),"",IF($F7="Maior Melhor",IF(U7&gt;=T7,"Sim","Não"),IF(U7&lt;=T7,"Sim","Não")))</f>
        <v>Não</v>
      </c>
      <c r="X7" s="3" t="n">
        <v>0.8</v>
      </c>
      <c r="Y7" s="3" t="n">
        <v>0.85</v>
      </c>
      <c r="Z7" s="4" t="n">
        <f aca="false">IF(OR(X7="",Y7=""),"",IFERROR(IF($K7="%",Y7-X7,Y7/X7-1),""))</f>
        <v>0.0499999999999999</v>
      </c>
      <c r="AA7" s="5" t="str">
        <f aca="false">IF(OR(X7="",Y7=""),"",IF($F7="Maior Melhor",IF(Y7&gt;=X7,"Sim","Não"),IF(Y7&lt;=X7,"Sim","Não")))</f>
        <v>Sim</v>
      </c>
      <c r="AB7" s="3" t="n">
        <v>0.8</v>
      </c>
      <c r="AC7" s="3" t="n">
        <v>0.85</v>
      </c>
      <c r="AD7" s="4" t="n">
        <f aca="false">IF(OR(AB7="",AC7=""),"",IFERROR(IF($K7="%",AC7-AB7,AC7/AB7-1),""))</f>
        <v>0.0499999999999999</v>
      </c>
      <c r="AE7" s="5" t="str">
        <f aca="false">IF(OR(AB7="",AC7=""),"",IF($F7="Maior Melhor",IF(AC7&gt;=AB7,"Sim","Não"),IF(AC7&lt;=AB7,"Sim","Não")))</f>
        <v>Sim</v>
      </c>
      <c r="AF7" s="3" t="n">
        <v>0.8</v>
      </c>
      <c r="AG7" s="3" t="n">
        <v>0.87</v>
      </c>
      <c r="AH7" s="4" t="n">
        <f aca="false">IF(OR(AF7="",AG7=""),"",IFERROR(IF($K7="%",AG7-AF7,AG7/AF7-1),""))</f>
        <v>0.07</v>
      </c>
      <c r="AI7" s="5" t="str">
        <f aca="false">IF(OR(AF7="",AG7=""),"",IF($F7="Maior Melhor",IF(AG7&gt;=AF7,"Sim","Não"),IF(AG7&lt;=AF7,"Sim","Não")))</f>
        <v>Sim</v>
      </c>
      <c r="AJ7" s="3" t="n">
        <v>0.8</v>
      </c>
      <c r="AK7" s="3" t="n">
        <v>0.87</v>
      </c>
      <c r="AL7" s="4" t="n">
        <f aca="false">IF(OR(AJ7="",AK7=""),"",IFERROR(IF($K7="%",AK7-AJ7,AK7/AJ7-1),""))</f>
        <v>0.07</v>
      </c>
      <c r="AM7" s="5" t="str">
        <f aca="false">IF(OR(AJ7="",AK7=""),"",IF($F7="Maior Melhor",IF(AK7&gt;=AJ7,"Sim","Não"),IF(AK7&lt;=AJ7,"Sim","Não")))</f>
        <v>Sim</v>
      </c>
      <c r="AN7" s="3" t="n">
        <v>0.8</v>
      </c>
      <c r="AO7" s="3" t="n">
        <v>0.85</v>
      </c>
      <c r="AP7" s="4" t="n">
        <f aca="false">IF(OR(AN7="",AO7=""),"",IFERROR(IF($K7="%",AO7-AN7,AO7/AN7-1),""))</f>
        <v>0.0499999999999999</v>
      </c>
      <c r="AQ7" s="5" t="str">
        <f aca="false">IF(OR(AN7="",AO7=""),"",IF($F7="Maior Melhor",IF(AO7&gt;=AN7,"Sim","Não"),IF(AO7&lt;=AN7,"Sim","Não")))</f>
        <v>Sim</v>
      </c>
      <c r="AR7" s="3" t="n">
        <v>0.8</v>
      </c>
      <c r="AS7" s="3" t="n">
        <v>0.85</v>
      </c>
      <c r="AT7" s="4" t="n">
        <f aca="false">IF(OR(AR7="",AS7=""),"",IFERROR(IF($K7="%",AS7-AR7,AS7/AR7-1),""))</f>
        <v>0.0499999999999999</v>
      </c>
      <c r="AU7" s="5" t="str">
        <f aca="false">IF(OR(AR7="",AS7=""),"",IF($F7="Maior Melhor",IF(AS7&gt;=AR7,"Sim","Não"),IF(AS7&lt;=AR7,"Sim","Não")))</f>
        <v>Sim</v>
      </c>
      <c r="AV7" s="3" t="n">
        <v>0.8</v>
      </c>
      <c r="AW7" s="3" t="n">
        <v>0.88</v>
      </c>
      <c r="AX7" s="4" t="n">
        <f aca="false">IF(OR(AV7="",AW7=""),"",IFERROR(IF($K7="%",AW7-AV7,AW7/AV7-1),""))</f>
        <v>0.08</v>
      </c>
      <c r="AY7" s="5" t="str">
        <f aca="false">IF(OR(AV7="",AW7=""),"",IF($F7="Maior Melhor",IF(AW7&gt;=AV7,"Sim","Não"),IF(AW7&lt;=AV7,"Sim","Não")))</f>
        <v>Sim</v>
      </c>
      <c r="AZ7" s="3" t="n">
        <v>0.8</v>
      </c>
      <c r="BA7" s="3" t="n">
        <v>0.88</v>
      </c>
      <c r="BB7" s="4" t="n">
        <f aca="false">IF(OR(AZ7="",BA7=""),"",IFERROR(IF($K7="%",BA7-AZ7,BA7/AZ7-1),""))</f>
        <v>0.08</v>
      </c>
      <c r="BC7" s="5" t="str">
        <f aca="false">IF(OR(AZ7="",BA7=""),"",IF($F7="Maior Melhor",IF(BA7&gt;=AZ7,"Sim","Não"),IF(BA7&lt;=AZ7,"Sim","Não")))</f>
        <v>Sim</v>
      </c>
      <c r="BD7" s="3" t="n">
        <v>0.8</v>
      </c>
      <c r="BE7" s="3" t="n">
        <v>0.95</v>
      </c>
      <c r="BF7" s="4" t="n">
        <f aca="false">IF(OR(BD7="",BE7=""),"",IFERROR(IF($K7="%",BE7-BD7,BE7/BD7-1),""))</f>
        <v>0.15</v>
      </c>
      <c r="BG7" s="5" t="str">
        <f aca="false">IF(OR(BD7="",BE7=""),"",IF($F7="Maior Melhor",IF(BE7&gt;=BD7,"Sim","Não"),IF(BE7&lt;=BD7,"Sim","Não")))</f>
        <v>Sim</v>
      </c>
      <c r="BH7" s="3" t="n">
        <v>0.8</v>
      </c>
      <c r="BI7" s="3" t="n">
        <v>0.95</v>
      </c>
      <c r="BJ7" s="4" t="n">
        <f aca="false">IF(OR(BH7="",BI7=""),"",IFERROR(IF($K7="%",BI7-BH7,BI7/BH7-1),""))</f>
        <v>0.15</v>
      </c>
      <c r="BK7" s="5" t="str">
        <f aca="false">IF(OR(BH7="",BI7=""),"",IF($F7="Maior Melhor",IF(BI7&gt;=BH7,"Sim","Não"),IF(BI7&lt;=BH7,"Sim","Não")))</f>
        <v>Sim</v>
      </c>
      <c r="BL7" s="6"/>
      <c r="BM7" s="6"/>
      <c r="BN7" s="4" t="str">
        <f aca="false">IF(OR(BL7="",BM7=""),"",IFERROR(IF($K7="%",BM7-BL7,BM7/BL7-1),""))</f>
        <v/>
      </c>
      <c r="BO7" s="5" t="str">
        <f aca="false">IF(OR(BL7="",BM7=""),"",IF($F7="Maior Melhor",IF(BM7&gt;=BL7,"Sim","Não"),IF(BM7&lt;=BL7,"Sim","Não")))</f>
        <v/>
      </c>
      <c r="BP7" s="6"/>
      <c r="BQ7" s="6"/>
      <c r="BR7" s="4" t="str">
        <f aca="false">IF(OR(BP7="",BQ7=""),"",IFERROR(IF($K7="%",BQ7-BP7,BQ7/BP7-1),""))</f>
        <v/>
      </c>
      <c r="BS7" s="5" t="str">
        <f aca="false">IF(OR(BP7="",BQ7=""),"",IF($F7="Maior Melhor",IF(BQ7&gt;=BP7,"Sim","Não"),IF(BQ7&lt;=BP7,"Sim","Não")))</f>
        <v/>
      </c>
      <c r="BT7" s="6"/>
      <c r="BU7" s="6"/>
      <c r="BV7" s="4" t="str">
        <f aca="false">IF(OR(BT7="",BU7=""),"",IFERROR(IF($K7="%",BU7-BT7,BU7/BT7-1),""))</f>
        <v/>
      </c>
      <c r="BW7" s="5" t="str">
        <f aca="false">IF(OR(BT7="",BU7=""),"",IF($F7="Maior Melhor",IF(BU7&gt;=BT7,"Sim","Não"),IF(BU7&lt;=BT7,"Sim","Não")))</f>
        <v/>
      </c>
      <c r="BX7" s="6"/>
      <c r="BY7" s="6"/>
      <c r="BZ7" s="4" t="str">
        <f aca="false">IF(OR(BX7="",BY7=""),"",IFERROR(IF($K7="%",BY7-BX7,BY7/BX7-1),""))</f>
        <v/>
      </c>
      <c r="CA7" s="5" t="str">
        <f aca="false">IF(OR(BX7="",BY7=""),"",IF($F7="Maior Melhor",IF(BY7&gt;=BX7,"Sim","Não"),IF(BY7&lt;=BX7,"Sim","Não")))</f>
        <v/>
      </c>
      <c r="CB7" s="6"/>
      <c r="CC7" s="6"/>
      <c r="CD7" s="4" t="str">
        <f aca="false">IF(OR(CB7="",CC7=""),"",IFERROR(IF($K7="%",CC7-CB7,CC7/CB7-1),""))</f>
        <v/>
      </c>
      <c r="CE7" s="5" t="str">
        <f aca="false">IF(OR(CB7="",CC7=""),"",IF($F7="Maior Melhor",IF(CC7&gt;=CB7,"Sim","Não"),IF(CC7&lt;=CB7,"Sim","Não")))</f>
        <v/>
      </c>
      <c r="CF7" s="6"/>
      <c r="CG7" s="6"/>
      <c r="CH7" s="4" t="str">
        <f aca="false">IF(OR(CF7="",CG7=""),"",IFERROR(IF($K7="%",CG7-CF7,CG7/CF7-1),""))</f>
        <v/>
      </c>
      <c r="CI7" s="5" t="str">
        <f aca="false">IF(OR(CF7="",CG7=""),"",IF($F7="Maior Melhor",IF(CG7&gt;=CF7,"Sim","Não"),IF(CG7&lt;=CF7,"Sim","Não")))</f>
        <v/>
      </c>
      <c r="CJ7" s="6"/>
      <c r="CK7" s="6"/>
      <c r="CL7" s="4" t="str">
        <f aca="false">IF(OR(CJ7="",CK7=""),"",IFERROR(IF($K7="%",CK7-CJ7,CK7/CJ7-1),""))</f>
        <v/>
      </c>
      <c r="CM7" s="5" t="str">
        <f aca="false">IF(OR(CJ7="",CK7=""),"",IF($F7="Maior Melhor",IF(CK7&gt;=CJ7,"Sim","Não"),IF(CK7&lt;=CJ7,"Sim","Não")))</f>
        <v/>
      </c>
      <c r="CN7" s="6"/>
      <c r="CO7" s="6"/>
      <c r="CP7" s="4" t="str">
        <f aca="false">IF(OR(CN7="",CO7=""),"",IFERROR(IF($K7="%",CO7-CN7,CO7/CN7-1),""))</f>
        <v/>
      </c>
      <c r="CQ7" s="5" t="str">
        <f aca="false">IF(OR(CN7="",CO7=""),"",IF($F7="Maior Melhor",IF(CO7&gt;=CN7,"Sim","Não"),IF(CO7&lt;=CN7,"Sim","Não")))</f>
        <v/>
      </c>
      <c r="CR7" s="2" t="s">
        <v>114</v>
      </c>
    </row>
    <row r="8" customFormat="false" ht="15" hidden="false" customHeight="false" outlineLevel="0" collapsed="false">
      <c r="A8" s="2" t="s">
        <v>96</v>
      </c>
      <c r="B8" s="2" t="s">
        <v>108</v>
      </c>
      <c r="C8" s="2" t="s">
        <v>115</v>
      </c>
      <c r="D8" s="2" t="s">
        <v>99</v>
      </c>
      <c r="E8" s="2" t="str">
        <f aca="false">C8&amp;D8</f>
        <v>UTD BRUMADOAderência da carteira Comercial (Próprio)</v>
      </c>
      <c r="F8" s="2" t="s">
        <v>100</v>
      </c>
      <c r="G8" s="2" t="s">
        <v>101</v>
      </c>
      <c r="H8" s="2" t="s">
        <v>102</v>
      </c>
      <c r="I8" s="2" t="s">
        <v>103</v>
      </c>
      <c r="J8" s="2" t="n">
        <v>1</v>
      </c>
      <c r="K8" s="2" t="s">
        <v>104</v>
      </c>
      <c r="L8" s="3" t="n">
        <v>0.8</v>
      </c>
      <c r="M8" s="3" t="n">
        <v>0.62</v>
      </c>
      <c r="N8" s="4" t="n">
        <f aca="false">IF(OR(L8="",M8=""),"",IFERROR(IF($K8="%",M8-L8,M8/L8-1),""))</f>
        <v>-0.18</v>
      </c>
      <c r="O8" s="5" t="str">
        <f aca="false">IF(OR(L8="",M8=""),"",IF($F8="Maior Melhor",IF(M8&gt;=L8,"Sim","Não"),IF(M8&lt;=L8,"Sim","Não")))</f>
        <v>Não</v>
      </c>
      <c r="P8" s="3" t="n">
        <v>0.8</v>
      </c>
      <c r="Q8" s="3" t="n">
        <v>0.75</v>
      </c>
      <c r="R8" s="4" t="n">
        <f aca="false">IF(OR(P8="",Q8=""),"",IFERROR(IF($K8="%",Q8-P8,Q8/P8-1),""))</f>
        <v>-0.05</v>
      </c>
      <c r="S8" s="5" t="str">
        <f aca="false">IF(OR(P8="",Q8=""),"",IF($F8="Maior Melhor",IF(Q8&gt;=P8,"Sim","Não"),IF(Q8&lt;=P8,"Sim","Não")))</f>
        <v>Não</v>
      </c>
      <c r="T8" s="3" t="n">
        <v>0.8</v>
      </c>
      <c r="U8" s="3" t="n">
        <v>0.49</v>
      </c>
      <c r="V8" s="4" t="n">
        <f aca="false">IF(OR(T8="",U8=""),"",IFERROR(IF($K8="%",U8-T8,U8/T8-1),""))</f>
        <v>-0.31</v>
      </c>
      <c r="W8" s="5" t="str">
        <f aca="false">IF(OR(T8="",U8=""),"",IF($F8="Maior Melhor",IF(U8&gt;=T8,"Sim","Não"),IF(U8&lt;=T8,"Sim","Não")))</f>
        <v>Não</v>
      </c>
      <c r="X8" s="3" t="n">
        <v>0.8</v>
      </c>
      <c r="Y8" s="3" t="n">
        <v>0.92</v>
      </c>
      <c r="Z8" s="4" t="n">
        <f aca="false">IF(OR(X8="",Y8=""),"",IFERROR(IF($K8="%",Y8-X8,Y8/X8-1),""))</f>
        <v>0.12</v>
      </c>
      <c r="AA8" s="5" t="str">
        <f aca="false">IF(OR(X8="",Y8=""),"",IF($F8="Maior Melhor",IF(Y8&gt;=X8,"Sim","Não"),IF(Y8&lt;=X8,"Sim","Não")))</f>
        <v>Sim</v>
      </c>
      <c r="AB8" s="3" t="n">
        <v>0.8</v>
      </c>
      <c r="AC8" s="3" t="n">
        <v>0.92</v>
      </c>
      <c r="AD8" s="4" t="n">
        <f aca="false">IF(OR(AB8="",AC8=""),"",IFERROR(IF($K8="%",AC8-AB8,AC8/AB8-1),""))</f>
        <v>0.12</v>
      </c>
      <c r="AE8" s="5" t="str">
        <f aca="false">IF(OR(AB8="",AC8=""),"",IF($F8="Maior Melhor",IF(AC8&gt;=AB8,"Sim","Não"),IF(AC8&lt;=AB8,"Sim","Não")))</f>
        <v>Sim</v>
      </c>
      <c r="AF8" s="3" t="n">
        <v>0.8</v>
      </c>
      <c r="AG8" s="3" t="n">
        <v>0.96</v>
      </c>
      <c r="AH8" s="4" t="n">
        <f aca="false">IF(OR(AF8="",AG8=""),"",IFERROR(IF($K8="%",AG8-AF8,AG8/AF8-1),""))</f>
        <v>0.16</v>
      </c>
      <c r="AI8" s="5" t="str">
        <f aca="false">IF(OR(AF8="",AG8=""),"",IF($F8="Maior Melhor",IF(AG8&gt;=AF8,"Sim","Não"),IF(AG8&lt;=AF8,"Sim","Não")))</f>
        <v>Sim</v>
      </c>
      <c r="AJ8" s="3" t="n">
        <v>0.8</v>
      </c>
      <c r="AK8" s="3" t="n">
        <v>0.96</v>
      </c>
      <c r="AL8" s="4" t="n">
        <f aca="false">IF(OR(AJ8="",AK8=""),"",IFERROR(IF($K8="%",AK8-AJ8,AK8/AJ8-1),""))</f>
        <v>0.16</v>
      </c>
      <c r="AM8" s="5" t="str">
        <f aca="false">IF(OR(AJ8="",AK8=""),"",IF($F8="Maior Melhor",IF(AK8&gt;=AJ8,"Sim","Não"),IF(AK8&lt;=AJ8,"Sim","Não")))</f>
        <v>Sim</v>
      </c>
      <c r="AN8" s="3" t="n">
        <v>0.8</v>
      </c>
      <c r="AO8" s="3" t="n">
        <v>0.92</v>
      </c>
      <c r="AP8" s="4" t="n">
        <f aca="false">IF(OR(AN8="",AO8=""),"",IFERROR(IF($K8="%",AO8-AN8,AO8/AN8-1),""))</f>
        <v>0.12</v>
      </c>
      <c r="AQ8" s="5" t="str">
        <f aca="false">IF(OR(AN8="",AO8=""),"",IF($F8="Maior Melhor",IF(AO8&gt;=AN8,"Sim","Não"),IF(AO8&lt;=AN8,"Sim","Não")))</f>
        <v>Sim</v>
      </c>
      <c r="AR8" s="3" t="n">
        <v>0.8</v>
      </c>
      <c r="AS8" s="3" t="n">
        <v>0.92</v>
      </c>
      <c r="AT8" s="4" t="n">
        <f aca="false">IF(OR(AR8="",AS8=""),"",IFERROR(IF($K8="%",AS8-AR8,AS8/AR8-1),""))</f>
        <v>0.12</v>
      </c>
      <c r="AU8" s="5" t="str">
        <f aca="false">IF(OR(AR8="",AS8=""),"",IF($F8="Maior Melhor",IF(AS8&gt;=AR8,"Sim","Não"),IF(AS8&lt;=AR8,"Sim","Não")))</f>
        <v>Sim</v>
      </c>
      <c r="AV8" s="3" t="n">
        <v>0.8</v>
      </c>
      <c r="AW8" s="3" t="n">
        <v>0.96</v>
      </c>
      <c r="AX8" s="4" t="n">
        <f aca="false">IF(OR(AV8="",AW8=""),"",IFERROR(IF($K8="%",AW8-AV8,AW8/AV8-1),""))</f>
        <v>0.16</v>
      </c>
      <c r="AY8" s="5" t="str">
        <f aca="false">IF(OR(AV8="",AW8=""),"",IF($F8="Maior Melhor",IF(AW8&gt;=AV8,"Sim","Não"),IF(AW8&lt;=AV8,"Sim","Não")))</f>
        <v>Sim</v>
      </c>
      <c r="AZ8" s="3" t="n">
        <v>0.8</v>
      </c>
      <c r="BA8" s="3" t="n">
        <v>0.96</v>
      </c>
      <c r="BB8" s="4" t="n">
        <f aca="false">IF(OR(AZ8="",BA8=""),"",IFERROR(IF($K8="%",BA8-AZ8,BA8/AZ8-1),""))</f>
        <v>0.16</v>
      </c>
      <c r="BC8" s="5" t="str">
        <f aca="false">IF(OR(AZ8="",BA8=""),"",IF($F8="Maior Melhor",IF(BA8&gt;=AZ8,"Sim","Não"),IF(BA8&lt;=AZ8,"Sim","Não")))</f>
        <v>Sim</v>
      </c>
      <c r="BD8" s="3" t="n">
        <v>0.8</v>
      </c>
      <c r="BE8" s="3" t="n">
        <v>0.98</v>
      </c>
      <c r="BF8" s="4" t="n">
        <f aca="false">IF(OR(BD8="",BE8=""),"",IFERROR(IF($K8="%",BE8-BD8,BE8/BD8-1),""))</f>
        <v>0.18</v>
      </c>
      <c r="BG8" s="5" t="str">
        <f aca="false">IF(OR(BD8="",BE8=""),"",IF($F8="Maior Melhor",IF(BE8&gt;=BD8,"Sim","Não"),IF(BE8&lt;=BD8,"Sim","Não")))</f>
        <v>Sim</v>
      </c>
      <c r="BH8" s="3" t="n">
        <v>0.8</v>
      </c>
      <c r="BI8" s="3" t="n">
        <v>0.98</v>
      </c>
      <c r="BJ8" s="4" t="n">
        <f aca="false">IF(OR(BH8="",BI8=""),"",IFERROR(IF($K8="%",BI8-BH8,BI8/BH8-1),""))</f>
        <v>0.18</v>
      </c>
      <c r="BK8" s="5" t="str">
        <f aca="false">IF(OR(BH8="",BI8=""),"",IF($F8="Maior Melhor",IF(BI8&gt;=BH8,"Sim","Não"),IF(BI8&lt;=BH8,"Sim","Não")))</f>
        <v>Sim</v>
      </c>
      <c r="BL8" s="6"/>
      <c r="BM8" s="6"/>
      <c r="BN8" s="4" t="str">
        <f aca="false">IF(OR(BL8="",BM8=""),"",IFERROR(IF($K8="%",BM8-BL8,BM8/BL8-1),""))</f>
        <v/>
      </c>
      <c r="BO8" s="5" t="str">
        <f aca="false">IF(OR(BL8="",BM8=""),"",IF($F8="Maior Melhor",IF(BM8&gt;=BL8,"Sim","Não"),IF(BM8&lt;=BL8,"Sim","Não")))</f>
        <v/>
      </c>
      <c r="BP8" s="6"/>
      <c r="BQ8" s="6"/>
      <c r="BR8" s="4" t="str">
        <f aca="false">IF(OR(BP8="",BQ8=""),"",IFERROR(IF($K8="%",BQ8-BP8,BQ8/BP8-1),""))</f>
        <v/>
      </c>
      <c r="BS8" s="5" t="str">
        <f aca="false">IF(OR(BP8="",BQ8=""),"",IF($F8="Maior Melhor",IF(BQ8&gt;=BP8,"Sim","Não"),IF(BQ8&lt;=BP8,"Sim","Não")))</f>
        <v/>
      </c>
      <c r="BT8" s="6"/>
      <c r="BU8" s="6"/>
      <c r="BV8" s="4" t="str">
        <f aca="false">IF(OR(BT8="",BU8=""),"",IFERROR(IF($K8="%",BU8-BT8,BU8/BT8-1),""))</f>
        <v/>
      </c>
      <c r="BW8" s="5" t="str">
        <f aca="false">IF(OR(BT8="",BU8=""),"",IF($F8="Maior Melhor",IF(BU8&gt;=BT8,"Sim","Não"),IF(BU8&lt;=BT8,"Sim","Não")))</f>
        <v/>
      </c>
      <c r="BX8" s="6"/>
      <c r="BY8" s="6"/>
      <c r="BZ8" s="4" t="str">
        <f aca="false">IF(OR(BX8="",BY8=""),"",IFERROR(IF($K8="%",BY8-BX8,BY8/BX8-1),""))</f>
        <v/>
      </c>
      <c r="CA8" s="5" t="str">
        <f aca="false">IF(OR(BX8="",BY8=""),"",IF($F8="Maior Melhor",IF(BY8&gt;=BX8,"Sim","Não"),IF(BY8&lt;=BX8,"Sim","Não")))</f>
        <v/>
      </c>
      <c r="CB8" s="6"/>
      <c r="CC8" s="6"/>
      <c r="CD8" s="4" t="str">
        <f aca="false">IF(OR(CB8="",CC8=""),"",IFERROR(IF($K8="%",CC8-CB8,CC8/CB8-1),""))</f>
        <v/>
      </c>
      <c r="CE8" s="5" t="str">
        <f aca="false">IF(OR(CB8="",CC8=""),"",IF($F8="Maior Melhor",IF(CC8&gt;=CB8,"Sim","Não"),IF(CC8&lt;=CB8,"Sim","Não")))</f>
        <v/>
      </c>
      <c r="CF8" s="6"/>
      <c r="CG8" s="6"/>
      <c r="CH8" s="4" t="str">
        <f aca="false">IF(OR(CF8="",CG8=""),"",IFERROR(IF($K8="%",CG8-CF8,CG8/CF8-1),""))</f>
        <v/>
      </c>
      <c r="CI8" s="5" t="str">
        <f aca="false">IF(OR(CF8="",CG8=""),"",IF($F8="Maior Melhor",IF(CG8&gt;=CF8,"Sim","Não"),IF(CG8&lt;=CF8,"Sim","Não")))</f>
        <v/>
      </c>
      <c r="CJ8" s="6"/>
      <c r="CK8" s="6"/>
      <c r="CL8" s="4" t="str">
        <f aca="false">IF(OR(CJ8="",CK8=""),"",IFERROR(IF($K8="%",CK8-CJ8,CK8/CJ8-1),""))</f>
        <v/>
      </c>
      <c r="CM8" s="5" t="str">
        <f aca="false">IF(OR(CJ8="",CK8=""),"",IF($F8="Maior Melhor",IF(CK8&gt;=CJ8,"Sim","Não"),IF(CK8&lt;=CJ8,"Sim","Não")))</f>
        <v/>
      </c>
      <c r="CN8" s="6"/>
      <c r="CO8" s="6"/>
      <c r="CP8" s="4" t="str">
        <f aca="false">IF(OR(CN8="",CO8=""),"",IFERROR(IF($K8="%",CO8-CN8,CO8/CN8-1),""))</f>
        <v/>
      </c>
      <c r="CQ8" s="5" t="str">
        <f aca="false">IF(OR(CN8="",CO8=""),"",IF($F8="Maior Melhor",IF(CO8&gt;=CN8,"Sim","Não"),IF(CO8&lt;=CN8,"Sim","Não")))</f>
        <v/>
      </c>
      <c r="CR8" s="2" t="s">
        <v>116</v>
      </c>
    </row>
    <row r="9" customFormat="false" ht="15" hidden="false" customHeight="false" outlineLevel="0" collapsed="false">
      <c r="A9" s="2" t="s">
        <v>96</v>
      </c>
      <c r="B9" s="2" t="s">
        <v>108</v>
      </c>
      <c r="C9" s="2" t="s">
        <v>117</v>
      </c>
      <c r="D9" s="2" t="s">
        <v>99</v>
      </c>
      <c r="E9" s="2" t="str">
        <f aca="false">C9&amp;D9</f>
        <v>UTD GUANAMBIAderência da carteira Comercial (Próprio)</v>
      </c>
      <c r="F9" s="2" t="s">
        <v>100</v>
      </c>
      <c r="G9" s="2" t="s">
        <v>101</v>
      </c>
      <c r="H9" s="2" t="s">
        <v>102</v>
      </c>
      <c r="I9" s="2" t="s">
        <v>103</v>
      </c>
      <c r="J9" s="2" t="n">
        <v>1</v>
      </c>
      <c r="K9" s="2" t="s">
        <v>104</v>
      </c>
      <c r="L9" s="3" t="n">
        <v>0.8</v>
      </c>
      <c r="M9" s="3" t="n">
        <v>0.76</v>
      </c>
      <c r="N9" s="4" t="n">
        <f aca="false">IF(OR(L9="",M9=""),"",IFERROR(IF($K9="%",M9-L9,M9/L9-1),""))</f>
        <v>-0.04</v>
      </c>
      <c r="O9" s="5" t="str">
        <f aca="false">IF(OR(L9="",M9=""),"",IF($F9="Maior Melhor",IF(M9&gt;=L9,"Sim","Não"),IF(M9&lt;=L9,"Sim","Não")))</f>
        <v>Não</v>
      </c>
      <c r="P9" s="3" t="n">
        <v>0.8</v>
      </c>
      <c r="Q9" s="3" t="n">
        <v>0.28</v>
      </c>
      <c r="R9" s="4" t="n">
        <f aca="false">IF(OR(P9="",Q9=""),"",IFERROR(IF($K9="%",Q9-P9,Q9/P9-1),""))</f>
        <v>-0.52</v>
      </c>
      <c r="S9" s="5" t="str">
        <f aca="false">IF(OR(P9="",Q9=""),"",IF($F9="Maior Melhor",IF(Q9&gt;=P9,"Sim","Não"),IF(Q9&lt;=P9,"Sim","Não")))</f>
        <v>Não</v>
      </c>
      <c r="T9" s="3" t="n">
        <v>0.8</v>
      </c>
      <c r="U9" s="3" t="n">
        <v>0.51</v>
      </c>
      <c r="V9" s="4" t="n">
        <f aca="false">IF(OR(T9="",U9=""),"",IFERROR(IF($K9="%",U9-T9,U9/T9-1),""))</f>
        <v>-0.29</v>
      </c>
      <c r="W9" s="5" t="str">
        <f aca="false">IF(OR(T9="",U9=""),"",IF($F9="Maior Melhor",IF(U9&gt;=T9,"Sim","Não"),IF(U9&lt;=T9,"Sim","Não")))</f>
        <v>Não</v>
      </c>
      <c r="X9" s="3" t="n">
        <v>0.8</v>
      </c>
      <c r="Y9" s="3" t="n">
        <v>0.83</v>
      </c>
      <c r="Z9" s="4" t="n">
        <f aca="false">IF(OR(X9="",Y9=""),"",IFERROR(IF($K9="%",Y9-X9,Y9/X9-1),""))</f>
        <v>0.0299999999999999</v>
      </c>
      <c r="AA9" s="5" t="str">
        <f aca="false">IF(OR(X9="",Y9=""),"",IF($F9="Maior Melhor",IF(Y9&gt;=X9,"Sim","Não"),IF(Y9&lt;=X9,"Sim","Não")))</f>
        <v>Sim</v>
      </c>
      <c r="AB9" s="3" t="n">
        <v>0.8</v>
      </c>
      <c r="AC9" s="3" t="n">
        <v>0.83</v>
      </c>
      <c r="AD9" s="4" t="n">
        <f aca="false">IF(OR(AB9="",AC9=""),"",IFERROR(IF($K9="%",AC9-AB9,AC9/AB9-1),""))</f>
        <v>0.0299999999999999</v>
      </c>
      <c r="AE9" s="5" t="str">
        <f aca="false">IF(OR(AB9="",AC9=""),"",IF($F9="Maior Melhor",IF(AC9&gt;=AB9,"Sim","Não"),IF(AC9&lt;=AB9,"Sim","Não")))</f>
        <v>Sim</v>
      </c>
      <c r="AF9" s="3" t="n">
        <v>0.8</v>
      </c>
      <c r="AG9" s="3" t="n">
        <v>0.93</v>
      </c>
      <c r="AH9" s="4" t="n">
        <f aca="false">IF(OR(AF9="",AG9=""),"",IFERROR(IF($K9="%",AG9-AF9,AG9/AF9-1),""))</f>
        <v>0.13</v>
      </c>
      <c r="AI9" s="5" t="str">
        <f aca="false">IF(OR(AF9="",AG9=""),"",IF($F9="Maior Melhor",IF(AG9&gt;=AF9,"Sim","Não"),IF(AG9&lt;=AF9,"Sim","Não")))</f>
        <v>Sim</v>
      </c>
      <c r="AJ9" s="3" t="n">
        <v>0.8</v>
      </c>
      <c r="AK9" s="3" t="n">
        <v>0.93</v>
      </c>
      <c r="AL9" s="4" t="n">
        <f aca="false">IF(OR(AJ9="",AK9=""),"",IFERROR(IF($K9="%",AK9-AJ9,AK9/AJ9-1),""))</f>
        <v>0.13</v>
      </c>
      <c r="AM9" s="5" t="str">
        <f aca="false">IF(OR(AJ9="",AK9=""),"",IF($F9="Maior Melhor",IF(AK9&gt;=AJ9,"Sim","Não"),IF(AK9&lt;=AJ9,"Sim","Não")))</f>
        <v>Sim</v>
      </c>
      <c r="AN9" s="3" t="n">
        <v>0.8</v>
      </c>
      <c r="AO9" s="3" t="n">
        <v>0.96</v>
      </c>
      <c r="AP9" s="4" t="n">
        <f aca="false">IF(OR(AN9="",AO9=""),"",IFERROR(IF($K9="%",AO9-AN9,AO9/AN9-1),""))</f>
        <v>0.16</v>
      </c>
      <c r="AQ9" s="5" t="str">
        <f aca="false">IF(OR(AN9="",AO9=""),"",IF($F9="Maior Melhor",IF(AO9&gt;=AN9,"Sim","Não"),IF(AO9&lt;=AN9,"Sim","Não")))</f>
        <v>Sim</v>
      </c>
      <c r="AR9" s="3" t="n">
        <v>0.8</v>
      </c>
      <c r="AS9" s="3" t="n">
        <v>0.96</v>
      </c>
      <c r="AT9" s="4" t="n">
        <f aca="false">IF(OR(AR9="",AS9=""),"",IFERROR(IF($K9="%",AS9-AR9,AS9/AR9-1),""))</f>
        <v>0.16</v>
      </c>
      <c r="AU9" s="5" t="str">
        <f aca="false">IF(OR(AR9="",AS9=""),"",IF($F9="Maior Melhor",IF(AS9&gt;=AR9,"Sim","Não"),IF(AS9&lt;=AR9,"Sim","Não")))</f>
        <v>Sim</v>
      </c>
      <c r="AV9" s="3" t="n">
        <v>0.8</v>
      </c>
      <c r="AW9" s="3" t="n">
        <v>0.97</v>
      </c>
      <c r="AX9" s="4" t="n">
        <f aca="false">IF(OR(AV9="",AW9=""),"",IFERROR(IF($K9="%",AW9-AV9,AW9/AV9-1),""))</f>
        <v>0.17</v>
      </c>
      <c r="AY9" s="5" t="str">
        <f aca="false">IF(OR(AV9="",AW9=""),"",IF($F9="Maior Melhor",IF(AW9&gt;=AV9,"Sim","Não"),IF(AW9&lt;=AV9,"Sim","Não")))</f>
        <v>Sim</v>
      </c>
      <c r="AZ9" s="3" t="n">
        <v>0.8</v>
      </c>
      <c r="BA9" s="3" t="n">
        <v>0.97</v>
      </c>
      <c r="BB9" s="4" t="n">
        <f aca="false">IF(OR(AZ9="",BA9=""),"",IFERROR(IF($K9="%",BA9-AZ9,BA9/AZ9-1),""))</f>
        <v>0.17</v>
      </c>
      <c r="BC9" s="5" t="str">
        <f aca="false">IF(OR(AZ9="",BA9=""),"",IF($F9="Maior Melhor",IF(BA9&gt;=AZ9,"Sim","Não"),IF(BA9&lt;=AZ9,"Sim","Não")))</f>
        <v>Sim</v>
      </c>
      <c r="BD9" s="3" t="n">
        <v>0.8</v>
      </c>
      <c r="BE9" s="3" t="n">
        <v>0.94</v>
      </c>
      <c r="BF9" s="4" t="n">
        <f aca="false">IF(OR(BD9="",BE9=""),"",IFERROR(IF($K9="%",BE9-BD9,BE9/BD9-1),""))</f>
        <v>0.14</v>
      </c>
      <c r="BG9" s="5" t="str">
        <f aca="false">IF(OR(BD9="",BE9=""),"",IF($F9="Maior Melhor",IF(BE9&gt;=BD9,"Sim","Não"),IF(BE9&lt;=BD9,"Sim","Não")))</f>
        <v>Sim</v>
      </c>
      <c r="BH9" s="3" t="n">
        <v>0.8</v>
      </c>
      <c r="BI9" s="3" t="n">
        <v>0.94</v>
      </c>
      <c r="BJ9" s="4" t="n">
        <f aca="false">IF(OR(BH9="",BI9=""),"",IFERROR(IF($K9="%",BI9-BH9,BI9/BH9-1),""))</f>
        <v>0.14</v>
      </c>
      <c r="BK9" s="5" t="str">
        <f aca="false">IF(OR(BH9="",BI9=""),"",IF($F9="Maior Melhor",IF(BI9&gt;=BH9,"Sim","Não"),IF(BI9&lt;=BH9,"Sim","Não")))</f>
        <v>Sim</v>
      </c>
      <c r="BL9" s="6"/>
      <c r="BM9" s="6"/>
      <c r="BN9" s="4" t="str">
        <f aca="false">IF(OR(BL9="",BM9=""),"",IFERROR(IF($K9="%",BM9-BL9,BM9/BL9-1),""))</f>
        <v/>
      </c>
      <c r="BO9" s="5" t="str">
        <f aca="false">IF(OR(BL9="",BM9=""),"",IF($F9="Maior Melhor",IF(BM9&gt;=BL9,"Sim","Não"),IF(BM9&lt;=BL9,"Sim","Não")))</f>
        <v/>
      </c>
      <c r="BP9" s="6"/>
      <c r="BQ9" s="6"/>
      <c r="BR9" s="4" t="str">
        <f aca="false">IF(OR(BP9="",BQ9=""),"",IFERROR(IF($K9="%",BQ9-BP9,BQ9/BP9-1),""))</f>
        <v/>
      </c>
      <c r="BS9" s="5" t="str">
        <f aca="false">IF(OR(BP9="",BQ9=""),"",IF($F9="Maior Melhor",IF(BQ9&gt;=BP9,"Sim","Não"),IF(BQ9&lt;=BP9,"Sim","Não")))</f>
        <v/>
      </c>
      <c r="BT9" s="6"/>
      <c r="BU9" s="6"/>
      <c r="BV9" s="4" t="str">
        <f aca="false">IF(OR(BT9="",BU9=""),"",IFERROR(IF($K9="%",BU9-BT9,BU9/BT9-1),""))</f>
        <v/>
      </c>
      <c r="BW9" s="5" t="str">
        <f aca="false">IF(OR(BT9="",BU9=""),"",IF($F9="Maior Melhor",IF(BU9&gt;=BT9,"Sim","Não"),IF(BU9&lt;=BT9,"Sim","Não")))</f>
        <v/>
      </c>
      <c r="BX9" s="6"/>
      <c r="BY9" s="6"/>
      <c r="BZ9" s="4" t="str">
        <f aca="false">IF(OR(BX9="",BY9=""),"",IFERROR(IF($K9="%",BY9-BX9,BY9/BX9-1),""))</f>
        <v/>
      </c>
      <c r="CA9" s="5" t="str">
        <f aca="false">IF(OR(BX9="",BY9=""),"",IF($F9="Maior Melhor",IF(BY9&gt;=BX9,"Sim","Não"),IF(BY9&lt;=BX9,"Sim","Não")))</f>
        <v/>
      </c>
      <c r="CB9" s="6"/>
      <c r="CC9" s="6"/>
      <c r="CD9" s="4" t="str">
        <f aca="false">IF(OR(CB9="",CC9=""),"",IFERROR(IF($K9="%",CC9-CB9,CC9/CB9-1),""))</f>
        <v/>
      </c>
      <c r="CE9" s="5" t="str">
        <f aca="false">IF(OR(CB9="",CC9=""),"",IF($F9="Maior Melhor",IF(CC9&gt;=CB9,"Sim","Não"),IF(CC9&lt;=CB9,"Sim","Não")))</f>
        <v/>
      </c>
      <c r="CF9" s="6"/>
      <c r="CG9" s="6"/>
      <c r="CH9" s="4" t="str">
        <f aca="false">IF(OR(CF9="",CG9=""),"",IFERROR(IF($K9="%",CG9-CF9,CG9/CF9-1),""))</f>
        <v/>
      </c>
      <c r="CI9" s="5" t="str">
        <f aca="false">IF(OR(CF9="",CG9=""),"",IF($F9="Maior Melhor",IF(CG9&gt;=CF9,"Sim","Não"),IF(CG9&lt;=CF9,"Sim","Não")))</f>
        <v/>
      </c>
      <c r="CJ9" s="6"/>
      <c r="CK9" s="6"/>
      <c r="CL9" s="4" t="str">
        <f aca="false">IF(OR(CJ9="",CK9=""),"",IFERROR(IF($K9="%",CK9-CJ9,CK9/CJ9-1),""))</f>
        <v/>
      </c>
      <c r="CM9" s="5" t="str">
        <f aca="false">IF(OR(CJ9="",CK9=""),"",IF($F9="Maior Melhor",IF(CK9&gt;=CJ9,"Sim","Não"),IF(CK9&lt;=CJ9,"Sim","Não")))</f>
        <v/>
      </c>
      <c r="CN9" s="6"/>
      <c r="CO9" s="6"/>
      <c r="CP9" s="4" t="str">
        <f aca="false">IF(OR(CN9="",CO9=""),"",IFERROR(IF($K9="%",CO9-CN9,CO9/CN9-1),""))</f>
        <v/>
      </c>
      <c r="CQ9" s="5" t="str">
        <f aca="false">IF(OR(CN9="",CO9=""),"",IF($F9="Maior Melhor",IF(CO9&gt;=CN9,"Sim","Não"),IF(CO9&lt;=CN9,"Sim","Não")))</f>
        <v/>
      </c>
      <c r="CR9" s="2" t="s">
        <v>105</v>
      </c>
    </row>
    <row r="10" customFormat="false" ht="15" hidden="false" customHeight="false" outlineLevel="0" collapsed="false">
      <c r="A10" s="2" t="s">
        <v>96</v>
      </c>
      <c r="B10" s="2" t="s">
        <v>106</v>
      </c>
      <c r="C10" s="2" t="s">
        <v>118</v>
      </c>
      <c r="D10" s="2" t="s">
        <v>99</v>
      </c>
      <c r="E10" s="2" t="str">
        <f aca="false">C10&amp;D10</f>
        <v>UTD IBOTIRAMAAderência da carteira Comercial (Próprio)</v>
      </c>
      <c r="F10" s="2" t="s">
        <v>100</v>
      </c>
      <c r="G10" s="2" t="s">
        <v>101</v>
      </c>
      <c r="H10" s="2" t="s">
        <v>119</v>
      </c>
      <c r="I10" s="2" t="s">
        <v>103</v>
      </c>
      <c r="J10" s="2" t="n">
        <v>1</v>
      </c>
      <c r="K10" s="2" t="s">
        <v>104</v>
      </c>
      <c r="L10" s="3" t="n">
        <v>0.8</v>
      </c>
      <c r="M10" s="3" t="n">
        <v>0.4</v>
      </c>
      <c r="N10" s="4" t="n">
        <f aca="false">IF(OR(L10="",M10=""),"",IFERROR(IF($K10="%",M10-L10,M10/L10-1),""))</f>
        <v>-0.4</v>
      </c>
      <c r="O10" s="5" t="str">
        <f aca="false">IF(OR(L10="",M10=""),"",IF($F10="Maior Melhor",IF(M10&gt;=L10,"Sim","Não"),IF(M10&lt;=L10,"Sim","Não")))</f>
        <v>Não</v>
      </c>
      <c r="P10" s="3" t="n">
        <v>0.8</v>
      </c>
      <c r="Q10" s="3" t="n">
        <v>0.25</v>
      </c>
      <c r="R10" s="4" t="n">
        <f aca="false">IF(OR(P10="",Q10=""),"",IFERROR(IF($K10="%",Q10-P10,Q10/P10-1),""))</f>
        <v>-0.55</v>
      </c>
      <c r="S10" s="5" t="str">
        <f aca="false">IF(OR(P10="",Q10=""),"",IF($F10="Maior Melhor",IF(Q10&gt;=P10,"Sim","Não"),IF(Q10&lt;=P10,"Sim","Não")))</f>
        <v>Não</v>
      </c>
      <c r="T10" s="3" t="n">
        <v>0.8</v>
      </c>
      <c r="U10" s="3" t="n">
        <v>0.38</v>
      </c>
      <c r="V10" s="4" t="n">
        <f aca="false">IF(OR(T10="",U10=""),"",IFERROR(IF($K10="%",U10-T10,U10/T10-1),""))</f>
        <v>-0.42</v>
      </c>
      <c r="W10" s="5" t="str">
        <f aca="false">IF(OR(T10="",U10=""),"",IF($F10="Maior Melhor",IF(U10&gt;=T10,"Sim","Não"),IF(U10&lt;=T10,"Sim","Não")))</f>
        <v>Não</v>
      </c>
      <c r="X10" s="3" t="n">
        <v>0.8</v>
      </c>
      <c r="Y10" s="3" t="n">
        <v>0.75</v>
      </c>
      <c r="Z10" s="4" t="n">
        <f aca="false">IF(OR(X10="",Y10=""),"",IFERROR(IF($K10="%",Y10-X10,Y10/X10-1),""))</f>
        <v>-0.05</v>
      </c>
      <c r="AA10" s="5" t="str">
        <f aca="false">IF(OR(X10="",Y10=""),"",IF($F10="Maior Melhor",IF(Y10&gt;=X10,"Sim","Não"),IF(Y10&lt;=X10,"Sim","Não")))</f>
        <v>Não</v>
      </c>
      <c r="AB10" s="3" t="n">
        <v>0.8</v>
      </c>
      <c r="AC10" s="3" t="n">
        <v>0.75</v>
      </c>
      <c r="AD10" s="4" t="n">
        <f aca="false">IF(OR(AB10="",AC10=""),"",IFERROR(IF($K10="%",AC10-AB10,AC10/AB10-1),""))</f>
        <v>-0.05</v>
      </c>
      <c r="AE10" s="5" t="str">
        <f aca="false">IF(OR(AB10="",AC10=""),"",IF($F10="Maior Melhor",IF(AC10&gt;=AB10,"Sim","Não"),IF(AC10&lt;=AB10,"Sim","Não")))</f>
        <v>Não</v>
      </c>
      <c r="AF10" s="3" t="n">
        <v>0.8</v>
      </c>
      <c r="AG10" s="3" t="n">
        <v>0.81</v>
      </c>
      <c r="AH10" s="4" t="n">
        <f aca="false">IF(OR(AF10="",AG10=""),"",IFERROR(IF($K10="%",AG10-AF10,AG10/AF10-1),""))</f>
        <v>0.01</v>
      </c>
      <c r="AI10" s="5" t="str">
        <f aca="false">IF(OR(AF10="",AG10=""),"",IF($F10="Maior Melhor",IF(AG10&gt;=AF10,"Sim","Não"),IF(AG10&lt;=AF10,"Sim","Não")))</f>
        <v>Sim</v>
      </c>
      <c r="AJ10" s="3" t="n">
        <v>0.8</v>
      </c>
      <c r="AK10" s="3" t="n">
        <v>0.81</v>
      </c>
      <c r="AL10" s="4" t="n">
        <f aca="false">IF(OR(AJ10="",AK10=""),"",IFERROR(IF($K10="%",AK10-AJ10,AK10/AJ10-1),""))</f>
        <v>0.01</v>
      </c>
      <c r="AM10" s="5" t="str">
        <f aca="false">IF(OR(AJ10="",AK10=""),"",IF($F10="Maior Melhor",IF(AK10&gt;=AJ10,"Sim","Não"),IF(AK10&lt;=AJ10,"Sim","Não")))</f>
        <v>Sim</v>
      </c>
      <c r="AN10" s="3" t="n">
        <v>0.8</v>
      </c>
      <c r="AO10" s="3" t="n">
        <v>0.84</v>
      </c>
      <c r="AP10" s="4" t="n">
        <f aca="false">IF(OR(AN10="",AO10=""),"",IFERROR(IF($K10="%",AO10-AN10,AO10/AN10-1),""))</f>
        <v>0.0399999999999999</v>
      </c>
      <c r="AQ10" s="5" t="str">
        <f aca="false">IF(OR(AN10="",AO10=""),"",IF($F10="Maior Melhor",IF(AO10&gt;=AN10,"Sim","Não"),IF(AO10&lt;=AN10,"Sim","Não")))</f>
        <v>Sim</v>
      </c>
      <c r="AR10" s="3" t="n">
        <v>0.8</v>
      </c>
      <c r="AS10" s="3" t="n">
        <v>0.84</v>
      </c>
      <c r="AT10" s="4" t="n">
        <f aca="false">IF(OR(AR10="",AS10=""),"",IFERROR(IF($K10="%",AS10-AR10,AS10/AR10-1),""))</f>
        <v>0.0399999999999999</v>
      </c>
      <c r="AU10" s="5" t="str">
        <f aca="false">IF(OR(AR10="",AS10=""),"",IF($F10="Maior Melhor",IF(AS10&gt;=AR10,"Sim","Não"),IF(AS10&lt;=AR10,"Sim","Não")))</f>
        <v>Sim</v>
      </c>
      <c r="AV10" s="3" t="n">
        <v>0.8</v>
      </c>
      <c r="AW10" s="3" t="n">
        <v>0.93</v>
      </c>
      <c r="AX10" s="4" t="n">
        <f aca="false">IF(OR(AV10="",AW10=""),"",IFERROR(IF($K10="%",AW10-AV10,AW10/AV10-1),""))</f>
        <v>0.13</v>
      </c>
      <c r="AY10" s="5" t="str">
        <f aca="false">IF(OR(AV10="",AW10=""),"",IF($F10="Maior Melhor",IF(AW10&gt;=AV10,"Sim","Não"),IF(AW10&lt;=AV10,"Sim","Não")))</f>
        <v>Sim</v>
      </c>
      <c r="AZ10" s="3" t="n">
        <v>0.8</v>
      </c>
      <c r="BA10" s="3" t="n">
        <v>0.93</v>
      </c>
      <c r="BB10" s="4" t="n">
        <f aca="false">IF(OR(AZ10="",BA10=""),"",IFERROR(IF($K10="%",BA10-AZ10,BA10/AZ10-1),""))</f>
        <v>0.13</v>
      </c>
      <c r="BC10" s="5" t="str">
        <f aca="false">IF(OR(AZ10="",BA10=""),"",IF($F10="Maior Melhor",IF(BA10&gt;=AZ10,"Sim","Não"),IF(BA10&lt;=AZ10,"Sim","Não")))</f>
        <v>Sim</v>
      </c>
      <c r="BD10" s="3" t="n">
        <v>0.8</v>
      </c>
      <c r="BE10" s="3" t="n">
        <v>0.89</v>
      </c>
      <c r="BF10" s="4" t="n">
        <f aca="false">IF(OR(BD10="",BE10=""),"",IFERROR(IF($K10="%",BE10-BD10,BE10/BD10-1),""))</f>
        <v>0.09</v>
      </c>
      <c r="BG10" s="5" t="str">
        <f aca="false">IF(OR(BD10="",BE10=""),"",IF($F10="Maior Melhor",IF(BE10&gt;=BD10,"Sim","Não"),IF(BE10&lt;=BD10,"Sim","Não")))</f>
        <v>Sim</v>
      </c>
      <c r="BH10" s="3" t="n">
        <v>0.8</v>
      </c>
      <c r="BI10" s="3" t="n">
        <v>0.89</v>
      </c>
      <c r="BJ10" s="4" t="n">
        <f aca="false">IF(OR(BH10="",BI10=""),"",IFERROR(IF($K10="%",BI10-BH10,BI10/BH10-1),""))</f>
        <v>0.09</v>
      </c>
      <c r="BK10" s="5" t="str">
        <f aca="false">IF(OR(BH10="",BI10=""),"",IF($F10="Maior Melhor",IF(BI10&gt;=BH10,"Sim","Não"),IF(BI10&lt;=BH10,"Sim","Não")))</f>
        <v>Sim</v>
      </c>
      <c r="BL10" s="6"/>
      <c r="BM10" s="6"/>
      <c r="BN10" s="4" t="str">
        <f aca="false">IF(OR(BL10="",BM10=""),"",IFERROR(IF($K10="%",BM10-BL10,BM10/BL10-1),""))</f>
        <v/>
      </c>
      <c r="BO10" s="5" t="str">
        <f aca="false">IF(OR(BL10="",BM10=""),"",IF($F10="Maior Melhor",IF(BM10&gt;=BL10,"Sim","Não"),IF(BM10&lt;=BL10,"Sim","Não")))</f>
        <v/>
      </c>
      <c r="BP10" s="6"/>
      <c r="BQ10" s="6"/>
      <c r="BR10" s="4" t="str">
        <f aca="false">IF(OR(BP10="",BQ10=""),"",IFERROR(IF($K10="%",BQ10-BP10,BQ10/BP10-1),""))</f>
        <v/>
      </c>
      <c r="BS10" s="5" t="str">
        <f aca="false">IF(OR(BP10="",BQ10=""),"",IF($F10="Maior Melhor",IF(BQ10&gt;=BP10,"Sim","Não"),IF(BQ10&lt;=BP10,"Sim","Não")))</f>
        <v/>
      </c>
      <c r="BT10" s="6"/>
      <c r="BU10" s="6"/>
      <c r="BV10" s="4" t="str">
        <f aca="false">IF(OR(BT10="",BU10=""),"",IFERROR(IF($K10="%",BU10-BT10,BU10/BT10-1),""))</f>
        <v/>
      </c>
      <c r="BW10" s="5" t="str">
        <f aca="false">IF(OR(BT10="",BU10=""),"",IF($F10="Maior Melhor",IF(BU10&gt;=BT10,"Sim","Não"),IF(BU10&lt;=BT10,"Sim","Não")))</f>
        <v/>
      </c>
      <c r="BX10" s="6"/>
      <c r="BY10" s="6"/>
      <c r="BZ10" s="4" t="str">
        <f aca="false">IF(OR(BX10="",BY10=""),"",IFERROR(IF($K10="%",BY10-BX10,BY10/BX10-1),""))</f>
        <v/>
      </c>
      <c r="CA10" s="5" t="str">
        <f aca="false">IF(OR(BX10="",BY10=""),"",IF($F10="Maior Melhor",IF(BY10&gt;=BX10,"Sim","Não"),IF(BY10&lt;=BX10,"Sim","Não")))</f>
        <v/>
      </c>
      <c r="CB10" s="6"/>
      <c r="CC10" s="6"/>
      <c r="CD10" s="4" t="str">
        <f aca="false">IF(OR(CB10="",CC10=""),"",IFERROR(IF($K10="%",CC10-CB10,CC10/CB10-1),""))</f>
        <v/>
      </c>
      <c r="CE10" s="5" t="str">
        <f aca="false">IF(OR(CB10="",CC10=""),"",IF($F10="Maior Melhor",IF(CC10&gt;=CB10,"Sim","Não"),IF(CC10&lt;=CB10,"Sim","Não")))</f>
        <v/>
      </c>
      <c r="CF10" s="6"/>
      <c r="CG10" s="6"/>
      <c r="CH10" s="4" t="str">
        <f aca="false">IF(OR(CF10="",CG10=""),"",IFERROR(IF($K10="%",CG10-CF10,CG10/CF10-1),""))</f>
        <v/>
      </c>
      <c r="CI10" s="5" t="str">
        <f aca="false">IF(OR(CF10="",CG10=""),"",IF($F10="Maior Melhor",IF(CG10&gt;=CF10,"Sim","Não"),IF(CG10&lt;=CF10,"Sim","Não")))</f>
        <v/>
      </c>
      <c r="CJ10" s="6"/>
      <c r="CK10" s="6"/>
      <c r="CL10" s="4" t="str">
        <f aca="false">IF(OR(CJ10="",CK10=""),"",IFERROR(IF($K10="%",CK10-CJ10,CK10/CJ10-1),""))</f>
        <v/>
      </c>
      <c r="CM10" s="5" t="str">
        <f aca="false">IF(OR(CJ10="",CK10=""),"",IF($F10="Maior Melhor",IF(CK10&gt;=CJ10,"Sim","Não"),IF(CK10&lt;=CJ10,"Sim","Não")))</f>
        <v/>
      </c>
      <c r="CN10" s="6"/>
      <c r="CO10" s="6"/>
      <c r="CP10" s="4" t="str">
        <f aca="false">IF(OR(CN10="",CO10=""),"",IFERROR(IF($K10="%",CO10-CN10,CO10/CN10-1),""))</f>
        <v/>
      </c>
      <c r="CQ10" s="5" t="str">
        <f aca="false">IF(OR(CN10="",CO10=""),"",IF($F10="Maior Melhor",IF(CO10&gt;=CN10,"Sim","Não"),IF(CO10&lt;=CN10,"Sim","Não")))</f>
        <v/>
      </c>
      <c r="CR10" s="2" t="s">
        <v>120</v>
      </c>
    </row>
    <row r="11" customFormat="false" ht="15" hidden="false" customHeight="false" outlineLevel="0" collapsed="false">
      <c r="A11" s="2" t="s">
        <v>96</v>
      </c>
      <c r="B11" s="2" t="s">
        <v>97</v>
      </c>
      <c r="C11" s="2" t="s">
        <v>121</v>
      </c>
      <c r="D11" s="2" t="s">
        <v>99</v>
      </c>
      <c r="E11" s="2" t="str">
        <f aca="false">C11&amp;D11</f>
        <v>UTD IRECÊAderência da carteira Comercial (Próprio)</v>
      </c>
      <c r="F11" s="2" t="s">
        <v>100</v>
      </c>
      <c r="G11" s="2" t="s">
        <v>101</v>
      </c>
      <c r="H11" s="2" t="s">
        <v>102</v>
      </c>
      <c r="I11" s="2" t="s">
        <v>103</v>
      </c>
      <c r="J11" s="2" t="n">
        <v>1</v>
      </c>
      <c r="K11" s="2" t="s">
        <v>104</v>
      </c>
      <c r="L11" s="3" t="n">
        <v>0.8</v>
      </c>
      <c r="M11" s="3" t="n">
        <v>0.72</v>
      </c>
      <c r="N11" s="4" t="n">
        <f aca="false">IF(OR(L11="",M11=""),"",IFERROR(IF($K11="%",M11-L11,M11/L11-1),""))</f>
        <v>-0.0800000000000001</v>
      </c>
      <c r="O11" s="5" t="str">
        <f aca="false">IF(OR(L11="",M11=""),"",IF($F11="Maior Melhor",IF(M11&gt;=L11,"Sim","Não"),IF(M11&lt;=L11,"Sim","Não")))</f>
        <v>Não</v>
      </c>
      <c r="P11" s="3" t="n">
        <v>0.8</v>
      </c>
      <c r="Q11" s="3" t="n">
        <v>0.68</v>
      </c>
      <c r="R11" s="4" t="n">
        <f aca="false">IF(OR(P11="",Q11=""),"",IFERROR(IF($K11="%",Q11-P11,Q11/P11-1),""))</f>
        <v>-0.12</v>
      </c>
      <c r="S11" s="5" t="str">
        <f aca="false">IF(OR(P11="",Q11=""),"",IF($F11="Maior Melhor",IF(Q11&gt;=P11,"Sim","Não"),IF(Q11&lt;=P11,"Sim","Não")))</f>
        <v>Não</v>
      </c>
      <c r="T11" s="3" t="n">
        <v>0.8</v>
      </c>
      <c r="U11" s="3" t="n">
        <v>0.79</v>
      </c>
      <c r="V11" s="4" t="n">
        <f aca="false">IF(OR(T11="",U11=""),"",IFERROR(IF($K11="%",U11-T11,U11/T11-1),""))</f>
        <v>-0.01</v>
      </c>
      <c r="W11" s="5" t="str">
        <f aca="false">IF(OR(T11="",U11=""),"",IF($F11="Maior Melhor",IF(U11&gt;=T11,"Sim","Não"),IF(U11&lt;=T11,"Sim","Não")))</f>
        <v>Não</v>
      </c>
      <c r="X11" s="3" t="n">
        <v>0.8</v>
      </c>
      <c r="Y11" s="3" t="n">
        <v>0.87</v>
      </c>
      <c r="Z11" s="4" t="n">
        <f aca="false">IF(OR(X11="",Y11=""),"",IFERROR(IF($K11="%",Y11-X11,Y11/X11-1),""))</f>
        <v>0.07</v>
      </c>
      <c r="AA11" s="5" t="str">
        <f aca="false">IF(OR(X11="",Y11=""),"",IF($F11="Maior Melhor",IF(Y11&gt;=X11,"Sim","Não"),IF(Y11&lt;=X11,"Sim","Não")))</f>
        <v>Sim</v>
      </c>
      <c r="AB11" s="3" t="n">
        <v>0.8</v>
      </c>
      <c r="AC11" s="3" t="n">
        <v>0.87</v>
      </c>
      <c r="AD11" s="4" t="n">
        <f aca="false">IF(OR(AB11="",AC11=""),"",IFERROR(IF($K11="%",AC11-AB11,AC11/AB11-1),""))</f>
        <v>0.07</v>
      </c>
      <c r="AE11" s="5" t="str">
        <f aca="false">IF(OR(AB11="",AC11=""),"",IF($F11="Maior Melhor",IF(AC11&gt;=AB11,"Sim","Não"),IF(AC11&lt;=AB11,"Sim","Não")))</f>
        <v>Sim</v>
      </c>
      <c r="AF11" s="3" t="n">
        <v>0.8</v>
      </c>
      <c r="AG11" s="3" t="n">
        <v>0.89</v>
      </c>
      <c r="AH11" s="4" t="n">
        <f aca="false">IF(OR(AF11="",AG11=""),"",IFERROR(IF($K11="%",AG11-AF11,AG11/AF11-1),""))</f>
        <v>0.09</v>
      </c>
      <c r="AI11" s="5" t="str">
        <f aca="false">IF(OR(AF11="",AG11=""),"",IF($F11="Maior Melhor",IF(AG11&gt;=AF11,"Sim","Não"),IF(AG11&lt;=AF11,"Sim","Não")))</f>
        <v>Sim</v>
      </c>
      <c r="AJ11" s="3" t="n">
        <v>0.8</v>
      </c>
      <c r="AK11" s="3" t="n">
        <v>0.89</v>
      </c>
      <c r="AL11" s="4" t="n">
        <f aca="false">IF(OR(AJ11="",AK11=""),"",IFERROR(IF($K11="%",AK11-AJ11,AK11/AJ11-1),""))</f>
        <v>0.09</v>
      </c>
      <c r="AM11" s="5" t="str">
        <f aca="false">IF(OR(AJ11="",AK11=""),"",IF($F11="Maior Melhor",IF(AK11&gt;=AJ11,"Sim","Não"),IF(AK11&lt;=AJ11,"Sim","Não")))</f>
        <v>Sim</v>
      </c>
      <c r="AN11" s="3" t="n">
        <v>0.8</v>
      </c>
      <c r="AO11" s="3" t="n">
        <v>0.9</v>
      </c>
      <c r="AP11" s="4" t="n">
        <f aca="false">IF(OR(AN11="",AO11=""),"",IFERROR(IF($K11="%",AO11-AN11,AO11/AN11-1),""))</f>
        <v>0.1</v>
      </c>
      <c r="AQ11" s="5" t="str">
        <f aca="false">IF(OR(AN11="",AO11=""),"",IF($F11="Maior Melhor",IF(AO11&gt;=AN11,"Sim","Não"),IF(AO11&lt;=AN11,"Sim","Não")))</f>
        <v>Sim</v>
      </c>
      <c r="AR11" s="3" t="n">
        <v>0.8</v>
      </c>
      <c r="AS11" s="3" t="n">
        <v>0.9</v>
      </c>
      <c r="AT11" s="4" t="n">
        <f aca="false">IF(OR(AR11="",AS11=""),"",IFERROR(IF($K11="%",AS11-AR11,AS11/AR11-1),""))</f>
        <v>0.1</v>
      </c>
      <c r="AU11" s="5" t="str">
        <f aca="false">IF(OR(AR11="",AS11=""),"",IF($F11="Maior Melhor",IF(AS11&gt;=AR11,"Sim","Não"),IF(AS11&lt;=AR11,"Sim","Não")))</f>
        <v>Sim</v>
      </c>
      <c r="AV11" s="3" t="n">
        <v>0.8</v>
      </c>
      <c r="AW11" s="3" t="n">
        <v>0.94</v>
      </c>
      <c r="AX11" s="4" t="n">
        <f aca="false">IF(OR(AV11="",AW11=""),"",IFERROR(IF($K11="%",AW11-AV11,AW11/AV11-1),""))</f>
        <v>0.14</v>
      </c>
      <c r="AY11" s="5" t="str">
        <f aca="false">IF(OR(AV11="",AW11=""),"",IF($F11="Maior Melhor",IF(AW11&gt;=AV11,"Sim","Não"),IF(AW11&lt;=AV11,"Sim","Não")))</f>
        <v>Sim</v>
      </c>
      <c r="AZ11" s="3" t="n">
        <v>0.8</v>
      </c>
      <c r="BA11" s="3" t="n">
        <v>0.94</v>
      </c>
      <c r="BB11" s="4" t="n">
        <f aca="false">IF(OR(AZ11="",BA11=""),"",IFERROR(IF($K11="%",BA11-AZ11,BA11/AZ11-1),""))</f>
        <v>0.14</v>
      </c>
      <c r="BC11" s="5" t="str">
        <f aca="false">IF(OR(AZ11="",BA11=""),"",IF($F11="Maior Melhor",IF(BA11&gt;=AZ11,"Sim","Não"),IF(BA11&lt;=AZ11,"Sim","Não")))</f>
        <v>Sim</v>
      </c>
      <c r="BD11" s="3" t="n">
        <v>0.8</v>
      </c>
      <c r="BE11" s="3" t="n">
        <v>0.94</v>
      </c>
      <c r="BF11" s="4" t="n">
        <f aca="false">IF(OR(BD11="",BE11=""),"",IFERROR(IF($K11="%",BE11-BD11,BE11/BD11-1),""))</f>
        <v>0.14</v>
      </c>
      <c r="BG11" s="5" t="str">
        <f aca="false">IF(OR(BD11="",BE11=""),"",IF($F11="Maior Melhor",IF(BE11&gt;=BD11,"Sim","Não"),IF(BE11&lt;=BD11,"Sim","Não")))</f>
        <v>Sim</v>
      </c>
      <c r="BH11" s="3" t="n">
        <v>0.8</v>
      </c>
      <c r="BI11" s="3" t="n">
        <v>0.94</v>
      </c>
      <c r="BJ11" s="4" t="n">
        <f aca="false">IF(OR(BH11="",BI11=""),"",IFERROR(IF($K11="%",BI11-BH11,BI11/BH11-1),""))</f>
        <v>0.14</v>
      </c>
      <c r="BK11" s="5" t="str">
        <f aca="false">IF(OR(BH11="",BI11=""),"",IF($F11="Maior Melhor",IF(BI11&gt;=BH11,"Sim","Não"),IF(BI11&lt;=BH11,"Sim","Não")))</f>
        <v>Sim</v>
      </c>
      <c r="BL11" s="6"/>
      <c r="BM11" s="6"/>
      <c r="BN11" s="4" t="str">
        <f aca="false">IF(OR(BL11="",BM11=""),"",IFERROR(IF($K11="%",BM11-BL11,BM11/BL11-1),""))</f>
        <v/>
      </c>
      <c r="BO11" s="5" t="str">
        <f aca="false">IF(OR(BL11="",BM11=""),"",IF($F11="Maior Melhor",IF(BM11&gt;=BL11,"Sim","Não"),IF(BM11&lt;=BL11,"Sim","Não")))</f>
        <v/>
      </c>
      <c r="BP11" s="6"/>
      <c r="BQ11" s="6"/>
      <c r="BR11" s="4" t="str">
        <f aca="false">IF(OR(BP11="",BQ11=""),"",IFERROR(IF($K11="%",BQ11-BP11,BQ11/BP11-1),""))</f>
        <v/>
      </c>
      <c r="BS11" s="5" t="str">
        <f aca="false">IF(OR(BP11="",BQ11=""),"",IF($F11="Maior Melhor",IF(BQ11&gt;=BP11,"Sim","Não"),IF(BQ11&lt;=BP11,"Sim","Não")))</f>
        <v/>
      </c>
      <c r="BT11" s="6"/>
      <c r="BU11" s="6"/>
      <c r="BV11" s="4" t="str">
        <f aca="false">IF(OR(BT11="",BU11=""),"",IFERROR(IF($K11="%",BU11-BT11,BU11/BT11-1),""))</f>
        <v/>
      </c>
      <c r="BW11" s="5" t="str">
        <f aca="false">IF(OR(BT11="",BU11=""),"",IF($F11="Maior Melhor",IF(BU11&gt;=BT11,"Sim","Não"),IF(BU11&lt;=BT11,"Sim","Não")))</f>
        <v/>
      </c>
      <c r="BX11" s="6"/>
      <c r="BY11" s="6"/>
      <c r="BZ11" s="4" t="str">
        <f aca="false">IF(OR(BX11="",BY11=""),"",IFERROR(IF($K11="%",BY11-BX11,BY11/BX11-1),""))</f>
        <v/>
      </c>
      <c r="CA11" s="5" t="str">
        <f aca="false">IF(OR(BX11="",BY11=""),"",IF($F11="Maior Melhor",IF(BY11&gt;=BX11,"Sim","Não"),IF(BY11&lt;=BX11,"Sim","Não")))</f>
        <v/>
      </c>
      <c r="CB11" s="6"/>
      <c r="CC11" s="6"/>
      <c r="CD11" s="4" t="str">
        <f aca="false">IF(OR(CB11="",CC11=""),"",IFERROR(IF($K11="%",CC11-CB11,CC11/CB11-1),""))</f>
        <v/>
      </c>
      <c r="CE11" s="5" t="str">
        <f aca="false">IF(OR(CB11="",CC11=""),"",IF($F11="Maior Melhor",IF(CC11&gt;=CB11,"Sim","Não"),IF(CC11&lt;=CB11,"Sim","Não")))</f>
        <v/>
      </c>
      <c r="CF11" s="6"/>
      <c r="CG11" s="6"/>
      <c r="CH11" s="4" t="str">
        <f aca="false">IF(OR(CF11="",CG11=""),"",IFERROR(IF($K11="%",CG11-CF11,CG11/CF11-1),""))</f>
        <v/>
      </c>
      <c r="CI11" s="5" t="str">
        <f aca="false">IF(OR(CF11="",CG11=""),"",IF($F11="Maior Melhor",IF(CG11&gt;=CF11,"Sim","Não"),IF(CG11&lt;=CF11,"Sim","Não")))</f>
        <v/>
      </c>
      <c r="CJ11" s="6"/>
      <c r="CK11" s="6"/>
      <c r="CL11" s="4" t="str">
        <f aca="false">IF(OR(CJ11="",CK11=""),"",IFERROR(IF($K11="%",CK11-CJ11,CK11/CJ11-1),""))</f>
        <v/>
      </c>
      <c r="CM11" s="5" t="str">
        <f aca="false">IF(OR(CJ11="",CK11=""),"",IF($F11="Maior Melhor",IF(CK11&gt;=CJ11,"Sim","Não"),IF(CK11&lt;=CJ11,"Sim","Não")))</f>
        <v/>
      </c>
      <c r="CN11" s="6"/>
      <c r="CO11" s="6"/>
      <c r="CP11" s="4" t="str">
        <f aca="false">IF(OR(CN11="",CO11=""),"",IFERROR(IF($K11="%",CO11-CN11,CO11/CN11-1),""))</f>
        <v/>
      </c>
      <c r="CQ11" s="5" t="str">
        <f aca="false">IF(OR(CN11="",CO11=""),"",IF($F11="Maior Melhor",IF(CO11&gt;=CN11,"Sim","Não"),IF(CO11&lt;=CN11,"Sim","Não")))</f>
        <v/>
      </c>
      <c r="CR11" s="2" t="s">
        <v>105</v>
      </c>
    </row>
    <row r="12" customFormat="false" ht="15" hidden="false" customHeight="false" outlineLevel="0" collapsed="false">
      <c r="A12" s="2" t="s">
        <v>96</v>
      </c>
      <c r="B12" s="2" t="s">
        <v>97</v>
      </c>
      <c r="C12" s="2" t="s">
        <v>122</v>
      </c>
      <c r="D12" s="2" t="s">
        <v>99</v>
      </c>
      <c r="E12" s="2" t="str">
        <f aca="false">C12&amp;D12</f>
        <v>UTD ITABERABAAderência da carteira Comercial (Próprio)</v>
      </c>
      <c r="F12" s="2" t="s">
        <v>100</v>
      </c>
      <c r="G12" s="2" t="s">
        <v>101</v>
      </c>
      <c r="H12" s="2" t="s">
        <v>102</v>
      </c>
      <c r="I12" s="2" t="s">
        <v>103</v>
      </c>
      <c r="J12" s="2" t="n">
        <v>1</v>
      </c>
      <c r="K12" s="2" t="s">
        <v>104</v>
      </c>
      <c r="L12" s="3" t="n">
        <v>0.8</v>
      </c>
      <c r="M12" s="3" t="n">
        <v>0.8</v>
      </c>
      <c r="N12" s="4" t="n">
        <f aca="false">IF(OR(L12="",M12=""),"",IFERROR(IF($K12="%",M12-L12,M12/L12-1),""))</f>
        <v>0</v>
      </c>
      <c r="O12" s="5" t="str">
        <f aca="false">IF(OR(L12="",M12=""),"",IF($F12="Maior Melhor",IF(M12&gt;=L12,"Sim","Não"),IF(M12&lt;=L12,"Sim","Não")))</f>
        <v>Sim</v>
      </c>
      <c r="P12" s="3" t="n">
        <v>0.8</v>
      </c>
      <c r="Q12" s="3" t="n">
        <v>0.24</v>
      </c>
      <c r="R12" s="4" t="n">
        <f aca="false">IF(OR(P12="",Q12=""),"",IFERROR(IF($K12="%",Q12-P12,Q12/P12-1),""))</f>
        <v>-0.56</v>
      </c>
      <c r="S12" s="5" t="str">
        <f aca="false">IF(OR(P12="",Q12=""),"",IF($F12="Maior Melhor",IF(Q12&gt;=P12,"Sim","Não"),IF(Q12&lt;=P12,"Sim","Não")))</f>
        <v>Não</v>
      </c>
      <c r="T12" s="3" t="n">
        <v>0.8</v>
      </c>
      <c r="U12" s="3" t="n">
        <v>0.57</v>
      </c>
      <c r="V12" s="4" t="n">
        <f aca="false">IF(OR(T12="",U12=""),"",IFERROR(IF($K12="%",U12-T12,U12/T12-1),""))</f>
        <v>-0.23</v>
      </c>
      <c r="W12" s="5" t="str">
        <f aca="false">IF(OR(T12="",U12=""),"",IF($F12="Maior Melhor",IF(U12&gt;=T12,"Sim","Não"),IF(U12&lt;=T12,"Sim","Não")))</f>
        <v>Não</v>
      </c>
      <c r="X12" s="3" t="n">
        <v>0.8</v>
      </c>
      <c r="Y12" s="3" t="n">
        <v>0.75</v>
      </c>
      <c r="Z12" s="4" t="n">
        <f aca="false">IF(OR(X12="",Y12=""),"",IFERROR(IF($K12="%",Y12-X12,Y12/X12-1),""))</f>
        <v>-0.05</v>
      </c>
      <c r="AA12" s="5" t="str">
        <f aca="false">IF(OR(X12="",Y12=""),"",IF($F12="Maior Melhor",IF(Y12&gt;=X12,"Sim","Não"),IF(Y12&lt;=X12,"Sim","Não")))</f>
        <v>Não</v>
      </c>
      <c r="AB12" s="3" t="n">
        <v>0.8</v>
      </c>
      <c r="AC12" s="3" t="n">
        <v>0.75</v>
      </c>
      <c r="AD12" s="4" t="n">
        <f aca="false">IF(OR(AB12="",AC12=""),"",IFERROR(IF($K12="%",AC12-AB12,AC12/AB12-1),""))</f>
        <v>-0.05</v>
      </c>
      <c r="AE12" s="5" t="str">
        <f aca="false">IF(OR(AB12="",AC12=""),"",IF($F12="Maior Melhor",IF(AC12&gt;=AB12,"Sim","Não"),IF(AC12&lt;=AB12,"Sim","Não")))</f>
        <v>Não</v>
      </c>
      <c r="AF12" s="3" t="n">
        <v>0.8</v>
      </c>
      <c r="AG12" s="3" t="n">
        <v>0.96</v>
      </c>
      <c r="AH12" s="4" t="n">
        <f aca="false">IF(OR(AF12="",AG12=""),"",IFERROR(IF($K12="%",AG12-AF12,AG12/AF12-1),""))</f>
        <v>0.16</v>
      </c>
      <c r="AI12" s="5" t="str">
        <f aca="false">IF(OR(AF12="",AG12=""),"",IF($F12="Maior Melhor",IF(AG12&gt;=AF12,"Sim","Não"),IF(AG12&lt;=AF12,"Sim","Não")))</f>
        <v>Sim</v>
      </c>
      <c r="AJ12" s="3" t="n">
        <v>0.8</v>
      </c>
      <c r="AK12" s="3" t="n">
        <v>0.96</v>
      </c>
      <c r="AL12" s="4" t="n">
        <f aca="false">IF(OR(AJ12="",AK12=""),"",IFERROR(IF($K12="%",AK12-AJ12,AK12/AJ12-1),""))</f>
        <v>0.16</v>
      </c>
      <c r="AM12" s="5" t="str">
        <f aca="false">IF(OR(AJ12="",AK12=""),"",IF($F12="Maior Melhor",IF(AK12&gt;=AJ12,"Sim","Não"),IF(AK12&lt;=AJ12,"Sim","Não")))</f>
        <v>Sim</v>
      </c>
      <c r="AN12" s="3" t="n">
        <v>0.8</v>
      </c>
      <c r="AO12" s="3" t="n">
        <v>0.81</v>
      </c>
      <c r="AP12" s="4" t="n">
        <f aca="false">IF(OR(AN12="",AO12=""),"",IFERROR(IF($K12="%",AO12-AN12,AO12/AN12-1),""))</f>
        <v>0.01</v>
      </c>
      <c r="AQ12" s="5" t="str">
        <f aca="false">IF(OR(AN12="",AO12=""),"",IF($F12="Maior Melhor",IF(AO12&gt;=AN12,"Sim","Não"),IF(AO12&lt;=AN12,"Sim","Não")))</f>
        <v>Sim</v>
      </c>
      <c r="AR12" s="3" t="n">
        <v>0.8</v>
      </c>
      <c r="AS12" s="3" t="n">
        <v>0.81</v>
      </c>
      <c r="AT12" s="4" t="n">
        <f aca="false">IF(OR(AR12="",AS12=""),"",IFERROR(IF($K12="%",AS12-AR12,AS12/AR12-1),""))</f>
        <v>0.01</v>
      </c>
      <c r="AU12" s="5" t="str">
        <f aca="false">IF(OR(AR12="",AS12=""),"",IF($F12="Maior Melhor",IF(AS12&gt;=AR12,"Sim","Não"),IF(AS12&lt;=AR12,"Sim","Não")))</f>
        <v>Sim</v>
      </c>
      <c r="AV12" s="3" t="n">
        <v>0.8</v>
      </c>
      <c r="AW12" s="3" t="n">
        <v>0.88</v>
      </c>
      <c r="AX12" s="4" t="n">
        <f aca="false">IF(OR(AV12="",AW12=""),"",IFERROR(IF($K12="%",AW12-AV12,AW12/AV12-1),""))</f>
        <v>0.08</v>
      </c>
      <c r="AY12" s="5" t="str">
        <f aca="false">IF(OR(AV12="",AW12=""),"",IF($F12="Maior Melhor",IF(AW12&gt;=AV12,"Sim","Não"),IF(AW12&lt;=AV12,"Sim","Não")))</f>
        <v>Sim</v>
      </c>
      <c r="AZ12" s="3" t="n">
        <v>0.8</v>
      </c>
      <c r="BA12" s="3" t="n">
        <v>0.88</v>
      </c>
      <c r="BB12" s="4" t="n">
        <f aca="false">IF(OR(AZ12="",BA12=""),"",IFERROR(IF($K12="%",BA12-AZ12,BA12/AZ12-1),""))</f>
        <v>0.08</v>
      </c>
      <c r="BC12" s="5" t="str">
        <f aca="false">IF(OR(AZ12="",BA12=""),"",IF($F12="Maior Melhor",IF(BA12&gt;=AZ12,"Sim","Não"),IF(BA12&lt;=AZ12,"Sim","Não")))</f>
        <v>Sim</v>
      </c>
      <c r="BD12" s="3" t="n">
        <v>0.8</v>
      </c>
      <c r="BE12" s="3" t="n">
        <v>0.85</v>
      </c>
      <c r="BF12" s="4" t="n">
        <f aca="false">IF(OR(BD12="",BE12=""),"",IFERROR(IF($K12="%",BE12-BD12,BE12/BD12-1),""))</f>
        <v>0.0499999999999999</v>
      </c>
      <c r="BG12" s="5" t="str">
        <f aca="false">IF(OR(BD12="",BE12=""),"",IF($F12="Maior Melhor",IF(BE12&gt;=BD12,"Sim","Não"),IF(BE12&lt;=BD12,"Sim","Não")))</f>
        <v>Sim</v>
      </c>
      <c r="BH12" s="3" t="n">
        <v>0.8</v>
      </c>
      <c r="BI12" s="3" t="n">
        <v>0.85</v>
      </c>
      <c r="BJ12" s="4" t="n">
        <f aca="false">IF(OR(BH12="",BI12=""),"",IFERROR(IF($K12="%",BI12-BH12,BI12/BH12-1),""))</f>
        <v>0.0499999999999999</v>
      </c>
      <c r="BK12" s="5" t="str">
        <f aca="false">IF(OR(BH12="",BI12=""),"",IF($F12="Maior Melhor",IF(BI12&gt;=BH12,"Sim","Não"),IF(BI12&lt;=BH12,"Sim","Não")))</f>
        <v>Sim</v>
      </c>
      <c r="BL12" s="6"/>
      <c r="BM12" s="6"/>
      <c r="BN12" s="4" t="str">
        <f aca="false">IF(OR(BL12="",BM12=""),"",IFERROR(IF($K12="%",BM12-BL12,BM12/BL12-1),""))</f>
        <v/>
      </c>
      <c r="BO12" s="5" t="str">
        <f aca="false">IF(OR(BL12="",BM12=""),"",IF($F12="Maior Melhor",IF(BM12&gt;=BL12,"Sim","Não"),IF(BM12&lt;=BL12,"Sim","Não")))</f>
        <v/>
      </c>
      <c r="BP12" s="6"/>
      <c r="BQ12" s="6"/>
      <c r="BR12" s="4" t="str">
        <f aca="false">IF(OR(BP12="",BQ12=""),"",IFERROR(IF($K12="%",BQ12-BP12,BQ12/BP12-1),""))</f>
        <v/>
      </c>
      <c r="BS12" s="5" t="str">
        <f aca="false">IF(OR(BP12="",BQ12=""),"",IF($F12="Maior Melhor",IF(BQ12&gt;=BP12,"Sim","Não"),IF(BQ12&lt;=BP12,"Sim","Não")))</f>
        <v/>
      </c>
      <c r="BT12" s="6"/>
      <c r="BU12" s="6"/>
      <c r="BV12" s="4" t="str">
        <f aca="false">IF(OR(BT12="",BU12=""),"",IFERROR(IF($K12="%",BU12-BT12,BU12/BT12-1),""))</f>
        <v/>
      </c>
      <c r="BW12" s="5" t="str">
        <f aca="false">IF(OR(BT12="",BU12=""),"",IF($F12="Maior Melhor",IF(BU12&gt;=BT12,"Sim","Não"),IF(BU12&lt;=BT12,"Sim","Não")))</f>
        <v/>
      </c>
      <c r="BX12" s="6"/>
      <c r="BY12" s="6"/>
      <c r="BZ12" s="4" t="str">
        <f aca="false">IF(OR(BX12="",BY12=""),"",IFERROR(IF($K12="%",BY12-BX12,BY12/BX12-1),""))</f>
        <v/>
      </c>
      <c r="CA12" s="5" t="str">
        <f aca="false">IF(OR(BX12="",BY12=""),"",IF($F12="Maior Melhor",IF(BY12&gt;=BX12,"Sim","Não"),IF(BY12&lt;=BX12,"Sim","Não")))</f>
        <v/>
      </c>
      <c r="CB12" s="6"/>
      <c r="CC12" s="6"/>
      <c r="CD12" s="4" t="str">
        <f aca="false">IF(OR(CB12="",CC12=""),"",IFERROR(IF($K12="%",CC12-CB12,CC12/CB12-1),""))</f>
        <v/>
      </c>
      <c r="CE12" s="5" t="str">
        <f aca="false">IF(OR(CB12="",CC12=""),"",IF($F12="Maior Melhor",IF(CC12&gt;=CB12,"Sim","Não"),IF(CC12&lt;=CB12,"Sim","Não")))</f>
        <v/>
      </c>
      <c r="CF12" s="6"/>
      <c r="CG12" s="6"/>
      <c r="CH12" s="4" t="str">
        <f aca="false">IF(OR(CF12="",CG12=""),"",IFERROR(IF($K12="%",CG12-CF12,CG12/CF12-1),""))</f>
        <v/>
      </c>
      <c r="CI12" s="5" t="str">
        <f aca="false">IF(OR(CF12="",CG12=""),"",IF($F12="Maior Melhor",IF(CG12&gt;=CF12,"Sim","Não"),IF(CG12&lt;=CF12,"Sim","Não")))</f>
        <v/>
      </c>
      <c r="CJ12" s="6"/>
      <c r="CK12" s="6"/>
      <c r="CL12" s="4" t="str">
        <f aca="false">IF(OR(CJ12="",CK12=""),"",IFERROR(IF($K12="%",CK12-CJ12,CK12/CJ12-1),""))</f>
        <v/>
      </c>
      <c r="CM12" s="5" t="str">
        <f aca="false">IF(OR(CJ12="",CK12=""),"",IF($F12="Maior Melhor",IF(CK12&gt;=CJ12,"Sim","Não"),IF(CK12&lt;=CJ12,"Sim","Não")))</f>
        <v/>
      </c>
      <c r="CN12" s="6"/>
      <c r="CO12" s="6"/>
      <c r="CP12" s="4" t="str">
        <f aca="false">IF(OR(CN12="",CO12=""),"",IFERROR(IF($K12="%",CO12-CN12,CO12/CN12-1),""))</f>
        <v/>
      </c>
      <c r="CQ12" s="5" t="str">
        <f aca="false">IF(OR(CN12="",CO12=""),"",IF($F12="Maior Melhor",IF(CO12&gt;=CN12,"Sim","Não"),IF(CO12&lt;=CN12,"Sim","Não")))</f>
        <v/>
      </c>
      <c r="CR12" s="2" t="s">
        <v>123</v>
      </c>
    </row>
    <row r="13" customFormat="false" ht="15" hidden="false" customHeight="false" outlineLevel="0" collapsed="false">
      <c r="A13" s="2" t="s">
        <v>96</v>
      </c>
      <c r="B13" s="2" t="s">
        <v>108</v>
      </c>
      <c r="C13" s="2" t="s">
        <v>124</v>
      </c>
      <c r="D13" s="2" t="s">
        <v>99</v>
      </c>
      <c r="E13" s="2" t="str">
        <f aca="false">C13&amp;D13</f>
        <v>UTD ITAPETINGAAderência da carteira Comercial (Próprio)</v>
      </c>
      <c r="F13" s="2" t="s">
        <v>100</v>
      </c>
      <c r="G13" s="2" t="s">
        <v>101</v>
      </c>
      <c r="H13" s="2" t="s">
        <v>102</v>
      </c>
      <c r="I13" s="2" t="s">
        <v>103</v>
      </c>
      <c r="J13" s="2" t="n">
        <v>1</v>
      </c>
      <c r="K13" s="2" t="s">
        <v>104</v>
      </c>
      <c r="L13" s="3" t="n">
        <v>0.8</v>
      </c>
      <c r="M13" s="3" t="n">
        <v>0.6</v>
      </c>
      <c r="N13" s="4" t="n">
        <f aca="false">IF(OR(L13="",M13=""),"",IFERROR(IF($K13="%",M13-L13,M13/L13-1),""))</f>
        <v>-0.2</v>
      </c>
      <c r="O13" s="5" t="str">
        <f aca="false">IF(OR(L13="",M13=""),"",IF($F13="Maior Melhor",IF(M13&gt;=L13,"Sim","Não"),IF(M13&lt;=L13,"Sim","Não")))</f>
        <v>Não</v>
      </c>
      <c r="P13" s="3" t="n">
        <v>0.8</v>
      </c>
      <c r="Q13" s="3" t="n">
        <v>0.55</v>
      </c>
      <c r="R13" s="4" t="n">
        <f aca="false">IF(OR(P13="",Q13=""),"",IFERROR(IF($K13="%",Q13-P13,Q13/P13-1),""))</f>
        <v>-0.25</v>
      </c>
      <c r="S13" s="5" t="str">
        <f aca="false">IF(OR(P13="",Q13=""),"",IF($F13="Maior Melhor",IF(Q13&gt;=P13,"Sim","Não"),IF(Q13&lt;=P13,"Sim","Não")))</f>
        <v>Não</v>
      </c>
      <c r="T13" s="3" t="n">
        <v>0.8</v>
      </c>
      <c r="U13" s="3" t="n">
        <v>0.48</v>
      </c>
      <c r="V13" s="4" t="n">
        <f aca="false">IF(OR(T13="",U13=""),"",IFERROR(IF($K13="%",U13-T13,U13/T13-1),""))</f>
        <v>-0.32</v>
      </c>
      <c r="W13" s="5" t="str">
        <f aca="false">IF(OR(T13="",U13=""),"",IF($F13="Maior Melhor",IF(U13&gt;=T13,"Sim","Não"),IF(U13&lt;=T13,"Sim","Não")))</f>
        <v>Não</v>
      </c>
      <c r="X13" s="3" t="n">
        <v>0.8</v>
      </c>
      <c r="Y13" s="3" t="n">
        <v>0.85</v>
      </c>
      <c r="Z13" s="4" t="n">
        <f aca="false">IF(OR(X13="",Y13=""),"",IFERROR(IF($K13="%",Y13-X13,Y13/X13-1),""))</f>
        <v>0.0499999999999999</v>
      </c>
      <c r="AA13" s="5" t="str">
        <f aca="false">IF(OR(X13="",Y13=""),"",IF($F13="Maior Melhor",IF(Y13&gt;=X13,"Sim","Não"),IF(Y13&lt;=X13,"Sim","Não")))</f>
        <v>Sim</v>
      </c>
      <c r="AB13" s="3" t="n">
        <v>0.8</v>
      </c>
      <c r="AC13" s="3" t="n">
        <v>0.85</v>
      </c>
      <c r="AD13" s="4" t="n">
        <f aca="false">IF(OR(AB13="",AC13=""),"",IFERROR(IF($K13="%",AC13-AB13,AC13/AB13-1),""))</f>
        <v>0.0499999999999999</v>
      </c>
      <c r="AE13" s="5" t="str">
        <f aca="false">IF(OR(AB13="",AC13=""),"",IF($F13="Maior Melhor",IF(AC13&gt;=AB13,"Sim","Não"),IF(AC13&lt;=AB13,"Sim","Não")))</f>
        <v>Sim</v>
      </c>
      <c r="AF13" s="3" t="n">
        <v>0.8</v>
      </c>
      <c r="AG13" s="3" t="n">
        <v>0.87</v>
      </c>
      <c r="AH13" s="4" t="n">
        <f aca="false">IF(OR(AF13="",AG13=""),"",IFERROR(IF($K13="%",AG13-AF13,AG13/AF13-1),""))</f>
        <v>0.07</v>
      </c>
      <c r="AI13" s="5" t="str">
        <f aca="false">IF(OR(AF13="",AG13=""),"",IF($F13="Maior Melhor",IF(AG13&gt;=AF13,"Sim","Não"),IF(AG13&lt;=AF13,"Sim","Não")))</f>
        <v>Sim</v>
      </c>
      <c r="AJ13" s="3" t="n">
        <v>0.8</v>
      </c>
      <c r="AK13" s="3" t="n">
        <v>0.87</v>
      </c>
      <c r="AL13" s="4" t="n">
        <f aca="false">IF(OR(AJ13="",AK13=""),"",IFERROR(IF($K13="%",AK13-AJ13,AK13/AJ13-1),""))</f>
        <v>0.07</v>
      </c>
      <c r="AM13" s="5" t="str">
        <f aca="false">IF(OR(AJ13="",AK13=""),"",IF($F13="Maior Melhor",IF(AK13&gt;=AJ13,"Sim","Não"),IF(AK13&lt;=AJ13,"Sim","Não")))</f>
        <v>Sim</v>
      </c>
      <c r="AN13" s="3" t="n">
        <v>0.8</v>
      </c>
      <c r="AO13" s="3" t="n">
        <v>0.82</v>
      </c>
      <c r="AP13" s="4" t="n">
        <f aca="false">IF(OR(AN13="",AO13=""),"",IFERROR(IF($K13="%",AO13-AN13,AO13/AN13-1),""))</f>
        <v>0.0199999999999999</v>
      </c>
      <c r="AQ13" s="5" t="str">
        <f aca="false">IF(OR(AN13="",AO13=""),"",IF($F13="Maior Melhor",IF(AO13&gt;=AN13,"Sim","Não"),IF(AO13&lt;=AN13,"Sim","Não")))</f>
        <v>Sim</v>
      </c>
      <c r="AR13" s="3" t="n">
        <v>0.8</v>
      </c>
      <c r="AS13" s="3" t="n">
        <v>0.82</v>
      </c>
      <c r="AT13" s="4" t="n">
        <f aca="false">IF(OR(AR13="",AS13=""),"",IFERROR(IF($K13="%",AS13-AR13,AS13/AR13-1),""))</f>
        <v>0.0199999999999999</v>
      </c>
      <c r="AU13" s="5" t="str">
        <f aca="false">IF(OR(AR13="",AS13=""),"",IF($F13="Maior Melhor",IF(AS13&gt;=AR13,"Sim","Não"),IF(AS13&lt;=AR13,"Sim","Não")))</f>
        <v>Sim</v>
      </c>
      <c r="AV13" s="3" t="n">
        <v>0.8</v>
      </c>
      <c r="AW13" s="3" t="n">
        <v>0.92</v>
      </c>
      <c r="AX13" s="4" t="n">
        <f aca="false">IF(OR(AV13="",AW13=""),"",IFERROR(IF($K13="%",AW13-AV13,AW13/AV13-1),""))</f>
        <v>0.12</v>
      </c>
      <c r="AY13" s="5" t="str">
        <f aca="false">IF(OR(AV13="",AW13=""),"",IF($F13="Maior Melhor",IF(AW13&gt;=AV13,"Sim","Não"),IF(AW13&lt;=AV13,"Sim","Não")))</f>
        <v>Sim</v>
      </c>
      <c r="AZ13" s="3" t="n">
        <v>0.8</v>
      </c>
      <c r="BA13" s="3" t="n">
        <v>0.92</v>
      </c>
      <c r="BB13" s="4" t="n">
        <f aca="false">IF(OR(AZ13="",BA13=""),"",IFERROR(IF($K13="%",BA13-AZ13,BA13/AZ13-1),""))</f>
        <v>0.12</v>
      </c>
      <c r="BC13" s="5" t="str">
        <f aca="false">IF(OR(AZ13="",BA13=""),"",IF($F13="Maior Melhor",IF(BA13&gt;=AZ13,"Sim","Não"),IF(BA13&lt;=AZ13,"Sim","Não")))</f>
        <v>Sim</v>
      </c>
      <c r="BD13" s="3" t="n">
        <v>0.8</v>
      </c>
      <c r="BE13" s="3" t="n">
        <v>0.97</v>
      </c>
      <c r="BF13" s="4" t="n">
        <f aca="false">IF(OR(BD13="",BE13=""),"",IFERROR(IF($K13="%",BE13-BD13,BE13/BD13-1),""))</f>
        <v>0.17</v>
      </c>
      <c r="BG13" s="5" t="str">
        <f aca="false">IF(OR(BD13="",BE13=""),"",IF($F13="Maior Melhor",IF(BE13&gt;=BD13,"Sim","Não"),IF(BE13&lt;=BD13,"Sim","Não")))</f>
        <v>Sim</v>
      </c>
      <c r="BH13" s="3" t="n">
        <v>0.8</v>
      </c>
      <c r="BI13" s="3" t="n">
        <v>0.97</v>
      </c>
      <c r="BJ13" s="4" t="n">
        <f aca="false">IF(OR(BH13="",BI13=""),"",IFERROR(IF($K13="%",BI13-BH13,BI13/BH13-1),""))</f>
        <v>0.17</v>
      </c>
      <c r="BK13" s="5" t="str">
        <f aca="false">IF(OR(BH13="",BI13=""),"",IF($F13="Maior Melhor",IF(BI13&gt;=BH13,"Sim","Não"),IF(BI13&lt;=BH13,"Sim","Não")))</f>
        <v>Sim</v>
      </c>
      <c r="BL13" s="6"/>
      <c r="BM13" s="6"/>
      <c r="BN13" s="4" t="str">
        <f aca="false">IF(OR(BL13="",BM13=""),"",IFERROR(IF($K13="%",BM13-BL13,BM13/BL13-1),""))</f>
        <v/>
      </c>
      <c r="BO13" s="5" t="str">
        <f aca="false">IF(OR(BL13="",BM13=""),"",IF($F13="Maior Melhor",IF(BM13&gt;=BL13,"Sim","Não"),IF(BM13&lt;=BL13,"Sim","Não")))</f>
        <v/>
      </c>
      <c r="BP13" s="6"/>
      <c r="BQ13" s="6"/>
      <c r="BR13" s="4" t="str">
        <f aca="false">IF(OR(BP13="",BQ13=""),"",IFERROR(IF($K13="%",BQ13-BP13,BQ13/BP13-1),""))</f>
        <v/>
      </c>
      <c r="BS13" s="5" t="str">
        <f aca="false">IF(OR(BP13="",BQ13=""),"",IF($F13="Maior Melhor",IF(BQ13&gt;=BP13,"Sim","Não"),IF(BQ13&lt;=BP13,"Sim","Não")))</f>
        <v/>
      </c>
      <c r="BT13" s="6"/>
      <c r="BU13" s="6"/>
      <c r="BV13" s="4" t="str">
        <f aca="false">IF(OR(BT13="",BU13=""),"",IFERROR(IF($K13="%",BU13-BT13,BU13/BT13-1),""))</f>
        <v/>
      </c>
      <c r="BW13" s="5" t="str">
        <f aca="false">IF(OR(BT13="",BU13=""),"",IF($F13="Maior Melhor",IF(BU13&gt;=BT13,"Sim","Não"),IF(BU13&lt;=BT13,"Sim","Não")))</f>
        <v/>
      </c>
      <c r="BX13" s="6"/>
      <c r="BY13" s="6"/>
      <c r="BZ13" s="4" t="str">
        <f aca="false">IF(OR(BX13="",BY13=""),"",IFERROR(IF($K13="%",BY13-BX13,BY13/BX13-1),""))</f>
        <v/>
      </c>
      <c r="CA13" s="5" t="str">
        <f aca="false">IF(OR(BX13="",BY13=""),"",IF($F13="Maior Melhor",IF(BY13&gt;=BX13,"Sim","Não"),IF(BY13&lt;=BX13,"Sim","Não")))</f>
        <v/>
      </c>
      <c r="CB13" s="6"/>
      <c r="CC13" s="6"/>
      <c r="CD13" s="4" t="str">
        <f aca="false">IF(OR(CB13="",CC13=""),"",IFERROR(IF($K13="%",CC13-CB13,CC13/CB13-1),""))</f>
        <v/>
      </c>
      <c r="CE13" s="5" t="str">
        <f aca="false">IF(OR(CB13="",CC13=""),"",IF($F13="Maior Melhor",IF(CC13&gt;=CB13,"Sim","Não"),IF(CC13&lt;=CB13,"Sim","Não")))</f>
        <v/>
      </c>
      <c r="CF13" s="6"/>
      <c r="CG13" s="6"/>
      <c r="CH13" s="4" t="str">
        <f aca="false">IF(OR(CF13="",CG13=""),"",IFERROR(IF($K13="%",CG13-CF13,CG13/CF13-1),""))</f>
        <v/>
      </c>
      <c r="CI13" s="5" t="str">
        <f aca="false">IF(OR(CF13="",CG13=""),"",IF($F13="Maior Melhor",IF(CG13&gt;=CF13,"Sim","Não"),IF(CG13&lt;=CF13,"Sim","Não")))</f>
        <v/>
      </c>
      <c r="CJ13" s="6"/>
      <c r="CK13" s="6"/>
      <c r="CL13" s="4" t="str">
        <f aca="false">IF(OR(CJ13="",CK13=""),"",IFERROR(IF($K13="%",CK13-CJ13,CK13/CJ13-1),""))</f>
        <v/>
      </c>
      <c r="CM13" s="5" t="str">
        <f aca="false">IF(OR(CJ13="",CK13=""),"",IF($F13="Maior Melhor",IF(CK13&gt;=CJ13,"Sim","Não"),IF(CK13&lt;=CJ13,"Sim","Não")))</f>
        <v/>
      </c>
      <c r="CN13" s="6"/>
      <c r="CO13" s="6"/>
      <c r="CP13" s="4" t="str">
        <f aca="false">IF(OR(CN13="",CO13=""),"",IFERROR(IF($K13="%",CO13-CN13,CO13/CN13-1),""))</f>
        <v/>
      </c>
      <c r="CQ13" s="5" t="str">
        <f aca="false">IF(OR(CN13="",CO13=""),"",IF($F13="Maior Melhor",IF(CO13&gt;=CN13,"Sim","Não"),IF(CO13&lt;=CN13,"Sim","Não")))</f>
        <v/>
      </c>
      <c r="CR13" s="2" t="s">
        <v>105</v>
      </c>
    </row>
    <row r="14" customFormat="false" ht="15" hidden="false" customHeight="false" outlineLevel="0" collapsed="false">
      <c r="A14" s="2" t="s">
        <v>96</v>
      </c>
      <c r="B14" s="2" t="s">
        <v>97</v>
      </c>
      <c r="C14" s="2" t="s">
        <v>125</v>
      </c>
      <c r="D14" s="2" t="s">
        <v>99</v>
      </c>
      <c r="E14" s="2" t="str">
        <f aca="false">C14&amp;D14</f>
        <v>UTD JEQUIÉAderência da carteira Comercial (Próprio)</v>
      </c>
      <c r="F14" s="2" t="s">
        <v>100</v>
      </c>
      <c r="G14" s="2" t="s">
        <v>101</v>
      </c>
      <c r="H14" s="2" t="s">
        <v>102</v>
      </c>
      <c r="I14" s="2" t="s">
        <v>103</v>
      </c>
      <c r="J14" s="2" t="n">
        <v>1</v>
      </c>
      <c r="K14" s="2" t="s">
        <v>104</v>
      </c>
      <c r="L14" s="3" t="n">
        <v>0.8</v>
      </c>
      <c r="M14" s="3" t="n">
        <v>0.71</v>
      </c>
      <c r="N14" s="4" t="n">
        <f aca="false">IF(OR(L14="",M14=""),"",IFERROR(IF($K14="%",M14-L14,M14/L14-1),""))</f>
        <v>-0.0900000000000001</v>
      </c>
      <c r="O14" s="5" t="str">
        <f aca="false">IF(OR(L14="",M14=""),"",IF($F14="Maior Melhor",IF(M14&gt;=L14,"Sim","Não"),IF(M14&lt;=L14,"Sim","Não")))</f>
        <v>Não</v>
      </c>
      <c r="P14" s="3" t="n">
        <v>0.8</v>
      </c>
      <c r="Q14" s="3" t="n">
        <v>0.64</v>
      </c>
      <c r="R14" s="4" t="n">
        <f aca="false">IF(OR(P14="",Q14=""),"",IFERROR(IF($K14="%",Q14-P14,Q14/P14-1),""))</f>
        <v>-0.16</v>
      </c>
      <c r="S14" s="5" t="str">
        <f aca="false">IF(OR(P14="",Q14=""),"",IF($F14="Maior Melhor",IF(Q14&gt;=P14,"Sim","Não"),IF(Q14&lt;=P14,"Sim","Não")))</f>
        <v>Não</v>
      </c>
      <c r="T14" s="3" t="n">
        <v>0.8</v>
      </c>
      <c r="U14" s="3" t="n">
        <v>0.67</v>
      </c>
      <c r="V14" s="4" t="n">
        <f aca="false">IF(OR(T14="",U14=""),"",IFERROR(IF($K14="%",U14-T14,U14/T14-1),""))</f>
        <v>-0.13</v>
      </c>
      <c r="W14" s="5" t="str">
        <f aca="false">IF(OR(T14="",U14=""),"",IF($F14="Maior Melhor",IF(U14&gt;=T14,"Sim","Não"),IF(U14&lt;=T14,"Sim","Não")))</f>
        <v>Não</v>
      </c>
      <c r="X14" s="3" t="n">
        <v>0.8</v>
      </c>
      <c r="Y14" s="3" t="n">
        <v>0.91</v>
      </c>
      <c r="Z14" s="4" t="n">
        <f aca="false">IF(OR(X14="",Y14=""),"",IFERROR(IF($K14="%",Y14-X14,Y14/X14-1),""))</f>
        <v>0.11</v>
      </c>
      <c r="AA14" s="5" t="str">
        <f aca="false">IF(OR(X14="",Y14=""),"",IF($F14="Maior Melhor",IF(Y14&gt;=X14,"Sim","Não"),IF(Y14&lt;=X14,"Sim","Não")))</f>
        <v>Sim</v>
      </c>
      <c r="AB14" s="3" t="n">
        <v>0.8</v>
      </c>
      <c r="AC14" s="3" t="n">
        <v>0.91</v>
      </c>
      <c r="AD14" s="4" t="n">
        <f aca="false">IF(OR(AB14="",AC14=""),"",IFERROR(IF($K14="%",AC14-AB14,AC14/AB14-1),""))</f>
        <v>0.11</v>
      </c>
      <c r="AE14" s="5" t="str">
        <f aca="false">IF(OR(AB14="",AC14=""),"",IF($F14="Maior Melhor",IF(AC14&gt;=AB14,"Sim","Não"),IF(AC14&lt;=AB14,"Sim","Não")))</f>
        <v>Sim</v>
      </c>
      <c r="AF14" s="3" t="n">
        <v>0.8</v>
      </c>
      <c r="AG14" s="3" t="n">
        <v>0.98</v>
      </c>
      <c r="AH14" s="4" t="n">
        <f aca="false">IF(OR(AF14="",AG14=""),"",IFERROR(IF($K14="%",AG14-AF14,AG14/AF14-1),""))</f>
        <v>0.18</v>
      </c>
      <c r="AI14" s="5" t="str">
        <f aca="false">IF(OR(AF14="",AG14=""),"",IF($F14="Maior Melhor",IF(AG14&gt;=AF14,"Sim","Não"),IF(AG14&lt;=AF14,"Sim","Não")))</f>
        <v>Sim</v>
      </c>
      <c r="AJ14" s="3" t="n">
        <v>0.8</v>
      </c>
      <c r="AK14" s="3" t="n">
        <v>0.98</v>
      </c>
      <c r="AL14" s="4" t="n">
        <f aca="false">IF(OR(AJ14="",AK14=""),"",IFERROR(IF($K14="%",AK14-AJ14,AK14/AJ14-1),""))</f>
        <v>0.18</v>
      </c>
      <c r="AM14" s="5" t="str">
        <f aca="false">IF(OR(AJ14="",AK14=""),"",IF($F14="Maior Melhor",IF(AK14&gt;=AJ14,"Sim","Não"),IF(AK14&lt;=AJ14,"Sim","Não")))</f>
        <v>Sim</v>
      </c>
      <c r="AN14" s="3" t="n">
        <v>0.8</v>
      </c>
      <c r="AO14" s="3" t="n">
        <v>0.94</v>
      </c>
      <c r="AP14" s="4" t="n">
        <f aca="false">IF(OR(AN14="",AO14=""),"",IFERROR(IF($K14="%",AO14-AN14,AO14/AN14-1),""))</f>
        <v>0.14</v>
      </c>
      <c r="AQ14" s="5" t="str">
        <f aca="false">IF(OR(AN14="",AO14=""),"",IF($F14="Maior Melhor",IF(AO14&gt;=AN14,"Sim","Não"),IF(AO14&lt;=AN14,"Sim","Não")))</f>
        <v>Sim</v>
      </c>
      <c r="AR14" s="3" t="n">
        <v>0.8</v>
      </c>
      <c r="AS14" s="3" t="n">
        <v>0.94</v>
      </c>
      <c r="AT14" s="4" t="n">
        <f aca="false">IF(OR(AR14="",AS14=""),"",IFERROR(IF($K14="%",AS14-AR14,AS14/AR14-1),""))</f>
        <v>0.14</v>
      </c>
      <c r="AU14" s="5" t="str">
        <f aca="false">IF(OR(AR14="",AS14=""),"",IF($F14="Maior Melhor",IF(AS14&gt;=AR14,"Sim","Não"),IF(AS14&lt;=AR14,"Sim","Não")))</f>
        <v>Sim</v>
      </c>
      <c r="AV14" s="3" t="n">
        <v>0.8</v>
      </c>
      <c r="AW14" s="3" t="n">
        <v>0.94</v>
      </c>
      <c r="AX14" s="4" t="n">
        <f aca="false">IF(OR(AV14="",AW14=""),"",IFERROR(IF($K14="%",AW14-AV14,AW14/AV14-1),""))</f>
        <v>0.14</v>
      </c>
      <c r="AY14" s="5" t="str">
        <f aca="false">IF(OR(AV14="",AW14=""),"",IF($F14="Maior Melhor",IF(AW14&gt;=AV14,"Sim","Não"),IF(AW14&lt;=AV14,"Sim","Não")))</f>
        <v>Sim</v>
      </c>
      <c r="AZ14" s="3" t="n">
        <v>0.8</v>
      </c>
      <c r="BA14" s="3" t="n">
        <v>0.94</v>
      </c>
      <c r="BB14" s="4" t="n">
        <f aca="false">IF(OR(AZ14="",BA14=""),"",IFERROR(IF($K14="%",BA14-AZ14,BA14/AZ14-1),""))</f>
        <v>0.14</v>
      </c>
      <c r="BC14" s="5" t="str">
        <f aca="false">IF(OR(AZ14="",BA14=""),"",IF($F14="Maior Melhor",IF(BA14&gt;=AZ14,"Sim","Não"),IF(BA14&lt;=AZ14,"Sim","Não")))</f>
        <v>Sim</v>
      </c>
      <c r="BD14" s="3" t="n">
        <v>0.8</v>
      </c>
      <c r="BE14" s="3" t="n">
        <v>0.93</v>
      </c>
      <c r="BF14" s="4" t="n">
        <f aca="false">IF(OR(BD14="",BE14=""),"",IFERROR(IF($K14="%",BE14-BD14,BE14/BD14-1),""))</f>
        <v>0.13</v>
      </c>
      <c r="BG14" s="5" t="str">
        <f aca="false">IF(OR(BD14="",BE14=""),"",IF($F14="Maior Melhor",IF(BE14&gt;=BD14,"Sim","Não"),IF(BE14&lt;=BD14,"Sim","Não")))</f>
        <v>Sim</v>
      </c>
      <c r="BH14" s="3" t="n">
        <v>0.8</v>
      </c>
      <c r="BI14" s="3" t="n">
        <v>0.93</v>
      </c>
      <c r="BJ14" s="4" t="n">
        <f aca="false">IF(OR(BH14="",BI14=""),"",IFERROR(IF($K14="%",BI14-BH14,BI14/BH14-1),""))</f>
        <v>0.13</v>
      </c>
      <c r="BK14" s="5" t="str">
        <f aca="false">IF(OR(BH14="",BI14=""),"",IF($F14="Maior Melhor",IF(BI14&gt;=BH14,"Sim","Não"),IF(BI14&lt;=BH14,"Sim","Não")))</f>
        <v>Sim</v>
      </c>
      <c r="BL14" s="6"/>
      <c r="BM14" s="6"/>
      <c r="BN14" s="4" t="str">
        <f aca="false">IF(OR(BL14="",BM14=""),"",IFERROR(IF($K14="%",BM14-BL14,BM14/BL14-1),""))</f>
        <v/>
      </c>
      <c r="BO14" s="5" t="str">
        <f aca="false">IF(OR(BL14="",BM14=""),"",IF($F14="Maior Melhor",IF(BM14&gt;=BL14,"Sim","Não"),IF(BM14&lt;=BL14,"Sim","Não")))</f>
        <v/>
      </c>
      <c r="BP14" s="6"/>
      <c r="BQ14" s="6"/>
      <c r="BR14" s="4" t="str">
        <f aca="false">IF(OR(BP14="",BQ14=""),"",IFERROR(IF($K14="%",BQ14-BP14,BQ14/BP14-1),""))</f>
        <v/>
      </c>
      <c r="BS14" s="5" t="str">
        <f aca="false">IF(OR(BP14="",BQ14=""),"",IF($F14="Maior Melhor",IF(BQ14&gt;=BP14,"Sim","Não"),IF(BQ14&lt;=BP14,"Sim","Não")))</f>
        <v/>
      </c>
      <c r="BT14" s="6"/>
      <c r="BU14" s="6"/>
      <c r="BV14" s="4" t="str">
        <f aca="false">IF(OR(BT14="",BU14=""),"",IFERROR(IF($K14="%",BU14-BT14,BU14/BT14-1),""))</f>
        <v/>
      </c>
      <c r="BW14" s="5" t="str">
        <f aca="false">IF(OR(BT14="",BU14=""),"",IF($F14="Maior Melhor",IF(BU14&gt;=BT14,"Sim","Não"),IF(BU14&lt;=BT14,"Sim","Não")))</f>
        <v/>
      </c>
      <c r="BX14" s="6"/>
      <c r="BY14" s="6"/>
      <c r="BZ14" s="4" t="str">
        <f aca="false">IF(OR(BX14="",BY14=""),"",IFERROR(IF($K14="%",BY14-BX14,BY14/BX14-1),""))</f>
        <v/>
      </c>
      <c r="CA14" s="5" t="str">
        <f aca="false">IF(OR(BX14="",BY14=""),"",IF($F14="Maior Melhor",IF(BY14&gt;=BX14,"Sim","Não"),IF(BY14&lt;=BX14,"Sim","Não")))</f>
        <v/>
      </c>
      <c r="CB14" s="6"/>
      <c r="CC14" s="6"/>
      <c r="CD14" s="4" t="str">
        <f aca="false">IF(OR(CB14="",CC14=""),"",IFERROR(IF($K14="%",CC14-CB14,CC14/CB14-1),""))</f>
        <v/>
      </c>
      <c r="CE14" s="5" t="str">
        <f aca="false">IF(OR(CB14="",CC14=""),"",IF($F14="Maior Melhor",IF(CC14&gt;=CB14,"Sim","Não"),IF(CC14&lt;=CB14,"Sim","Não")))</f>
        <v/>
      </c>
      <c r="CF14" s="6"/>
      <c r="CG14" s="6"/>
      <c r="CH14" s="4" t="str">
        <f aca="false">IF(OR(CF14="",CG14=""),"",IFERROR(IF($K14="%",CG14-CF14,CG14/CF14-1),""))</f>
        <v/>
      </c>
      <c r="CI14" s="5" t="str">
        <f aca="false">IF(OR(CF14="",CG14=""),"",IF($F14="Maior Melhor",IF(CG14&gt;=CF14,"Sim","Não"),IF(CG14&lt;=CF14,"Sim","Não")))</f>
        <v/>
      </c>
      <c r="CJ14" s="6"/>
      <c r="CK14" s="6"/>
      <c r="CL14" s="4" t="str">
        <f aca="false">IF(OR(CJ14="",CK14=""),"",IFERROR(IF($K14="%",CK14-CJ14,CK14/CJ14-1),""))</f>
        <v/>
      </c>
      <c r="CM14" s="5" t="str">
        <f aca="false">IF(OR(CJ14="",CK14=""),"",IF($F14="Maior Melhor",IF(CK14&gt;=CJ14,"Sim","Não"),IF(CK14&lt;=CJ14,"Sim","Não")))</f>
        <v/>
      </c>
      <c r="CN14" s="6"/>
      <c r="CO14" s="6"/>
      <c r="CP14" s="4" t="str">
        <f aca="false">IF(OR(CN14="",CO14=""),"",IFERROR(IF($K14="%",CO14-CN14,CO14/CN14-1),""))</f>
        <v/>
      </c>
      <c r="CQ14" s="5" t="str">
        <f aca="false">IF(OR(CN14="",CO14=""),"",IF($F14="Maior Melhor",IF(CO14&gt;=CN14,"Sim","Não"),IF(CO14&lt;=CN14,"Sim","Não")))</f>
        <v/>
      </c>
      <c r="CR14" s="2" t="s">
        <v>105</v>
      </c>
    </row>
    <row r="15" customFormat="false" ht="15" hidden="false" customHeight="false" outlineLevel="0" collapsed="false">
      <c r="A15" s="2" t="s">
        <v>96</v>
      </c>
      <c r="B15" s="2" t="s">
        <v>97</v>
      </c>
      <c r="C15" s="2" t="s">
        <v>126</v>
      </c>
      <c r="D15" s="2" t="s">
        <v>99</v>
      </c>
      <c r="E15" s="2" t="str">
        <f aca="false">C15&amp;D15</f>
        <v>UTD LIVRAMENTO DE NOSSA SENHORAAderência da carteira Comercial (Próprio)</v>
      </c>
      <c r="F15" s="2" t="s">
        <v>100</v>
      </c>
      <c r="G15" s="2" t="s">
        <v>101</v>
      </c>
      <c r="H15" s="2" t="s">
        <v>102</v>
      </c>
      <c r="I15" s="2" t="s">
        <v>103</v>
      </c>
      <c r="J15" s="2" t="n">
        <v>1</v>
      </c>
      <c r="K15" s="2" t="s">
        <v>104</v>
      </c>
      <c r="L15" s="3" t="n">
        <v>0.8</v>
      </c>
      <c r="M15" s="3" t="n">
        <v>0.9</v>
      </c>
      <c r="N15" s="4" t="n">
        <f aca="false">IF(OR(L15="",M15=""),"",IFERROR(IF($K15="%",M15-L15,M15/L15-1),""))</f>
        <v>0.1</v>
      </c>
      <c r="O15" s="5" t="str">
        <f aca="false">IF(OR(L15="",M15=""),"",IF($F15="Maior Melhor",IF(M15&gt;=L15,"Sim","Não"),IF(M15&lt;=L15,"Sim","Não")))</f>
        <v>Sim</v>
      </c>
      <c r="P15" s="3" t="n">
        <v>0.8</v>
      </c>
      <c r="Q15" s="3" t="n">
        <v>0.57</v>
      </c>
      <c r="R15" s="4" t="n">
        <f aca="false">IF(OR(P15="",Q15=""),"",IFERROR(IF($K15="%",Q15-P15,Q15/P15-1),""))</f>
        <v>-0.23</v>
      </c>
      <c r="S15" s="5" t="str">
        <f aca="false">IF(OR(P15="",Q15=""),"",IF($F15="Maior Melhor",IF(Q15&gt;=P15,"Sim","Não"),IF(Q15&lt;=P15,"Sim","Não")))</f>
        <v>Não</v>
      </c>
      <c r="T15" s="3" t="n">
        <v>0.8</v>
      </c>
      <c r="U15" s="3" t="n">
        <v>0.5</v>
      </c>
      <c r="V15" s="4" t="n">
        <f aca="false">IF(OR(T15="",U15=""),"",IFERROR(IF($K15="%",U15-T15,U15/T15-1),""))</f>
        <v>-0.3</v>
      </c>
      <c r="W15" s="5" t="str">
        <f aca="false">IF(OR(T15="",U15=""),"",IF($F15="Maior Melhor",IF(U15&gt;=T15,"Sim","Não"),IF(U15&lt;=T15,"Sim","Não")))</f>
        <v>Não</v>
      </c>
      <c r="X15" s="3" t="n">
        <v>0.8</v>
      </c>
      <c r="Y15" s="3" t="n">
        <v>0.94</v>
      </c>
      <c r="Z15" s="4" t="n">
        <f aca="false">IF(OR(X15="",Y15=""),"",IFERROR(IF($K15="%",Y15-X15,Y15/X15-1),""))</f>
        <v>0.14</v>
      </c>
      <c r="AA15" s="5" t="str">
        <f aca="false">IF(OR(X15="",Y15=""),"",IF($F15="Maior Melhor",IF(Y15&gt;=X15,"Sim","Não"),IF(Y15&lt;=X15,"Sim","Não")))</f>
        <v>Sim</v>
      </c>
      <c r="AB15" s="3" t="n">
        <v>0.8</v>
      </c>
      <c r="AC15" s="3" t="n">
        <v>0.94</v>
      </c>
      <c r="AD15" s="4" t="n">
        <f aca="false">IF(OR(AB15="",AC15=""),"",IFERROR(IF($K15="%",AC15-AB15,AC15/AB15-1),""))</f>
        <v>0.14</v>
      </c>
      <c r="AE15" s="5" t="str">
        <f aca="false">IF(OR(AB15="",AC15=""),"",IF($F15="Maior Melhor",IF(AC15&gt;=AB15,"Sim","Não"),IF(AC15&lt;=AB15,"Sim","Não")))</f>
        <v>Sim</v>
      </c>
      <c r="AF15" s="3" t="n">
        <v>0.8</v>
      </c>
      <c r="AG15" s="3" t="n">
        <v>0.93</v>
      </c>
      <c r="AH15" s="4" t="n">
        <f aca="false">IF(OR(AF15="",AG15=""),"",IFERROR(IF($K15="%",AG15-AF15,AG15/AF15-1),""))</f>
        <v>0.13</v>
      </c>
      <c r="AI15" s="5" t="str">
        <f aca="false">IF(OR(AF15="",AG15=""),"",IF($F15="Maior Melhor",IF(AG15&gt;=AF15,"Sim","Não"),IF(AG15&lt;=AF15,"Sim","Não")))</f>
        <v>Sim</v>
      </c>
      <c r="AJ15" s="3" t="n">
        <v>0.8</v>
      </c>
      <c r="AK15" s="3" t="n">
        <v>0.93</v>
      </c>
      <c r="AL15" s="4" t="n">
        <f aca="false">IF(OR(AJ15="",AK15=""),"",IFERROR(IF($K15="%",AK15-AJ15,AK15/AJ15-1),""))</f>
        <v>0.13</v>
      </c>
      <c r="AM15" s="5" t="str">
        <f aca="false">IF(OR(AJ15="",AK15=""),"",IF($F15="Maior Melhor",IF(AK15&gt;=AJ15,"Sim","Não"),IF(AK15&lt;=AJ15,"Sim","Não")))</f>
        <v>Sim</v>
      </c>
      <c r="AN15" s="3" t="n">
        <v>0.8</v>
      </c>
      <c r="AO15" s="3" t="n">
        <v>0.96</v>
      </c>
      <c r="AP15" s="4" t="n">
        <f aca="false">IF(OR(AN15="",AO15=""),"",IFERROR(IF($K15="%",AO15-AN15,AO15/AN15-1),""))</f>
        <v>0.16</v>
      </c>
      <c r="AQ15" s="5" t="str">
        <f aca="false">IF(OR(AN15="",AO15=""),"",IF($F15="Maior Melhor",IF(AO15&gt;=AN15,"Sim","Não"),IF(AO15&lt;=AN15,"Sim","Não")))</f>
        <v>Sim</v>
      </c>
      <c r="AR15" s="3" t="n">
        <v>0.8</v>
      </c>
      <c r="AS15" s="3" t="n">
        <v>0.96</v>
      </c>
      <c r="AT15" s="4" t="n">
        <f aca="false">IF(OR(AR15="",AS15=""),"",IFERROR(IF($K15="%",AS15-AR15,AS15/AR15-1),""))</f>
        <v>0.16</v>
      </c>
      <c r="AU15" s="5" t="str">
        <f aca="false">IF(OR(AR15="",AS15=""),"",IF($F15="Maior Melhor",IF(AS15&gt;=AR15,"Sim","Não"),IF(AS15&lt;=AR15,"Sim","Não")))</f>
        <v>Sim</v>
      </c>
      <c r="AV15" s="3" t="n">
        <v>0.8</v>
      </c>
      <c r="AW15" s="3" t="n">
        <v>0.95</v>
      </c>
      <c r="AX15" s="4" t="n">
        <f aca="false">IF(OR(AV15="",AW15=""),"",IFERROR(IF($K15="%",AW15-AV15,AW15/AV15-1),""))</f>
        <v>0.15</v>
      </c>
      <c r="AY15" s="5" t="str">
        <f aca="false">IF(OR(AV15="",AW15=""),"",IF($F15="Maior Melhor",IF(AW15&gt;=AV15,"Sim","Não"),IF(AW15&lt;=AV15,"Sim","Não")))</f>
        <v>Sim</v>
      </c>
      <c r="AZ15" s="3" t="n">
        <v>0.8</v>
      </c>
      <c r="BA15" s="3" t="n">
        <v>0.95</v>
      </c>
      <c r="BB15" s="4" t="n">
        <f aca="false">IF(OR(AZ15="",BA15=""),"",IFERROR(IF($K15="%",BA15-AZ15,BA15/AZ15-1),""))</f>
        <v>0.15</v>
      </c>
      <c r="BC15" s="5" t="str">
        <f aca="false">IF(OR(AZ15="",BA15=""),"",IF($F15="Maior Melhor",IF(BA15&gt;=AZ15,"Sim","Não"),IF(BA15&lt;=AZ15,"Sim","Não")))</f>
        <v>Sim</v>
      </c>
      <c r="BD15" s="3" t="n">
        <v>0.8</v>
      </c>
      <c r="BE15" s="3" t="n">
        <v>0.94</v>
      </c>
      <c r="BF15" s="4" t="n">
        <f aca="false">IF(OR(BD15="",BE15=""),"",IFERROR(IF($K15="%",BE15-BD15,BE15/BD15-1),""))</f>
        <v>0.14</v>
      </c>
      <c r="BG15" s="5" t="str">
        <f aca="false">IF(OR(BD15="",BE15=""),"",IF($F15="Maior Melhor",IF(BE15&gt;=BD15,"Sim","Não"),IF(BE15&lt;=BD15,"Sim","Não")))</f>
        <v>Sim</v>
      </c>
      <c r="BH15" s="3" t="n">
        <v>0.8</v>
      </c>
      <c r="BI15" s="3" t="n">
        <v>0.94</v>
      </c>
      <c r="BJ15" s="4" t="n">
        <f aca="false">IF(OR(BH15="",BI15=""),"",IFERROR(IF($K15="%",BI15-BH15,BI15/BH15-1),""))</f>
        <v>0.14</v>
      </c>
      <c r="BK15" s="5" t="str">
        <f aca="false">IF(OR(BH15="",BI15=""),"",IF($F15="Maior Melhor",IF(BI15&gt;=BH15,"Sim","Não"),IF(BI15&lt;=BH15,"Sim","Não")))</f>
        <v>Sim</v>
      </c>
      <c r="BL15" s="6"/>
      <c r="BM15" s="6"/>
      <c r="BN15" s="4" t="str">
        <f aca="false">IF(OR(BL15="",BM15=""),"",IFERROR(IF($K15="%",BM15-BL15,BM15/BL15-1),""))</f>
        <v/>
      </c>
      <c r="BO15" s="5" t="str">
        <f aca="false">IF(OR(BL15="",BM15=""),"",IF($F15="Maior Melhor",IF(BM15&gt;=BL15,"Sim","Não"),IF(BM15&lt;=BL15,"Sim","Não")))</f>
        <v/>
      </c>
      <c r="BP15" s="6"/>
      <c r="BQ15" s="6"/>
      <c r="BR15" s="4" t="str">
        <f aca="false">IF(OR(BP15="",BQ15=""),"",IFERROR(IF($K15="%",BQ15-BP15,BQ15/BP15-1),""))</f>
        <v/>
      </c>
      <c r="BS15" s="5" t="str">
        <f aca="false">IF(OR(BP15="",BQ15=""),"",IF($F15="Maior Melhor",IF(BQ15&gt;=BP15,"Sim","Não"),IF(BQ15&lt;=BP15,"Sim","Não")))</f>
        <v/>
      </c>
      <c r="BT15" s="6"/>
      <c r="BU15" s="6"/>
      <c r="BV15" s="4" t="str">
        <f aca="false">IF(OR(BT15="",BU15=""),"",IFERROR(IF($K15="%",BU15-BT15,BU15/BT15-1),""))</f>
        <v/>
      </c>
      <c r="BW15" s="5" t="str">
        <f aca="false">IF(OR(BT15="",BU15=""),"",IF($F15="Maior Melhor",IF(BU15&gt;=BT15,"Sim","Não"),IF(BU15&lt;=BT15,"Sim","Não")))</f>
        <v/>
      </c>
      <c r="BX15" s="6"/>
      <c r="BY15" s="6"/>
      <c r="BZ15" s="4" t="str">
        <f aca="false">IF(OR(BX15="",BY15=""),"",IFERROR(IF($K15="%",BY15-BX15,BY15/BX15-1),""))</f>
        <v/>
      </c>
      <c r="CA15" s="5" t="str">
        <f aca="false">IF(OR(BX15="",BY15=""),"",IF($F15="Maior Melhor",IF(BY15&gt;=BX15,"Sim","Não"),IF(BY15&lt;=BX15,"Sim","Não")))</f>
        <v/>
      </c>
      <c r="CB15" s="6"/>
      <c r="CC15" s="6"/>
      <c r="CD15" s="4" t="str">
        <f aca="false">IF(OR(CB15="",CC15=""),"",IFERROR(IF($K15="%",CC15-CB15,CC15/CB15-1),""))</f>
        <v/>
      </c>
      <c r="CE15" s="5" t="str">
        <f aca="false">IF(OR(CB15="",CC15=""),"",IF($F15="Maior Melhor",IF(CC15&gt;=CB15,"Sim","Não"),IF(CC15&lt;=CB15,"Sim","Não")))</f>
        <v/>
      </c>
      <c r="CF15" s="6"/>
      <c r="CG15" s="6"/>
      <c r="CH15" s="4" t="str">
        <f aca="false">IF(OR(CF15="",CG15=""),"",IFERROR(IF($K15="%",CG15-CF15,CG15/CF15-1),""))</f>
        <v/>
      </c>
      <c r="CI15" s="5" t="str">
        <f aca="false">IF(OR(CF15="",CG15=""),"",IF($F15="Maior Melhor",IF(CG15&gt;=CF15,"Sim","Não"),IF(CG15&lt;=CF15,"Sim","Não")))</f>
        <v/>
      </c>
      <c r="CJ15" s="6"/>
      <c r="CK15" s="6"/>
      <c r="CL15" s="4" t="str">
        <f aca="false">IF(OR(CJ15="",CK15=""),"",IFERROR(IF($K15="%",CK15-CJ15,CK15/CJ15-1),""))</f>
        <v/>
      </c>
      <c r="CM15" s="5" t="str">
        <f aca="false">IF(OR(CJ15="",CK15=""),"",IF($F15="Maior Melhor",IF(CK15&gt;=CJ15,"Sim","Não"),IF(CK15&lt;=CJ15,"Sim","Não")))</f>
        <v/>
      </c>
      <c r="CN15" s="6"/>
      <c r="CO15" s="6"/>
      <c r="CP15" s="4" t="str">
        <f aca="false">IF(OR(CN15="",CO15=""),"",IFERROR(IF($K15="%",CO15-CN15,CO15/CN15-1),""))</f>
        <v/>
      </c>
      <c r="CQ15" s="5" t="str">
        <f aca="false">IF(OR(CN15="",CO15=""),"",IF($F15="Maior Melhor",IF(CO15&gt;=CN15,"Sim","Não"),IF(CO15&lt;=CN15,"Sim","Não")))</f>
        <v/>
      </c>
      <c r="CR15" s="2" t="s">
        <v>105</v>
      </c>
    </row>
    <row r="16" customFormat="false" ht="15" hidden="false" customHeight="false" outlineLevel="0" collapsed="false">
      <c r="A16" s="2" t="s">
        <v>96</v>
      </c>
      <c r="B16" s="2" t="s">
        <v>106</v>
      </c>
      <c r="C16" s="2" t="s">
        <v>127</v>
      </c>
      <c r="D16" s="2" t="s">
        <v>99</v>
      </c>
      <c r="E16" s="2" t="str">
        <f aca="false">C16&amp;D16</f>
        <v>UTD LUIS EDUARDO MAGALHAESAderência da carteira Comercial (Próprio)</v>
      </c>
      <c r="F16" s="2" t="s">
        <v>100</v>
      </c>
      <c r="G16" s="2" t="s">
        <v>101</v>
      </c>
      <c r="H16" s="2" t="s">
        <v>102</v>
      </c>
      <c r="I16" s="2" t="s">
        <v>103</v>
      </c>
      <c r="J16" s="2" t="n">
        <v>1</v>
      </c>
      <c r="K16" s="2" t="s">
        <v>104</v>
      </c>
      <c r="L16" s="3" t="n">
        <v>0.8</v>
      </c>
      <c r="M16" s="3" t="n">
        <v>0.68</v>
      </c>
      <c r="N16" s="4" t="n">
        <f aca="false">IF(OR(L16="",M16=""),"",IFERROR(IF($K16="%",M16-L16,M16/L16-1),""))</f>
        <v>-0.12</v>
      </c>
      <c r="O16" s="5" t="str">
        <f aca="false">IF(OR(L16="",M16=""),"",IF($F16="Maior Melhor",IF(M16&gt;=L16,"Sim","Não"),IF(M16&lt;=L16,"Sim","Não")))</f>
        <v>Não</v>
      </c>
      <c r="P16" s="3" t="n">
        <v>0.8</v>
      </c>
      <c r="Q16" s="3" t="n">
        <v>0.48</v>
      </c>
      <c r="R16" s="4" t="n">
        <f aca="false">IF(OR(P16="",Q16=""),"",IFERROR(IF($K16="%",Q16-P16,Q16/P16-1),""))</f>
        <v>-0.32</v>
      </c>
      <c r="S16" s="5" t="str">
        <f aca="false">IF(OR(P16="",Q16=""),"",IF($F16="Maior Melhor",IF(Q16&gt;=P16,"Sim","Não"),IF(Q16&lt;=P16,"Sim","Não")))</f>
        <v>Não</v>
      </c>
      <c r="T16" s="3" t="n">
        <v>0.8</v>
      </c>
      <c r="U16" s="3" t="n">
        <v>0.49</v>
      </c>
      <c r="V16" s="4" t="n">
        <f aca="false">IF(OR(T16="",U16=""),"",IFERROR(IF($K16="%",U16-T16,U16/T16-1),""))</f>
        <v>-0.31</v>
      </c>
      <c r="W16" s="5" t="str">
        <f aca="false">IF(OR(T16="",U16=""),"",IF($F16="Maior Melhor",IF(U16&gt;=T16,"Sim","Não"),IF(U16&lt;=T16,"Sim","Não")))</f>
        <v>Não</v>
      </c>
      <c r="X16" s="3" t="n">
        <v>0.8</v>
      </c>
      <c r="Y16" s="3" t="n">
        <v>0.8</v>
      </c>
      <c r="Z16" s="4" t="n">
        <f aca="false">IF(OR(X16="",Y16=""),"",IFERROR(IF($K16="%",Y16-X16,Y16/X16-1),""))</f>
        <v>0</v>
      </c>
      <c r="AA16" s="5" t="str">
        <f aca="false">IF(OR(X16="",Y16=""),"",IF($F16="Maior Melhor",IF(Y16&gt;=X16,"Sim","Não"),IF(Y16&lt;=X16,"Sim","Não")))</f>
        <v>Sim</v>
      </c>
      <c r="AB16" s="3" t="n">
        <v>0.8</v>
      </c>
      <c r="AC16" s="3" t="n">
        <v>0.8</v>
      </c>
      <c r="AD16" s="4" t="n">
        <f aca="false">IF(OR(AB16="",AC16=""),"",IFERROR(IF($K16="%",AC16-AB16,AC16/AB16-1),""))</f>
        <v>0</v>
      </c>
      <c r="AE16" s="5" t="str">
        <f aca="false">IF(OR(AB16="",AC16=""),"",IF($F16="Maior Melhor",IF(AC16&gt;=AB16,"Sim","Não"),IF(AC16&lt;=AB16,"Sim","Não")))</f>
        <v>Sim</v>
      </c>
      <c r="AF16" s="3" t="n">
        <v>0.8</v>
      </c>
      <c r="AG16" s="3" t="n">
        <v>0.92</v>
      </c>
      <c r="AH16" s="4" t="n">
        <f aca="false">IF(OR(AF16="",AG16=""),"",IFERROR(IF($K16="%",AG16-AF16,AG16/AF16-1),""))</f>
        <v>0.12</v>
      </c>
      <c r="AI16" s="5" t="str">
        <f aca="false">IF(OR(AF16="",AG16=""),"",IF($F16="Maior Melhor",IF(AG16&gt;=AF16,"Sim","Não"),IF(AG16&lt;=AF16,"Sim","Não")))</f>
        <v>Sim</v>
      </c>
      <c r="AJ16" s="3" t="n">
        <v>0.8</v>
      </c>
      <c r="AK16" s="3" t="n">
        <v>0.92</v>
      </c>
      <c r="AL16" s="4" t="n">
        <f aca="false">IF(OR(AJ16="",AK16=""),"",IFERROR(IF($K16="%",AK16-AJ16,AK16/AJ16-1),""))</f>
        <v>0.12</v>
      </c>
      <c r="AM16" s="5" t="str">
        <f aca="false">IF(OR(AJ16="",AK16=""),"",IF($F16="Maior Melhor",IF(AK16&gt;=AJ16,"Sim","Não"),IF(AK16&lt;=AJ16,"Sim","Não")))</f>
        <v>Sim</v>
      </c>
      <c r="AN16" s="3" t="n">
        <v>0.8</v>
      </c>
      <c r="AO16" s="3" t="n">
        <v>0.87</v>
      </c>
      <c r="AP16" s="4" t="n">
        <f aca="false">IF(OR(AN16="",AO16=""),"",IFERROR(IF($K16="%",AO16-AN16,AO16/AN16-1),""))</f>
        <v>0.07</v>
      </c>
      <c r="AQ16" s="5" t="str">
        <f aca="false">IF(OR(AN16="",AO16=""),"",IF($F16="Maior Melhor",IF(AO16&gt;=AN16,"Sim","Não"),IF(AO16&lt;=AN16,"Sim","Não")))</f>
        <v>Sim</v>
      </c>
      <c r="AR16" s="3" t="n">
        <v>0.8</v>
      </c>
      <c r="AS16" s="3" t="n">
        <v>0.87</v>
      </c>
      <c r="AT16" s="4" t="n">
        <f aca="false">IF(OR(AR16="",AS16=""),"",IFERROR(IF($K16="%",AS16-AR16,AS16/AR16-1),""))</f>
        <v>0.07</v>
      </c>
      <c r="AU16" s="5" t="str">
        <f aca="false">IF(OR(AR16="",AS16=""),"",IF($F16="Maior Melhor",IF(AS16&gt;=AR16,"Sim","Não"),IF(AS16&lt;=AR16,"Sim","Não")))</f>
        <v>Sim</v>
      </c>
      <c r="AV16" s="3" t="n">
        <v>0.8</v>
      </c>
      <c r="AW16" s="3" t="n">
        <v>0.95</v>
      </c>
      <c r="AX16" s="4" t="n">
        <f aca="false">IF(OR(AV16="",AW16=""),"",IFERROR(IF($K16="%",AW16-AV16,AW16/AV16-1),""))</f>
        <v>0.15</v>
      </c>
      <c r="AY16" s="5" t="str">
        <f aca="false">IF(OR(AV16="",AW16=""),"",IF($F16="Maior Melhor",IF(AW16&gt;=AV16,"Sim","Não"),IF(AW16&lt;=AV16,"Sim","Não")))</f>
        <v>Sim</v>
      </c>
      <c r="AZ16" s="3" t="n">
        <v>0.8</v>
      </c>
      <c r="BA16" s="3" t="n">
        <v>0.95</v>
      </c>
      <c r="BB16" s="4" t="n">
        <f aca="false">IF(OR(AZ16="",BA16=""),"",IFERROR(IF($K16="%",BA16-AZ16,BA16/AZ16-1),""))</f>
        <v>0.15</v>
      </c>
      <c r="BC16" s="5" t="str">
        <f aca="false">IF(OR(AZ16="",BA16=""),"",IF($F16="Maior Melhor",IF(BA16&gt;=AZ16,"Sim","Não"),IF(BA16&lt;=AZ16,"Sim","Não")))</f>
        <v>Sim</v>
      </c>
      <c r="BD16" s="3" t="n">
        <v>0.8</v>
      </c>
      <c r="BE16" s="3" t="n">
        <v>0.9</v>
      </c>
      <c r="BF16" s="4" t="n">
        <f aca="false">IF(OR(BD16="",BE16=""),"",IFERROR(IF($K16="%",BE16-BD16,BE16/BD16-1),""))</f>
        <v>0.1</v>
      </c>
      <c r="BG16" s="5" t="str">
        <f aca="false">IF(OR(BD16="",BE16=""),"",IF($F16="Maior Melhor",IF(BE16&gt;=BD16,"Sim","Não"),IF(BE16&lt;=BD16,"Sim","Não")))</f>
        <v>Sim</v>
      </c>
      <c r="BH16" s="3" t="n">
        <v>0.8</v>
      </c>
      <c r="BI16" s="3" t="n">
        <v>0.9</v>
      </c>
      <c r="BJ16" s="4" t="n">
        <f aca="false">IF(OR(BH16="",BI16=""),"",IFERROR(IF($K16="%",BI16-BH16,BI16/BH16-1),""))</f>
        <v>0.1</v>
      </c>
      <c r="BK16" s="5" t="str">
        <f aca="false">IF(OR(BH16="",BI16=""),"",IF($F16="Maior Melhor",IF(BI16&gt;=BH16,"Sim","Não"),IF(BI16&lt;=BH16,"Sim","Não")))</f>
        <v>Sim</v>
      </c>
      <c r="BL16" s="6"/>
      <c r="BM16" s="6"/>
      <c r="BN16" s="4" t="str">
        <f aca="false">IF(OR(BL16="",BM16=""),"",IFERROR(IF($K16="%",BM16-BL16,BM16/BL16-1),""))</f>
        <v/>
      </c>
      <c r="BO16" s="5" t="str">
        <f aca="false">IF(OR(BL16="",BM16=""),"",IF($F16="Maior Melhor",IF(BM16&gt;=BL16,"Sim","Não"),IF(BM16&lt;=BL16,"Sim","Não")))</f>
        <v/>
      </c>
      <c r="BP16" s="6"/>
      <c r="BQ16" s="6"/>
      <c r="BR16" s="4" t="str">
        <f aca="false">IF(OR(BP16="",BQ16=""),"",IFERROR(IF($K16="%",BQ16-BP16,BQ16/BP16-1),""))</f>
        <v/>
      </c>
      <c r="BS16" s="5" t="str">
        <f aca="false">IF(OR(BP16="",BQ16=""),"",IF($F16="Maior Melhor",IF(BQ16&gt;=BP16,"Sim","Não"),IF(BQ16&lt;=BP16,"Sim","Não")))</f>
        <v/>
      </c>
      <c r="BT16" s="6"/>
      <c r="BU16" s="6"/>
      <c r="BV16" s="4" t="str">
        <f aca="false">IF(OR(BT16="",BU16=""),"",IFERROR(IF($K16="%",BU16-BT16,BU16/BT16-1),""))</f>
        <v/>
      </c>
      <c r="BW16" s="5" t="str">
        <f aca="false">IF(OR(BT16="",BU16=""),"",IF($F16="Maior Melhor",IF(BU16&gt;=BT16,"Sim","Não"),IF(BU16&lt;=BT16,"Sim","Não")))</f>
        <v/>
      </c>
      <c r="BX16" s="6"/>
      <c r="BY16" s="6"/>
      <c r="BZ16" s="4" t="str">
        <f aca="false">IF(OR(BX16="",BY16=""),"",IFERROR(IF($K16="%",BY16-BX16,BY16/BX16-1),""))</f>
        <v/>
      </c>
      <c r="CA16" s="5" t="str">
        <f aca="false">IF(OR(BX16="",BY16=""),"",IF($F16="Maior Melhor",IF(BY16&gt;=BX16,"Sim","Não"),IF(BY16&lt;=BX16,"Sim","Não")))</f>
        <v/>
      </c>
      <c r="CB16" s="6"/>
      <c r="CC16" s="6"/>
      <c r="CD16" s="4" t="str">
        <f aca="false">IF(OR(CB16="",CC16=""),"",IFERROR(IF($K16="%",CC16-CB16,CC16/CB16-1),""))</f>
        <v/>
      </c>
      <c r="CE16" s="5" t="str">
        <f aca="false">IF(OR(CB16="",CC16=""),"",IF($F16="Maior Melhor",IF(CC16&gt;=CB16,"Sim","Não"),IF(CC16&lt;=CB16,"Sim","Não")))</f>
        <v/>
      </c>
      <c r="CF16" s="6"/>
      <c r="CG16" s="6"/>
      <c r="CH16" s="4" t="str">
        <f aca="false">IF(OR(CF16="",CG16=""),"",IFERROR(IF($K16="%",CG16-CF16,CG16/CF16-1),""))</f>
        <v/>
      </c>
      <c r="CI16" s="5" t="str">
        <f aca="false">IF(OR(CF16="",CG16=""),"",IF($F16="Maior Melhor",IF(CG16&gt;=CF16,"Sim","Não"),IF(CG16&lt;=CF16,"Sim","Não")))</f>
        <v/>
      </c>
      <c r="CJ16" s="6"/>
      <c r="CK16" s="6"/>
      <c r="CL16" s="4" t="str">
        <f aca="false">IF(OR(CJ16="",CK16=""),"",IFERROR(IF($K16="%",CK16-CJ16,CK16/CJ16-1),""))</f>
        <v/>
      </c>
      <c r="CM16" s="5" t="str">
        <f aca="false">IF(OR(CJ16="",CK16=""),"",IF($F16="Maior Melhor",IF(CK16&gt;=CJ16,"Sim","Não"),IF(CK16&lt;=CJ16,"Sim","Não")))</f>
        <v/>
      </c>
      <c r="CN16" s="6"/>
      <c r="CO16" s="6"/>
      <c r="CP16" s="4" t="str">
        <f aca="false">IF(OR(CN16="",CO16=""),"",IFERROR(IF($K16="%",CO16-CN16,CO16/CN16-1),""))</f>
        <v/>
      </c>
      <c r="CQ16" s="5" t="str">
        <f aca="false">IF(OR(CN16="",CO16=""),"",IF($F16="Maior Melhor",IF(CO16&gt;=CN16,"Sim","Não"),IF(CO16&lt;=CN16,"Sim","Não")))</f>
        <v/>
      </c>
      <c r="CR16" s="2" t="s">
        <v>105</v>
      </c>
    </row>
    <row r="17" customFormat="false" ht="15" hidden="false" customHeight="false" outlineLevel="0" collapsed="false">
      <c r="A17" s="2" t="s">
        <v>96</v>
      </c>
      <c r="B17" s="2" t="s">
        <v>106</v>
      </c>
      <c r="C17" s="2" t="s">
        <v>128</v>
      </c>
      <c r="D17" s="2" t="s">
        <v>99</v>
      </c>
      <c r="E17" s="2" t="str">
        <f aca="false">C17&amp;D17</f>
        <v>UTD SANTA MARIA DA VITORIAAderência da carteira Comercial (Próprio)</v>
      </c>
      <c r="F17" s="2" t="s">
        <v>100</v>
      </c>
      <c r="G17" s="2" t="s">
        <v>101</v>
      </c>
      <c r="H17" s="2" t="s">
        <v>102</v>
      </c>
      <c r="I17" s="2" t="s">
        <v>103</v>
      </c>
      <c r="J17" s="2" t="n">
        <v>1</v>
      </c>
      <c r="K17" s="2" t="s">
        <v>104</v>
      </c>
      <c r="L17" s="3" t="n">
        <v>0.8</v>
      </c>
      <c r="M17" s="3" t="n">
        <v>0.31</v>
      </c>
      <c r="N17" s="4" t="n">
        <f aca="false">IF(OR(L17="",M17=""),"",IFERROR(IF($K17="%",M17-L17,M17/L17-1),""))</f>
        <v>-0.49</v>
      </c>
      <c r="O17" s="5" t="str">
        <f aca="false">IF(OR(L17="",M17=""),"",IF($F17="Maior Melhor",IF(M17&gt;=L17,"Sim","Não"),IF(M17&lt;=L17,"Sim","Não")))</f>
        <v>Não</v>
      </c>
      <c r="P17" s="3" t="n">
        <v>0.8</v>
      </c>
      <c r="Q17" s="3" t="n">
        <v>0.26</v>
      </c>
      <c r="R17" s="4" t="n">
        <f aca="false">IF(OR(P17="",Q17=""),"",IFERROR(IF($K17="%",Q17-P17,Q17/P17-1),""))</f>
        <v>-0.54</v>
      </c>
      <c r="S17" s="5" t="str">
        <f aca="false">IF(OR(P17="",Q17=""),"",IF($F17="Maior Melhor",IF(Q17&gt;=P17,"Sim","Não"),IF(Q17&lt;=P17,"Sim","Não")))</f>
        <v>Não</v>
      </c>
      <c r="T17" s="3" t="n">
        <v>0.8</v>
      </c>
      <c r="U17" s="3" t="n">
        <v>0.42</v>
      </c>
      <c r="V17" s="4" t="n">
        <f aca="false">IF(OR(T17="",U17=""),"",IFERROR(IF($K17="%",U17-T17,U17/T17-1),""))</f>
        <v>-0.38</v>
      </c>
      <c r="W17" s="5" t="str">
        <f aca="false">IF(OR(T17="",U17=""),"",IF($F17="Maior Melhor",IF(U17&gt;=T17,"Sim","Não"),IF(U17&lt;=T17,"Sim","Não")))</f>
        <v>Não</v>
      </c>
      <c r="X17" s="3" t="n">
        <v>0.8</v>
      </c>
      <c r="Y17" s="3" t="n">
        <v>0.74</v>
      </c>
      <c r="Z17" s="4" t="n">
        <f aca="false">IF(OR(X17="",Y17=""),"",IFERROR(IF($K17="%",Y17-X17,Y17/X17-1),""))</f>
        <v>-0.0600000000000001</v>
      </c>
      <c r="AA17" s="5" t="str">
        <f aca="false">IF(OR(X17="",Y17=""),"",IF($F17="Maior Melhor",IF(Y17&gt;=X17,"Sim","Não"),IF(Y17&lt;=X17,"Sim","Não")))</f>
        <v>Não</v>
      </c>
      <c r="AB17" s="3" t="n">
        <v>0.8</v>
      </c>
      <c r="AC17" s="3" t="n">
        <v>0.74</v>
      </c>
      <c r="AD17" s="4" t="n">
        <f aca="false">IF(OR(AB17="",AC17=""),"",IFERROR(IF($K17="%",AC17-AB17,AC17/AB17-1),""))</f>
        <v>-0.0600000000000001</v>
      </c>
      <c r="AE17" s="5" t="str">
        <f aca="false">IF(OR(AB17="",AC17=""),"",IF($F17="Maior Melhor",IF(AC17&gt;=AB17,"Sim","Não"),IF(AC17&lt;=AB17,"Sim","Não")))</f>
        <v>Não</v>
      </c>
      <c r="AF17" s="3" t="n">
        <v>0.8</v>
      </c>
      <c r="AG17" s="3" t="n">
        <v>0.82</v>
      </c>
      <c r="AH17" s="4" t="n">
        <f aca="false">IF(OR(AF17="",AG17=""),"",IFERROR(IF($K17="%",AG17-AF17,AG17/AF17-1),""))</f>
        <v>0.0199999999999999</v>
      </c>
      <c r="AI17" s="5" t="str">
        <f aca="false">IF(OR(AF17="",AG17=""),"",IF($F17="Maior Melhor",IF(AG17&gt;=AF17,"Sim","Não"),IF(AG17&lt;=AF17,"Sim","Não")))</f>
        <v>Sim</v>
      </c>
      <c r="AJ17" s="3" t="n">
        <v>0.8</v>
      </c>
      <c r="AK17" s="3" t="n">
        <v>0.82</v>
      </c>
      <c r="AL17" s="4" t="n">
        <f aca="false">IF(OR(AJ17="",AK17=""),"",IFERROR(IF($K17="%",AK17-AJ17,AK17/AJ17-1),""))</f>
        <v>0.0199999999999999</v>
      </c>
      <c r="AM17" s="5" t="str">
        <f aca="false">IF(OR(AJ17="",AK17=""),"",IF($F17="Maior Melhor",IF(AK17&gt;=AJ17,"Sim","Não"),IF(AK17&lt;=AJ17,"Sim","Não")))</f>
        <v>Sim</v>
      </c>
      <c r="AN17" s="3" t="n">
        <v>0.8</v>
      </c>
      <c r="AO17" s="3" t="n">
        <v>0.86</v>
      </c>
      <c r="AP17" s="4" t="n">
        <f aca="false">IF(OR(AN17="",AO17=""),"",IFERROR(IF($K17="%",AO17-AN17,AO17/AN17-1),""))</f>
        <v>0.0599999999999999</v>
      </c>
      <c r="AQ17" s="5" t="str">
        <f aca="false">IF(OR(AN17="",AO17=""),"",IF($F17="Maior Melhor",IF(AO17&gt;=AN17,"Sim","Não"),IF(AO17&lt;=AN17,"Sim","Não")))</f>
        <v>Sim</v>
      </c>
      <c r="AR17" s="3" t="n">
        <v>0.8</v>
      </c>
      <c r="AS17" s="3" t="n">
        <v>0.86</v>
      </c>
      <c r="AT17" s="4" t="n">
        <f aca="false">IF(OR(AR17="",AS17=""),"",IFERROR(IF($K17="%",AS17-AR17,AS17/AR17-1),""))</f>
        <v>0.0599999999999999</v>
      </c>
      <c r="AU17" s="5" t="str">
        <f aca="false">IF(OR(AR17="",AS17=""),"",IF($F17="Maior Melhor",IF(AS17&gt;=AR17,"Sim","Não"),IF(AS17&lt;=AR17,"Sim","Não")))</f>
        <v>Sim</v>
      </c>
      <c r="AV17" s="3" t="n">
        <v>0.8</v>
      </c>
      <c r="AW17" s="3" t="n">
        <v>0.97</v>
      </c>
      <c r="AX17" s="4" t="n">
        <f aca="false">IF(OR(AV17="",AW17=""),"",IFERROR(IF($K17="%",AW17-AV17,AW17/AV17-1),""))</f>
        <v>0.17</v>
      </c>
      <c r="AY17" s="5" t="str">
        <f aca="false">IF(OR(AV17="",AW17=""),"",IF($F17="Maior Melhor",IF(AW17&gt;=AV17,"Sim","Não"),IF(AW17&lt;=AV17,"Sim","Não")))</f>
        <v>Sim</v>
      </c>
      <c r="AZ17" s="3" t="n">
        <v>0.8</v>
      </c>
      <c r="BA17" s="3" t="n">
        <v>0.97</v>
      </c>
      <c r="BB17" s="4" t="n">
        <f aca="false">IF(OR(AZ17="",BA17=""),"",IFERROR(IF($K17="%",BA17-AZ17,BA17/AZ17-1),""))</f>
        <v>0.17</v>
      </c>
      <c r="BC17" s="5" t="str">
        <f aca="false">IF(OR(AZ17="",BA17=""),"",IF($F17="Maior Melhor",IF(BA17&gt;=AZ17,"Sim","Não"),IF(BA17&lt;=AZ17,"Sim","Não")))</f>
        <v>Sim</v>
      </c>
      <c r="BD17" s="3" t="n">
        <v>0.8</v>
      </c>
      <c r="BE17" s="3" t="n">
        <v>0.91</v>
      </c>
      <c r="BF17" s="4" t="n">
        <f aca="false">IF(OR(BD17="",BE17=""),"",IFERROR(IF($K17="%",BE17-BD17,BE17/BD17-1),""))</f>
        <v>0.11</v>
      </c>
      <c r="BG17" s="5" t="str">
        <f aca="false">IF(OR(BD17="",BE17=""),"",IF($F17="Maior Melhor",IF(BE17&gt;=BD17,"Sim","Não"),IF(BE17&lt;=BD17,"Sim","Não")))</f>
        <v>Sim</v>
      </c>
      <c r="BH17" s="3" t="n">
        <v>0.8</v>
      </c>
      <c r="BI17" s="3" t="n">
        <v>0.91</v>
      </c>
      <c r="BJ17" s="4" t="n">
        <f aca="false">IF(OR(BH17="",BI17=""),"",IFERROR(IF($K17="%",BI17-BH17,BI17/BH17-1),""))</f>
        <v>0.11</v>
      </c>
      <c r="BK17" s="5" t="str">
        <f aca="false">IF(OR(BH17="",BI17=""),"",IF($F17="Maior Melhor",IF(BI17&gt;=BH17,"Sim","Não"),IF(BI17&lt;=BH17,"Sim","Não")))</f>
        <v>Sim</v>
      </c>
      <c r="BL17" s="6"/>
      <c r="BM17" s="6"/>
      <c r="BN17" s="4" t="str">
        <f aca="false">IF(OR(BL17="",BM17=""),"",IFERROR(IF($K17="%",BM17-BL17,BM17/BL17-1),""))</f>
        <v/>
      </c>
      <c r="BO17" s="5" t="str">
        <f aca="false">IF(OR(BL17="",BM17=""),"",IF($F17="Maior Melhor",IF(BM17&gt;=BL17,"Sim","Não"),IF(BM17&lt;=BL17,"Sim","Não")))</f>
        <v/>
      </c>
      <c r="BP17" s="6"/>
      <c r="BQ17" s="6"/>
      <c r="BR17" s="4" t="str">
        <f aca="false">IF(OR(BP17="",BQ17=""),"",IFERROR(IF($K17="%",BQ17-BP17,BQ17/BP17-1),""))</f>
        <v/>
      </c>
      <c r="BS17" s="5" t="str">
        <f aca="false">IF(OR(BP17="",BQ17=""),"",IF($F17="Maior Melhor",IF(BQ17&gt;=BP17,"Sim","Não"),IF(BQ17&lt;=BP17,"Sim","Não")))</f>
        <v/>
      </c>
      <c r="BT17" s="6"/>
      <c r="BU17" s="6"/>
      <c r="BV17" s="4" t="str">
        <f aca="false">IF(OR(BT17="",BU17=""),"",IFERROR(IF($K17="%",BU17-BT17,BU17/BT17-1),""))</f>
        <v/>
      </c>
      <c r="BW17" s="5" t="str">
        <f aca="false">IF(OR(BT17="",BU17=""),"",IF($F17="Maior Melhor",IF(BU17&gt;=BT17,"Sim","Não"),IF(BU17&lt;=BT17,"Sim","Não")))</f>
        <v/>
      </c>
      <c r="BX17" s="6"/>
      <c r="BY17" s="6"/>
      <c r="BZ17" s="4" t="str">
        <f aca="false">IF(OR(BX17="",BY17=""),"",IFERROR(IF($K17="%",BY17-BX17,BY17/BX17-1),""))</f>
        <v/>
      </c>
      <c r="CA17" s="5" t="str">
        <f aca="false">IF(OR(BX17="",BY17=""),"",IF($F17="Maior Melhor",IF(BY17&gt;=BX17,"Sim","Não"),IF(BY17&lt;=BX17,"Sim","Não")))</f>
        <v/>
      </c>
      <c r="CB17" s="6"/>
      <c r="CC17" s="6"/>
      <c r="CD17" s="4" t="str">
        <f aca="false">IF(OR(CB17="",CC17=""),"",IFERROR(IF($K17="%",CC17-CB17,CC17/CB17-1),""))</f>
        <v/>
      </c>
      <c r="CE17" s="5" t="str">
        <f aca="false">IF(OR(CB17="",CC17=""),"",IF($F17="Maior Melhor",IF(CC17&gt;=CB17,"Sim","Não"),IF(CC17&lt;=CB17,"Sim","Não")))</f>
        <v/>
      </c>
      <c r="CF17" s="6"/>
      <c r="CG17" s="6"/>
      <c r="CH17" s="4" t="str">
        <f aca="false">IF(OR(CF17="",CG17=""),"",IFERROR(IF($K17="%",CG17-CF17,CG17/CF17-1),""))</f>
        <v/>
      </c>
      <c r="CI17" s="5" t="str">
        <f aca="false">IF(OR(CF17="",CG17=""),"",IF($F17="Maior Melhor",IF(CG17&gt;=CF17,"Sim","Não"),IF(CG17&lt;=CF17,"Sim","Não")))</f>
        <v/>
      </c>
      <c r="CJ17" s="6"/>
      <c r="CK17" s="6"/>
      <c r="CL17" s="4" t="str">
        <f aca="false">IF(OR(CJ17="",CK17=""),"",IFERROR(IF($K17="%",CK17-CJ17,CK17/CJ17-1),""))</f>
        <v/>
      </c>
      <c r="CM17" s="5" t="str">
        <f aca="false">IF(OR(CJ17="",CK17=""),"",IF($F17="Maior Melhor",IF(CK17&gt;=CJ17,"Sim","Não"),IF(CK17&lt;=CJ17,"Sim","Não")))</f>
        <v/>
      </c>
      <c r="CN17" s="6"/>
      <c r="CO17" s="6"/>
      <c r="CP17" s="4" t="str">
        <f aca="false">IF(OR(CN17="",CO17=""),"",IFERROR(IF($K17="%",CO17-CN17,CO17/CN17-1),""))</f>
        <v/>
      </c>
      <c r="CQ17" s="5" t="str">
        <f aca="false">IF(OR(CN17="",CO17=""),"",IF($F17="Maior Melhor",IF(CO17&gt;=CN17,"Sim","Não"),IF(CO17&lt;=CN17,"Sim","Não")))</f>
        <v/>
      </c>
      <c r="CR17" s="2" t="s">
        <v>129</v>
      </c>
    </row>
    <row r="18" customFormat="false" ht="15" hidden="false" customHeight="false" outlineLevel="0" collapsed="false">
      <c r="A18" s="2" t="s">
        <v>96</v>
      </c>
      <c r="B18" s="2" t="s">
        <v>97</v>
      </c>
      <c r="C18" s="2" t="s">
        <v>130</v>
      </c>
      <c r="D18" s="2" t="s">
        <v>99</v>
      </c>
      <c r="E18" s="2" t="str">
        <f aca="false">C18&amp;D18</f>
        <v>UTD SEABRAAderência da carteira Comercial (Próprio)</v>
      </c>
      <c r="F18" s="2" t="s">
        <v>100</v>
      </c>
      <c r="G18" s="2" t="s">
        <v>101</v>
      </c>
      <c r="H18" s="2" t="s">
        <v>102</v>
      </c>
      <c r="I18" s="2" t="s">
        <v>103</v>
      </c>
      <c r="J18" s="2" t="n">
        <v>1</v>
      </c>
      <c r="K18" s="2" t="s">
        <v>104</v>
      </c>
      <c r="L18" s="3" t="n">
        <v>0.8</v>
      </c>
      <c r="M18" s="3" t="n">
        <v>0.82</v>
      </c>
      <c r="N18" s="4" t="n">
        <f aca="false">IF(OR(L18="",M18=""),"",IFERROR(IF($K18="%",M18-L18,M18/L18-1),""))</f>
        <v>0.0199999999999999</v>
      </c>
      <c r="O18" s="5" t="str">
        <f aca="false">IF(OR(L18="",M18=""),"",IF($F18="Maior Melhor",IF(M18&gt;=L18,"Sim","Não"),IF(M18&lt;=L18,"Sim","Não")))</f>
        <v>Sim</v>
      </c>
      <c r="P18" s="3" t="n">
        <v>0.8</v>
      </c>
      <c r="Q18" s="3" t="n">
        <v>0.46</v>
      </c>
      <c r="R18" s="4" t="n">
        <f aca="false">IF(OR(P18="",Q18=""),"",IFERROR(IF($K18="%",Q18-P18,Q18/P18-1),""))</f>
        <v>-0.34</v>
      </c>
      <c r="S18" s="5" t="str">
        <f aca="false">IF(OR(P18="",Q18=""),"",IF($F18="Maior Melhor",IF(Q18&gt;=P18,"Sim","Não"),IF(Q18&lt;=P18,"Sim","Não")))</f>
        <v>Não</v>
      </c>
      <c r="T18" s="3" t="n">
        <v>0.8</v>
      </c>
      <c r="U18" s="3" t="n">
        <v>0.61</v>
      </c>
      <c r="V18" s="4" t="n">
        <f aca="false">IF(OR(T18="",U18=""),"",IFERROR(IF($K18="%",U18-T18,U18/T18-1),""))</f>
        <v>-0.19</v>
      </c>
      <c r="W18" s="5" t="str">
        <f aca="false">IF(OR(T18="",U18=""),"",IF($F18="Maior Melhor",IF(U18&gt;=T18,"Sim","Não"),IF(U18&lt;=T18,"Sim","Não")))</f>
        <v>Não</v>
      </c>
      <c r="X18" s="3" t="n">
        <v>0.8</v>
      </c>
      <c r="Y18" s="3" t="n">
        <v>0.72</v>
      </c>
      <c r="Z18" s="4" t="n">
        <f aca="false">IF(OR(X18="",Y18=""),"",IFERROR(IF($K18="%",Y18-X18,Y18/X18-1),""))</f>
        <v>-0.0800000000000001</v>
      </c>
      <c r="AA18" s="5" t="str">
        <f aca="false">IF(OR(X18="",Y18=""),"",IF($F18="Maior Melhor",IF(Y18&gt;=X18,"Sim","Não"),IF(Y18&lt;=X18,"Sim","Não")))</f>
        <v>Não</v>
      </c>
      <c r="AB18" s="3" t="n">
        <v>0.8</v>
      </c>
      <c r="AC18" s="3" t="n">
        <v>0.72</v>
      </c>
      <c r="AD18" s="4" t="n">
        <f aca="false">IF(OR(AB18="",AC18=""),"",IFERROR(IF($K18="%",AC18-AB18,AC18/AB18-1),""))</f>
        <v>-0.0800000000000001</v>
      </c>
      <c r="AE18" s="5" t="str">
        <f aca="false">IF(OR(AB18="",AC18=""),"",IF($F18="Maior Melhor",IF(AC18&gt;=AB18,"Sim","Não"),IF(AC18&lt;=AB18,"Sim","Não")))</f>
        <v>Não</v>
      </c>
      <c r="AF18" s="3" t="n">
        <v>0.8</v>
      </c>
      <c r="AG18" s="3" t="n">
        <v>0.83</v>
      </c>
      <c r="AH18" s="4" t="n">
        <f aca="false">IF(OR(AF18="",AG18=""),"",IFERROR(IF($K18="%",AG18-AF18,AG18/AF18-1),""))</f>
        <v>0.0299999999999999</v>
      </c>
      <c r="AI18" s="5" t="str">
        <f aca="false">IF(OR(AF18="",AG18=""),"",IF($F18="Maior Melhor",IF(AG18&gt;=AF18,"Sim","Não"),IF(AG18&lt;=AF18,"Sim","Não")))</f>
        <v>Sim</v>
      </c>
      <c r="AJ18" s="3" t="n">
        <v>0.8</v>
      </c>
      <c r="AK18" s="3" t="n">
        <v>0.83</v>
      </c>
      <c r="AL18" s="4" t="n">
        <f aca="false">IF(OR(AJ18="",AK18=""),"",IFERROR(IF($K18="%",AK18-AJ18,AK18/AJ18-1),""))</f>
        <v>0.0299999999999999</v>
      </c>
      <c r="AM18" s="5" t="str">
        <f aca="false">IF(OR(AJ18="",AK18=""),"",IF($F18="Maior Melhor",IF(AK18&gt;=AJ18,"Sim","Não"),IF(AK18&lt;=AJ18,"Sim","Não")))</f>
        <v>Sim</v>
      </c>
      <c r="AN18" s="3" t="n">
        <v>0.8</v>
      </c>
      <c r="AO18" s="3" t="n">
        <v>0.92</v>
      </c>
      <c r="AP18" s="4" t="n">
        <f aca="false">IF(OR(AN18="",AO18=""),"",IFERROR(IF($K18="%",AO18-AN18,AO18/AN18-1),""))</f>
        <v>0.12</v>
      </c>
      <c r="AQ18" s="5" t="str">
        <f aca="false">IF(OR(AN18="",AO18=""),"",IF($F18="Maior Melhor",IF(AO18&gt;=AN18,"Sim","Não"),IF(AO18&lt;=AN18,"Sim","Não")))</f>
        <v>Sim</v>
      </c>
      <c r="AR18" s="3" t="n">
        <v>0.8</v>
      </c>
      <c r="AS18" s="3" t="n">
        <v>0.92</v>
      </c>
      <c r="AT18" s="4" t="n">
        <f aca="false">IF(OR(AR18="",AS18=""),"",IFERROR(IF($K18="%",AS18-AR18,AS18/AR18-1),""))</f>
        <v>0.12</v>
      </c>
      <c r="AU18" s="5" t="str">
        <f aca="false">IF(OR(AR18="",AS18=""),"",IF($F18="Maior Melhor",IF(AS18&gt;=AR18,"Sim","Não"),IF(AS18&lt;=AR18,"Sim","Não")))</f>
        <v>Sim</v>
      </c>
      <c r="AV18" s="3" t="n">
        <v>0.8</v>
      </c>
      <c r="AW18" s="3" t="n">
        <v>0.91</v>
      </c>
      <c r="AX18" s="4" t="n">
        <f aca="false">IF(OR(AV18="",AW18=""),"",IFERROR(IF($K18="%",AW18-AV18,AW18/AV18-1),""))</f>
        <v>0.11</v>
      </c>
      <c r="AY18" s="5" t="str">
        <f aca="false">IF(OR(AV18="",AW18=""),"",IF($F18="Maior Melhor",IF(AW18&gt;=AV18,"Sim","Não"),IF(AW18&lt;=AV18,"Sim","Não")))</f>
        <v>Sim</v>
      </c>
      <c r="AZ18" s="3" t="n">
        <v>0.8</v>
      </c>
      <c r="BA18" s="3" t="n">
        <v>0.91</v>
      </c>
      <c r="BB18" s="4" t="n">
        <f aca="false">IF(OR(AZ18="",BA18=""),"",IFERROR(IF($K18="%",BA18-AZ18,BA18/AZ18-1),""))</f>
        <v>0.11</v>
      </c>
      <c r="BC18" s="5" t="str">
        <f aca="false">IF(OR(AZ18="",BA18=""),"",IF($F18="Maior Melhor",IF(BA18&gt;=AZ18,"Sim","Não"),IF(BA18&lt;=AZ18,"Sim","Não")))</f>
        <v>Sim</v>
      </c>
      <c r="BD18" s="3" t="n">
        <v>0.8</v>
      </c>
      <c r="BE18" s="3" t="n">
        <v>0.92</v>
      </c>
      <c r="BF18" s="4" t="n">
        <f aca="false">IF(OR(BD18="",BE18=""),"",IFERROR(IF($K18="%",BE18-BD18,BE18/BD18-1),""))</f>
        <v>0.12</v>
      </c>
      <c r="BG18" s="5" t="str">
        <f aca="false">IF(OR(BD18="",BE18=""),"",IF($F18="Maior Melhor",IF(BE18&gt;=BD18,"Sim","Não"),IF(BE18&lt;=BD18,"Sim","Não")))</f>
        <v>Sim</v>
      </c>
      <c r="BH18" s="3" t="n">
        <v>0.8</v>
      </c>
      <c r="BI18" s="3" t="n">
        <v>0.92</v>
      </c>
      <c r="BJ18" s="4" t="n">
        <f aca="false">IF(OR(BH18="",BI18=""),"",IFERROR(IF($K18="%",BI18-BH18,BI18/BH18-1),""))</f>
        <v>0.12</v>
      </c>
      <c r="BK18" s="5" t="str">
        <f aca="false">IF(OR(BH18="",BI18=""),"",IF($F18="Maior Melhor",IF(BI18&gt;=BH18,"Sim","Não"),IF(BI18&lt;=BH18,"Sim","Não")))</f>
        <v>Sim</v>
      </c>
      <c r="BL18" s="6"/>
      <c r="BM18" s="6"/>
      <c r="BN18" s="4" t="str">
        <f aca="false">IF(OR(BL18="",BM18=""),"",IFERROR(IF($K18="%",BM18-BL18,BM18/BL18-1),""))</f>
        <v/>
      </c>
      <c r="BO18" s="5" t="str">
        <f aca="false">IF(OR(BL18="",BM18=""),"",IF($F18="Maior Melhor",IF(BM18&gt;=BL18,"Sim","Não"),IF(BM18&lt;=BL18,"Sim","Não")))</f>
        <v/>
      </c>
      <c r="BP18" s="6"/>
      <c r="BQ18" s="6"/>
      <c r="BR18" s="4" t="str">
        <f aca="false">IF(OR(BP18="",BQ18=""),"",IFERROR(IF($K18="%",BQ18-BP18,BQ18/BP18-1),""))</f>
        <v/>
      </c>
      <c r="BS18" s="5" t="str">
        <f aca="false">IF(OR(BP18="",BQ18=""),"",IF($F18="Maior Melhor",IF(BQ18&gt;=BP18,"Sim","Não"),IF(BQ18&lt;=BP18,"Sim","Não")))</f>
        <v/>
      </c>
      <c r="BT18" s="6"/>
      <c r="BU18" s="6"/>
      <c r="BV18" s="4" t="str">
        <f aca="false">IF(OR(BT18="",BU18=""),"",IFERROR(IF($K18="%",BU18-BT18,BU18/BT18-1),""))</f>
        <v/>
      </c>
      <c r="BW18" s="5" t="str">
        <f aca="false">IF(OR(BT18="",BU18=""),"",IF($F18="Maior Melhor",IF(BU18&gt;=BT18,"Sim","Não"),IF(BU18&lt;=BT18,"Sim","Não")))</f>
        <v/>
      </c>
      <c r="BX18" s="6"/>
      <c r="BY18" s="6"/>
      <c r="BZ18" s="4" t="str">
        <f aca="false">IF(OR(BX18="",BY18=""),"",IFERROR(IF($K18="%",BY18-BX18,BY18/BX18-1),""))</f>
        <v/>
      </c>
      <c r="CA18" s="5" t="str">
        <f aca="false">IF(OR(BX18="",BY18=""),"",IF($F18="Maior Melhor",IF(BY18&gt;=BX18,"Sim","Não"),IF(BY18&lt;=BX18,"Sim","Não")))</f>
        <v/>
      </c>
      <c r="CB18" s="6"/>
      <c r="CC18" s="6"/>
      <c r="CD18" s="4" t="str">
        <f aca="false">IF(OR(CB18="",CC18=""),"",IFERROR(IF($K18="%",CC18-CB18,CC18/CB18-1),""))</f>
        <v/>
      </c>
      <c r="CE18" s="5" t="str">
        <f aca="false">IF(OR(CB18="",CC18=""),"",IF($F18="Maior Melhor",IF(CC18&gt;=CB18,"Sim","Não"),IF(CC18&lt;=CB18,"Sim","Não")))</f>
        <v/>
      </c>
      <c r="CF18" s="6"/>
      <c r="CG18" s="6"/>
      <c r="CH18" s="4" t="str">
        <f aca="false">IF(OR(CF18="",CG18=""),"",IFERROR(IF($K18="%",CG18-CF18,CG18/CF18-1),""))</f>
        <v/>
      </c>
      <c r="CI18" s="5" t="str">
        <f aca="false">IF(OR(CF18="",CG18=""),"",IF($F18="Maior Melhor",IF(CG18&gt;=CF18,"Sim","Não"),IF(CG18&lt;=CF18,"Sim","Não")))</f>
        <v/>
      </c>
      <c r="CJ18" s="6"/>
      <c r="CK18" s="6"/>
      <c r="CL18" s="4" t="str">
        <f aca="false">IF(OR(CJ18="",CK18=""),"",IFERROR(IF($K18="%",CK18-CJ18,CK18/CJ18-1),""))</f>
        <v/>
      </c>
      <c r="CM18" s="5" t="str">
        <f aca="false">IF(OR(CJ18="",CK18=""),"",IF($F18="Maior Melhor",IF(CK18&gt;=CJ18,"Sim","Não"),IF(CK18&lt;=CJ18,"Sim","Não")))</f>
        <v/>
      </c>
      <c r="CN18" s="6"/>
      <c r="CO18" s="6"/>
      <c r="CP18" s="4" t="str">
        <f aca="false">IF(OR(CN18="",CO18=""),"",IFERROR(IF($K18="%",CO18-CN18,CO18/CN18-1),""))</f>
        <v/>
      </c>
      <c r="CQ18" s="5" t="str">
        <f aca="false">IF(OR(CN18="",CO18=""),"",IF($F18="Maior Melhor",IF(CO18&gt;=CN18,"Sim","Não"),IF(CO18&lt;=CN18,"Sim","Não")))</f>
        <v/>
      </c>
      <c r="CR18" s="2" t="s">
        <v>105</v>
      </c>
    </row>
    <row r="19" customFormat="false" ht="15" hidden="false" customHeight="false" outlineLevel="0" collapsed="false">
      <c r="A19" s="2" t="s">
        <v>96</v>
      </c>
      <c r="B19" s="2" t="s">
        <v>108</v>
      </c>
      <c r="C19" s="2" t="s">
        <v>131</v>
      </c>
      <c r="D19" s="2" t="s">
        <v>99</v>
      </c>
      <c r="E19" s="2" t="str">
        <f aca="false">C19&amp;D19</f>
        <v>UTD VITORIA DA CONQUISTAAderência da carteira Comercial (Próprio)</v>
      </c>
      <c r="F19" s="2" t="s">
        <v>100</v>
      </c>
      <c r="G19" s="2" t="s">
        <v>101</v>
      </c>
      <c r="H19" s="2" t="s">
        <v>102</v>
      </c>
      <c r="I19" s="2" t="s">
        <v>103</v>
      </c>
      <c r="J19" s="2" t="n">
        <v>1</v>
      </c>
      <c r="K19" s="2" t="s">
        <v>104</v>
      </c>
      <c r="L19" s="3" t="n">
        <v>0.8</v>
      </c>
      <c r="M19" s="3" t="n">
        <v>0.88</v>
      </c>
      <c r="N19" s="4" t="n">
        <f aca="false">IF(OR(L19="",M19=""),"",IFERROR(IF($K19="%",M19-L19,M19/L19-1),""))</f>
        <v>0.08</v>
      </c>
      <c r="O19" s="5" t="str">
        <f aca="false">IF(OR(L19="",M19=""),"",IF($F19="Maior Melhor",IF(M19&gt;=L19,"Sim","Não"),IF(M19&lt;=L19,"Sim","Não")))</f>
        <v>Sim</v>
      </c>
      <c r="P19" s="3" t="n">
        <v>0.8</v>
      </c>
      <c r="Q19" s="3" t="n">
        <v>0.76</v>
      </c>
      <c r="R19" s="4" t="n">
        <f aca="false">IF(OR(P19="",Q19=""),"",IFERROR(IF($K19="%",Q19-P19,Q19/P19-1),""))</f>
        <v>-0.04</v>
      </c>
      <c r="S19" s="5" t="str">
        <f aca="false">IF(OR(P19="",Q19=""),"",IF($F19="Maior Melhor",IF(Q19&gt;=P19,"Sim","Não"),IF(Q19&lt;=P19,"Sim","Não")))</f>
        <v>Não</v>
      </c>
      <c r="T19" s="3" t="n">
        <v>0.8</v>
      </c>
      <c r="U19" s="3" t="n">
        <v>0.55</v>
      </c>
      <c r="V19" s="4" t="n">
        <f aca="false">IF(OR(T19="",U19=""),"",IFERROR(IF($K19="%",U19-T19,U19/T19-1),""))</f>
        <v>-0.25</v>
      </c>
      <c r="W19" s="5" t="str">
        <f aca="false">IF(OR(T19="",U19=""),"",IF($F19="Maior Melhor",IF(U19&gt;=T19,"Sim","Não"),IF(U19&lt;=T19,"Sim","Não")))</f>
        <v>Não</v>
      </c>
      <c r="X19" s="3" t="n">
        <v>0.8</v>
      </c>
      <c r="Y19" s="3" t="n">
        <v>0.81</v>
      </c>
      <c r="Z19" s="4" t="n">
        <f aca="false">IF(OR(X19="",Y19=""),"",IFERROR(IF($K19="%",Y19-X19,Y19/X19-1),""))</f>
        <v>0.01</v>
      </c>
      <c r="AA19" s="5" t="str">
        <f aca="false">IF(OR(X19="",Y19=""),"",IF($F19="Maior Melhor",IF(Y19&gt;=X19,"Sim","Não"),IF(Y19&lt;=X19,"Sim","Não")))</f>
        <v>Sim</v>
      </c>
      <c r="AB19" s="3" t="n">
        <v>0.8</v>
      </c>
      <c r="AC19" s="3" t="n">
        <v>0.81</v>
      </c>
      <c r="AD19" s="4" t="n">
        <f aca="false">IF(OR(AB19="",AC19=""),"",IFERROR(IF($K19="%",AC19-AB19,AC19/AB19-1),""))</f>
        <v>0.01</v>
      </c>
      <c r="AE19" s="5" t="str">
        <f aca="false">IF(OR(AB19="",AC19=""),"",IF($F19="Maior Melhor",IF(AC19&gt;=AB19,"Sim","Não"),IF(AC19&lt;=AB19,"Sim","Não")))</f>
        <v>Sim</v>
      </c>
      <c r="AF19" s="3" t="n">
        <v>0.8</v>
      </c>
      <c r="AG19" s="3" t="n">
        <v>0.98</v>
      </c>
      <c r="AH19" s="4" t="n">
        <f aca="false">IF(OR(AF19="",AG19=""),"",IFERROR(IF($K19="%",AG19-AF19,AG19/AF19-1),""))</f>
        <v>0.18</v>
      </c>
      <c r="AI19" s="5" t="str">
        <f aca="false">IF(OR(AF19="",AG19=""),"",IF($F19="Maior Melhor",IF(AG19&gt;=AF19,"Sim","Não"),IF(AG19&lt;=AF19,"Sim","Não")))</f>
        <v>Sim</v>
      </c>
      <c r="AJ19" s="3" t="n">
        <v>0.8</v>
      </c>
      <c r="AK19" s="3" t="n">
        <v>0.98</v>
      </c>
      <c r="AL19" s="4" t="n">
        <f aca="false">IF(OR(AJ19="",AK19=""),"",IFERROR(IF($K19="%",AK19-AJ19,AK19/AJ19-1),""))</f>
        <v>0.18</v>
      </c>
      <c r="AM19" s="5" t="str">
        <f aca="false">IF(OR(AJ19="",AK19=""),"",IF($F19="Maior Melhor",IF(AK19&gt;=AJ19,"Sim","Não"),IF(AK19&lt;=AJ19,"Sim","Não")))</f>
        <v>Sim</v>
      </c>
      <c r="AN19" s="3" t="n">
        <v>0.8</v>
      </c>
      <c r="AO19" s="3" t="n">
        <v>0.99</v>
      </c>
      <c r="AP19" s="4" t="n">
        <f aca="false">IF(OR(AN19="",AO19=""),"",IFERROR(IF($K19="%",AO19-AN19,AO19/AN19-1),""))</f>
        <v>0.19</v>
      </c>
      <c r="AQ19" s="5" t="str">
        <f aca="false">IF(OR(AN19="",AO19=""),"",IF($F19="Maior Melhor",IF(AO19&gt;=AN19,"Sim","Não"),IF(AO19&lt;=AN19,"Sim","Não")))</f>
        <v>Sim</v>
      </c>
      <c r="AR19" s="3" t="n">
        <v>0.8</v>
      </c>
      <c r="AS19" s="3" t="n">
        <v>0.99</v>
      </c>
      <c r="AT19" s="4" t="n">
        <f aca="false">IF(OR(AR19="",AS19=""),"",IFERROR(IF($K19="%",AS19-AR19,AS19/AR19-1),""))</f>
        <v>0.19</v>
      </c>
      <c r="AU19" s="5" t="str">
        <f aca="false">IF(OR(AR19="",AS19=""),"",IF($F19="Maior Melhor",IF(AS19&gt;=AR19,"Sim","Não"),IF(AS19&lt;=AR19,"Sim","Não")))</f>
        <v>Sim</v>
      </c>
      <c r="AV19" s="3" t="n">
        <v>0.8</v>
      </c>
      <c r="AW19" s="3" t="n">
        <v>0.99</v>
      </c>
      <c r="AX19" s="4" t="n">
        <f aca="false">IF(OR(AV19="",AW19=""),"",IFERROR(IF($K19="%",AW19-AV19,AW19/AV19-1),""))</f>
        <v>0.19</v>
      </c>
      <c r="AY19" s="5" t="str">
        <f aca="false">IF(OR(AV19="",AW19=""),"",IF($F19="Maior Melhor",IF(AW19&gt;=AV19,"Sim","Não"),IF(AW19&lt;=AV19,"Sim","Não")))</f>
        <v>Sim</v>
      </c>
      <c r="AZ19" s="3" t="n">
        <v>0.8</v>
      </c>
      <c r="BA19" s="3" t="n">
        <v>0.99</v>
      </c>
      <c r="BB19" s="4" t="n">
        <f aca="false">IF(OR(AZ19="",BA19=""),"",IFERROR(IF($K19="%",BA19-AZ19,BA19/AZ19-1),""))</f>
        <v>0.19</v>
      </c>
      <c r="BC19" s="5" t="str">
        <f aca="false">IF(OR(AZ19="",BA19=""),"",IF($F19="Maior Melhor",IF(BA19&gt;=AZ19,"Sim","Não"),IF(BA19&lt;=AZ19,"Sim","Não")))</f>
        <v>Sim</v>
      </c>
      <c r="BD19" s="3" t="n">
        <v>0.8</v>
      </c>
      <c r="BE19" s="3" t="n">
        <v>0.95</v>
      </c>
      <c r="BF19" s="4" t="n">
        <f aca="false">IF(OR(BD19="",BE19=""),"",IFERROR(IF($K19="%",BE19-BD19,BE19/BD19-1),""))</f>
        <v>0.15</v>
      </c>
      <c r="BG19" s="5" t="str">
        <f aca="false">IF(OR(BD19="",BE19=""),"",IF($F19="Maior Melhor",IF(BE19&gt;=BD19,"Sim","Não"),IF(BE19&lt;=BD19,"Sim","Não")))</f>
        <v>Sim</v>
      </c>
      <c r="BH19" s="3" t="n">
        <v>0.8</v>
      </c>
      <c r="BI19" s="3" t="n">
        <v>0.95</v>
      </c>
      <c r="BJ19" s="4" t="n">
        <f aca="false">IF(OR(BH19="",BI19=""),"",IFERROR(IF($K19="%",BI19-BH19,BI19/BH19-1),""))</f>
        <v>0.15</v>
      </c>
      <c r="BK19" s="5" t="str">
        <f aca="false">IF(OR(BH19="",BI19=""),"",IF($F19="Maior Melhor",IF(BI19&gt;=BH19,"Sim","Não"),IF(BI19&lt;=BH19,"Sim","Não")))</f>
        <v>Sim</v>
      </c>
      <c r="BL19" s="6"/>
      <c r="BM19" s="6"/>
      <c r="BN19" s="4" t="str">
        <f aca="false">IF(OR(BL19="",BM19=""),"",IFERROR(IF($K19="%",BM19-BL19,BM19/BL19-1),""))</f>
        <v/>
      </c>
      <c r="BO19" s="5" t="str">
        <f aca="false">IF(OR(BL19="",BM19=""),"",IF($F19="Maior Melhor",IF(BM19&gt;=BL19,"Sim","Não"),IF(BM19&lt;=BL19,"Sim","Não")))</f>
        <v/>
      </c>
      <c r="BP19" s="6"/>
      <c r="BQ19" s="6"/>
      <c r="BR19" s="4" t="str">
        <f aca="false">IF(OR(BP19="",BQ19=""),"",IFERROR(IF($K19="%",BQ19-BP19,BQ19/BP19-1),""))</f>
        <v/>
      </c>
      <c r="BS19" s="5" t="str">
        <f aca="false">IF(OR(BP19="",BQ19=""),"",IF($F19="Maior Melhor",IF(BQ19&gt;=BP19,"Sim","Não"),IF(BQ19&lt;=BP19,"Sim","Não")))</f>
        <v/>
      </c>
      <c r="BT19" s="6"/>
      <c r="BU19" s="6"/>
      <c r="BV19" s="4" t="str">
        <f aca="false">IF(OR(BT19="",BU19=""),"",IFERROR(IF($K19="%",BU19-BT19,BU19/BT19-1),""))</f>
        <v/>
      </c>
      <c r="BW19" s="5" t="str">
        <f aca="false">IF(OR(BT19="",BU19=""),"",IF($F19="Maior Melhor",IF(BU19&gt;=BT19,"Sim","Não"),IF(BU19&lt;=BT19,"Sim","Não")))</f>
        <v/>
      </c>
      <c r="BX19" s="6"/>
      <c r="BY19" s="6"/>
      <c r="BZ19" s="4" t="str">
        <f aca="false">IF(OR(BX19="",BY19=""),"",IFERROR(IF($K19="%",BY19-BX19,BY19/BX19-1),""))</f>
        <v/>
      </c>
      <c r="CA19" s="5" t="str">
        <f aca="false">IF(OR(BX19="",BY19=""),"",IF($F19="Maior Melhor",IF(BY19&gt;=BX19,"Sim","Não"),IF(BY19&lt;=BX19,"Sim","Não")))</f>
        <v/>
      </c>
      <c r="CB19" s="6"/>
      <c r="CC19" s="6"/>
      <c r="CD19" s="4" t="str">
        <f aca="false">IF(OR(CB19="",CC19=""),"",IFERROR(IF($K19="%",CC19-CB19,CC19/CB19-1),""))</f>
        <v/>
      </c>
      <c r="CE19" s="5" t="str">
        <f aca="false">IF(OR(CB19="",CC19=""),"",IF($F19="Maior Melhor",IF(CC19&gt;=CB19,"Sim","Não"),IF(CC19&lt;=CB19,"Sim","Não")))</f>
        <v/>
      </c>
      <c r="CF19" s="6"/>
      <c r="CG19" s="6"/>
      <c r="CH19" s="4" t="str">
        <f aca="false">IF(OR(CF19="",CG19=""),"",IFERROR(IF($K19="%",CG19-CF19,CG19/CF19-1),""))</f>
        <v/>
      </c>
      <c r="CI19" s="5" t="str">
        <f aca="false">IF(OR(CF19="",CG19=""),"",IF($F19="Maior Melhor",IF(CG19&gt;=CF19,"Sim","Não"),IF(CG19&lt;=CF19,"Sim","Não")))</f>
        <v/>
      </c>
      <c r="CJ19" s="6"/>
      <c r="CK19" s="6"/>
      <c r="CL19" s="4" t="str">
        <f aca="false">IF(OR(CJ19="",CK19=""),"",IFERROR(IF($K19="%",CK19-CJ19,CK19/CJ19-1),""))</f>
        <v/>
      </c>
      <c r="CM19" s="5" t="str">
        <f aca="false">IF(OR(CJ19="",CK19=""),"",IF($F19="Maior Melhor",IF(CK19&gt;=CJ19,"Sim","Não"),IF(CK19&lt;=CJ19,"Sim","Não")))</f>
        <v/>
      </c>
      <c r="CN19" s="6"/>
      <c r="CO19" s="6"/>
      <c r="CP19" s="4" t="str">
        <f aca="false">IF(OR(CN19="",CO19=""),"",IFERROR(IF($K19="%",CO19-CN19,CO19/CN19-1),""))</f>
        <v/>
      </c>
      <c r="CQ19" s="5" t="str">
        <f aca="false">IF(OR(CN19="",CO19=""),"",IF($F19="Maior Melhor",IF(CO19&gt;=CN19,"Sim","Não"),IF(CO19&lt;=CN19,"Sim","Não")))</f>
        <v/>
      </c>
      <c r="CR19" s="2" t="s">
        <v>105</v>
      </c>
    </row>
    <row r="20" customFormat="false" ht="15" hidden="false" customHeight="false" outlineLevel="0" collapsed="false">
      <c r="A20" s="2" t="s">
        <v>96</v>
      </c>
      <c r="B20" s="2" t="s">
        <v>97</v>
      </c>
      <c r="C20" s="2" t="s">
        <v>98</v>
      </c>
      <c r="D20" s="2" t="s">
        <v>132</v>
      </c>
      <c r="E20" s="2" t="str">
        <f aca="false">C20&amp;D20</f>
        <v>Gerência Centro OesteAderência do medidor e ramal</v>
      </c>
      <c r="F20" s="2" t="s">
        <v>100</v>
      </c>
      <c r="G20" s="2" t="s">
        <v>133</v>
      </c>
      <c r="H20" s="2" t="s">
        <v>102</v>
      </c>
      <c r="I20" s="2" t="s">
        <v>103</v>
      </c>
      <c r="J20" s="2" t="n">
        <v>1</v>
      </c>
      <c r="K20" s="2" t="s">
        <v>104</v>
      </c>
      <c r="L20" s="3" t="n">
        <v>0.9</v>
      </c>
      <c r="M20" s="3" t="n">
        <v>0.8326</v>
      </c>
      <c r="N20" s="4" t="n">
        <f aca="false">IF(OR(L20="",M20=""),"",IFERROR(IF($K20="%",M20-L20,M20/L20-1),""))</f>
        <v>-0.0674</v>
      </c>
      <c r="O20" s="5" t="str">
        <f aca="false">IF(OR(L20="",M20=""),"",IF($F20="Maior Melhor",IF(M20&gt;=L20,"Sim","Não"),IF(M20&lt;=L20,"Sim","Não")))</f>
        <v>Não</v>
      </c>
      <c r="P20" s="3" t="n">
        <v>0.9</v>
      </c>
      <c r="Q20" s="3" t="n">
        <v>0.4652</v>
      </c>
      <c r="R20" s="4" t="n">
        <f aca="false">IF(OR(P20="",Q20=""),"",IFERROR(IF($K20="%",Q20-P20,Q20/P20-1),""))</f>
        <v>-0.4348</v>
      </c>
      <c r="S20" s="5" t="str">
        <f aca="false">IF(OR(P20="",Q20=""),"",IF($F20="Maior Melhor",IF(Q20&gt;=P20,"Sim","Não"),IF(Q20&lt;=P20,"Sim","Não")))</f>
        <v>Não</v>
      </c>
      <c r="T20" s="3" t="n">
        <v>0.9</v>
      </c>
      <c r="U20" s="3" t="n">
        <v>0.9757</v>
      </c>
      <c r="V20" s="4" t="n">
        <f aca="false">IF(OR(T20="",U20=""),"",IFERROR(IF($K20="%",U20-T20,U20/T20-1),""))</f>
        <v>0.0757</v>
      </c>
      <c r="W20" s="5" t="str">
        <f aca="false">IF(OR(T20="",U20=""),"",IF($F20="Maior Melhor",IF(U20&gt;=T20,"Sim","Não"),IF(U20&lt;=T20,"Sim","Não")))</f>
        <v>Sim</v>
      </c>
      <c r="X20" s="3" t="n">
        <v>0.9</v>
      </c>
      <c r="Y20" s="3" t="n">
        <v>0.9955</v>
      </c>
      <c r="Z20" s="4" t="n">
        <f aca="false">IF(OR(X20="",Y20=""),"",IFERROR(IF($K20="%",Y20-X20,Y20/X20-1),""))</f>
        <v>0.0955</v>
      </c>
      <c r="AA20" s="5" t="str">
        <f aca="false">IF(OR(X20="",Y20=""),"",IF($F20="Maior Melhor",IF(Y20&gt;=X20,"Sim","Não"),IF(Y20&lt;=X20,"Sim","Não")))</f>
        <v>Sim</v>
      </c>
      <c r="AB20" s="3" t="n">
        <v>0.9</v>
      </c>
      <c r="AC20" s="3" t="n">
        <v>0.9955</v>
      </c>
      <c r="AD20" s="4" t="n">
        <f aca="false">IF(OR(AB20="",AC20=""),"",IFERROR(IF($K20="%",AC20-AB20,AC20/AB20-1),""))</f>
        <v>0.0955</v>
      </c>
      <c r="AE20" s="5" t="str">
        <f aca="false">IF(OR(AB20="",AC20=""),"",IF($F20="Maior Melhor",IF(AC20&gt;=AB20,"Sim","Não"),IF(AC20&lt;=AB20,"Sim","Não")))</f>
        <v>Sim</v>
      </c>
      <c r="AF20" s="3" t="n">
        <v>0.9</v>
      </c>
      <c r="AG20" s="3" t="n">
        <v>0.99</v>
      </c>
      <c r="AH20" s="4" t="n">
        <f aca="false">IF(OR(AF20="",AG20=""),"",IFERROR(IF($K20="%",AG20-AF20,AG20/AF20-1),""))</f>
        <v>0.09</v>
      </c>
      <c r="AI20" s="5" t="str">
        <f aca="false">IF(OR(AF20="",AG20=""),"",IF($F20="Maior Melhor",IF(AG20&gt;=AF20,"Sim","Não"),IF(AG20&lt;=AF20,"Sim","Não")))</f>
        <v>Sim</v>
      </c>
      <c r="AJ20" s="3" t="n">
        <v>0.9</v>
      </c>
      <c r="AK20" s="3" t="n">
        <v>0.99</v>
      </c>
      <c r="AL20" s="4" t="n">
        <f aca="false">IF(OR(AJ20="",AK20=""),"",IFERROR(IF($K20="%",AK20-AJ20,AK20/AJ20-1),""))</f>
        <v>0.09</v>
      </c>
      <c r="AM20" s="5" t="str">
        <f aca="false">IF(OR(AJ20="",AK20=""),"",IF($F20="Maior Melhor",IF(AK20&gt;=AJ20,"Sim","Não"),IF(AK20&lt;=AJ20,"Sim","Não")))</f>
        <v>Sim</v>
      </c>
      <c r="AN20" s="3" t="n">
        <v>0.9</v>
      </c>
      <c r="AO20" s="3" t="n">
        <v>0.831656347</v>
      </c>
      <c r="AP20" s="4" t="n">
        <f aca="false">IF(OR(AN20="",AO20=""),"",IFERROR(IF($K20="%",AO20-AN20,AO20/AN20-1),""))</f>
        <v>-0.068343653</v>
      </c>
      <c r="AQ20" s="5" t="str">
        <f aca="false">IF(OR(AN20="",AO20=""),"",IF($F20="Maior Melhor",IF(AO20&gt;=AN20,"Sim","Não"),IF(AO20&lt;=AN20,"Sim","Não")))</f>
        <v>Não</v>
      </c>
      <c r="AR20" s="3" t="n">
        <v>0.9</v>
      </c>
      <c r="AS20" s="3" t="n">
        <v>0.831656347</v>
      </c>
      <c r="AT20" s="4" t="n">
        <f aca="false">IF(OR(AR20="",AS20=""),"",IFERROR(IF($K20="%",AS20-AR20,AS20/AR20-1),""))</f>
        <v>-0.068343653</v>
      </c>
      <c r="AU20" s="5" t="str">
        <f aca="false">IF(OR(AR20="",AS20=""),"",IF($F20="Maior Melhor",IF(AS20&gt;=AR20,"Sim","Não"),IF(AS20&lt;=AR20,"Sim","Não")))</f>
        <v>Não</v>
      </c>
      <c r="AV20" s="3" t="n">
        <v>0.9</v>
      </c>
      <c r="AW20" s="3" t="n">
        <v>0.960967994</v>
      </c>
      <c r="AX20" s="4" t="n">
        <f aca="false">IF(OR(AV20="",AW20=""),"",IFERROR(IF($K20="%",AW20-AV20,AW20/AV20-1),""))</f>
        <v>0.060967994</v>
      </c>
      <c r="AY20" s="5" t="str">
        <f aca="false">IF(OR(AV20="",AW20=""),"",IF($F20="Maior Melhor",IF(AW20&gt;=AV20,"Sim","Não"),IF(AW20&lt;=AV20,"Sim","Não")))</f>
        <v>Sim</v>
      </c>
      <c r="AZ20" s="3" t="n">
        <v>0.9</v>
      </c>
      <c r="BA20" s="3" t="n">
        <v>0.960967994</v>
      </c>
      <c r="BB20" s="4" t="n">
        <f aca="false">IF(OR(AZ20="",BA20=""),"",IFERROR(IF($K20="%",BA20-AZ20,BA20/AZ20-1),""))</f>
        <v>0.060967994</v>
      </c>
      <c r="BC20" s="5" t="str">
        <f aca="false">IF(OR(AZ20="",BA20=""),"",IF($F20="Maior Melhor",IF(BA20&gt;=AZ20,"Sim","Não"),IF(BA20&lt;=AZ20,"Sim","Não")))</f>
        <v>Sim</v>
      </c>
      <c r="BD20" s="3" t="n">
        <v>0.9</v>
      </c>
      <c r="BE20" s="3" t="n">
        <v>0.960281195</v>
      </c>
      <c r="BF20" s="4" t="n">
        <f aca="false">IF(OR(BD20="",BE20=""),"",IFERROR(IF($K20="%",BE20-BD20,BE20/BD20-1),""))</f>
        <v>0.060281195</v>
      </c>
      <c r="BG20" s="5" t="str">
        <f aca="false">IF(OR(BD20="",BE20=""),"",IF($F20="Maior Melhor",IF(BE20&gt;=BD20,"Sim","Não"),IF(BE20&lt;=BD20,"Sim","Não")))</f>
        <v>Sim</v>
      </c>
      <c r="BH20" s="3" t="n">
        <v>0.9</v>
      </c>
      <c r="BI20" s="3" t="n">
        <v>0.960281195</v>
      </c>
      <c r="BJ20" s="4" t="n">
        <f aca="false">IF(OR(BH20="",BI20=""),"",IFERROR(IF($K20="%",BI20-BH20,BI20/BH20-1),""))</f>
        <v>0.060281195</v>
      </c>
      <c r="BK20" s="5" t="str">
        <f aca="false">IF(OR(BH20="",BI20=""),"",IF($F20="Maior Melhor",IF(BI20&gt;=BH20,"Sim","Não"),IF(BI20&lt;=BH20,"Sim","Não")))</f>
        <v>Sim</v>
      </c>
      <c r="BL20" s="6"/>
      <c r="BM20" s="6"/>
      <c r="BN20" s="4" t="str">
        <f aca="false">IF(OR(BL20="",BM20=""),"",IFERROR(IF($K20="%",BM20-BL20,BM20/BL20-1),""))</f>
        <v/>
      </c>
      <c r="BO20" s="5" t="str">
        <f aca="false">IF(OR(BL20="",BM20=""),"",IF($F20="Maior Melhor",IF(BM20&gt;=BL20,"Sim","Não"),IF(BM20&lt;=BL20,"Sim","Não")))</f>
        <v/>
      </c>
      <c r="BP20" s="6"/>
      <c r="BQ20" s="6"/>
      <c r="BR20" s="4" t="str">
        <f aca="false">IF(OR(BP20="",BQ20=""),"",IFERROR(IF($K20="%",BQ20-BP20,BQ20/BP20-1),""))</f>
        <v/>
      </c>
      <c r="BS20" s="5" t="str">
        <f aca="false">IF(OR(BP20="",BQ20=""),"",IF($F20="Maior Melhor",IF(BQ20&gt;=BP20,"Sim","Não"),IF(BQ20&lt;=BP20,"Sim","Não")))</f>
        <v/>
      </c>
      <c r="BT20" s="6"/>
      <c r="BU20" s="6"/>
      <c r="BV20" s="4" t="str">
        <f aca="false">IF(OR(BT20="",BU20=""),"",IFERROR(IF($K20="%",BU20-BT20,BU20/BT20-1),""))</f>
        <v/>
      </c>
      <c r="BW20" s="5" t="str">
        <f aca="false">IF(OR(BT20="",BU20=""),"",IF($F20="Maior Melhor",IF(BU20&gt;=BT20,"Sim","Não"),IF(BU20&lt;=BT20,"Sim","Não")))</f>
        <v/>
      </c>
      <c r="BX20" s="6"/>
      <c r="BY20" s="6"/>
      <c r="BZ20" s="4" t="str">
        <f aca="false">IF(OR(BX20="",BY20=""),"",IFERROR(IF($K20="%",BY20-BX20,BY20/BX20-1),""))</f>
        <v/>
      </c>
      <c r="CA20" s="5" t="str">
        <f aca="false">IF(OR(BX20="",BY20=""),"",IF($F20="Maior Melhor",IF(BY20&gt;=BX20,"Sim","Não"),IF(BY20&lt;=BX20,"Sim","Não")))</f>
        <v/>
      </c>
      <c r="CB20" s="6"/>
      <c r="CC20" s="6"/>
      <c r="CD20" s="4" t="str">
        <f aca="false">IF(OR(CB20="",CC20=""),"",IFERROR(IF($K20="%",CC20-CB20,CC20/CB20-1),""))</f>
        <v/>
      </c>
      <c r="CE20" s="5" t="str">
        <f aca="false">IF(OR(CB20="",CC20=""),"",IF($F20="Maior Melhor",IF(CC20&gt;=CB20,"Sim","Não"),IF(CC20&lt;=CB20,"Sim","Não")))</f>
        <v/>
      </c>
      <c r="CF20" s="6"/>
      <c r="CG20" s="6"/>
      <c r="CH20" s="4" t="str">
        <f aca="false">IF(OR(CF20="",CG20=""),"",IFERROR(IF($K20="%",CG20-CF20,CG20/CF20-1),""))</f>
        <v/>
      </c>
      <c r="CI20" s="5" t="str">
        <f aca="false">IF(OR(CF20="",CG20=""),"",IF($F20="Maior Melhor",IF(CG20&gt;=CF20,"Sim","Não"),IF(CG20&lt;=CF20,"Sim","Não")))</f>
        <v/>
      </c>
      <c r="CJ20" s="6"/>
      <c r="CK20" s="6"/>
      <c r="CL20" s="4" t="str">
        <f aca="false">IF(OR(CJ20="",CK20=""),"",IFERROR(IF($K20="%",CK20-CJ20,CK20/CJ20-1),""))</f>
        <v/>
      </c>
      <c r="CM20" s="5" t="str">
        <f aca="false">IF(OR(CJ20="",CK20=""),"",IF($F20="Maior Melhor",IF(CK20&gt;=CJ20,"Sim","Não"),IF(CK20&lt;=CJ20,"Sim","Não")))</f>
        <v/>
      </c>
      <c r="CN20" s="6"/>
      <c r="CO20" s="6"/>
      <c r="CP20" s="4" t="str">
        <f aca="false">IF(OR(CN20="",CO20=""),"",IFERROR(IF($K20="%",CO20-CN20,CO20/CN20-1),""))</f>
        <v/>
      </c>
      <c r="CQ20" s="5" t="str">
        <f aca="false">IF(OR(CN20="",CO20=""),"",IF($F20="Maior Melhor",IF(CO20&gt;=CN20,"Sim","Não"),IF(CO20&lt;=CN20,"Sim","Não")))</f>
        <v/>
      </c>
      <c r="CR20" s="2" t="s">
        <v>105</v>
      </c>
    </row>
    <row r="21" customFormat="false" ht="15" hidden="false" customHeight="false" outlineLevel="0" collapsed="false">
      <c r="A21" s="2" t="s">
        <v>96</v>
      </c>
      <c r="B21" s="2" t="s">
        <v>106</v>
      </c>
      <c r="C21" s="2" t="s">
        <v>107</v>
      </c>
      <c r="D21" s="2" t="s">
        <v>132</v>
      </c>
      <c r="E21" s="2" t="str">
        <f aca="false">C21&amp;D21</f>
        <v>Gerência OesteAderência do medidor e ramal</v>
      </c>
      <c r="F21" s="2" t="s">
        <v>100</v>
      </c>
      <c r="G21" s="2" t="s">
        <v>133</v>
      </c>
      <c r="H21" s="2" t="s">
        <v>102</v>
      </c>
      <c r="I21" s="2" t="s">
        <v>103</v>
      </c>
      <c r="J21" s="2" t="n">
        <v>1</v>
      </c>
      <c r="K21" s="2" t="s">
        <v>104</v>
      </c>
      <c r="L21" s="3" t="n">
        <v>0.9</v>
      </c>
      <c r="M21" s="3" t="n">
        <v>0.9146</v>
      </c>
      <c r="N21" s="4" t="n">
        <f aca="false">IF(OR(L21="",M21=""),"",IFERROR(IF($K21="%",M21-L21,M21/L21-1),""))</f>
        <v>0.0145999999999999</v>
      </c>
      <c r="O21" s="5" t="str">
        <f aca="false">IF(OR(L21="",M21=""),"",IF($F21="Maior Melhor",IF(M21&gt;=L21,"Sim","Não"),IF(M21&lt;=L21,"Sim","Não")))</f>
        <v>Sim</v>
      </c>
      <c r="P21" s="3" t="n">
        <v>0.9</v>
      </c>
      <c r="Q21" s="3" t="n">
        <v>0.412</v>
      </c>
      <c r="R21" s="4" t="n">
        <f aca="false">IF(OR(P21="",Q21=""),"",IFERROR(IF($K21="%",Q21-P21,Q21/P21-1),""))</f>
        <v>-0.488</v>
      </c>
      <c r="S21" s="5" t="str">
        <f aca="false">IF(OR(P21="",Q21=""),"",IF($F21="Maior Melhor",IF(Q21&gt;=P21,"Sim","Não"),IF(Q21&lt;=P21,"Sim","Não")))</f>
        <v>Não</v>
      </c>
      <c r="T21" s="3" t="n">
        <v>0.9</v>
      </c>
      <c r="U21" s="3" t="n">
        <v>0.9442</v>
      </c>
      <c r="V21" s="4" t="n">
        <f aca="false">IF(OR(T21="",U21=""),"",IFERROR(IF($K21="%",U21-T21,U21/T21-1),""))</f>
        <v>0.0442</v>
      </c>
      <c r="W21" s="5" t="str">
        <f aca="false">IF(OR(T21="",U21=""),"",IF($F21="Maior Melhor",IF(U21&gt;=T21,"Sim","Não"),IF(U21&lt;=T21,"Sim","Não")))</f>
        <v>Sim</v>
      </c>
      <c r="X21" s="3" t="n">
        <v>0.9</v>
      </c>
      <c r="Y21" s="3" t="n">
        <v>0.9892</v>
      </c>
      <c r="Z21" s="4" t="n">
        <f aca="false">IF(OR(X21="",Y21=""),"",IFERROR(IF($K21="%",Y21-X21,Y21/X21-1),""))</f>
        <v>0.0892</v>
      </c>
      <c r="AA21" s="5" t="str">
        <f aca="false">IF(OR(X21="",Y21=""),"",IF($F21="Maior Melhor",IF(Y21&gt;=X21,"Sim","Não"),IF(Y21&lt;=X21,"Sim","Não")))</f>
        <v>Sim</v>
      </c>
      <c r="AB21" s="3" t="n">
        <v>0.9</v>
      </c>
      <c r="AC21" s="3" t="n">
        <v>0.9892</v>
      </c>
      <c r="AD21" s="4" t="n">
        <f aca="false">IF(OR(AB21="",AC21=""),"",IFERROR(IF($K21="%",AC21-AB21,AC21/AB21-1),""))</f>
        <v>0.0892</v>
      </c>
      <c r="AE21" s="5" t="str">
        <f aca="false">IF(OR(AB21="",AC21=""),"",IF($F21="Maior Melhor",IF(AC21&gt;=AB21,"Sim","Não"),IF(AC21&lt;=AB21,"Sim","Não")))</f>
        <v>Sim</v>
      </c>
      <c r="AF21" s="3" t="n">
        <v>0.9</v>
      </c>
      <c r="AG21" s="3" t="n">
        <v>0.95</v>
      </c>
      <c r="AH21" s="4" t="n">
        <f aca="false">IF(OR(AF21="",AG21=""),"",IFERROR(IF($K21="%",AG21-AF21,AG21/AF21-1),""))</f>
        <v>0.0499999999999999</v>
      </c>
      <c r="AI21" s="5" t="str">
        <f aca="false">IF(OR(AF21="",AG21=""),"",IF($F21="Maior Melhor",IF(AG21&gt;=AF21,"Sim","Não"),IF(AG21&lt;=AF21,"Sim","Não")))</f>
        <v>Sim</v>
      </c>
      <c r="AJ21" s="3" t="n">
        <v>0.9</v>
      </c>
      <c r="AK21" s="3" t="n">
        <v>0.95</v>
      </c>
      <c r="AL21" s="4" t="n">
        <f aca="false">IF(OR(AJ21="",AK21=""),"",IFERROR(IF($K21="%",AK21-AJ21,AK21/AJ21-1),""))</f>
        <v>0.0499999999999999</v>
      </c>
      <c r="AM21" s="5" t="str">
        <f aca="false">IF(OR(AJ21="",AK21=""),"",IF($F21="Maior Melhor",IF(AK21&gt;=AJ21,"Sim","Não"),IF(AK21&lt;=AJ21,"Sim","Não")))</f>
        <v>Sim</v>
      </c>
      <c r="AN21" s="3" t="n">
        <v>0.9</v>
      </c>
      <c r="AO21" s="3" t="n">
        <v>0.994908655</v>
      </c>
      <c r="AP21" s="4" t="n">
        <f aca="false">IF(OR(AN21="",AO21=""),"",IFERROR(IF($K21="%",AO21-AN21,AO21/AN21-1),""))</f>
        <v>0.094908655</v>
      </c>
      <c r="AQ21" s="5" t="str">
        <f aca="false">IF(OR(AN21="",AO21=""),"",IF($F21="Maior Melhor",IF(AO21&gt;=AN21,"Sim","Não"),IF(AO21&lt;=AN21,"Sim","Não")))</f>
        <v>Sim</v>
      </c>
      <c r="AR21" s="3" t="n">
        <v>0.9</v>
      </c>
      <c r="AS21" s="3" t="n">
        <v>0.994908655</v>
      </c>
      <c r="AT21" s="4" t="n">
        <f aca="false">IF(OR(AR21="",AS21=""),"",IFERROR(IF($K21="%",AS21-AR21,AS21/AR21-1),""))</f>
        <v>0.094908655</v>
      </c>
      <c r="AU21" s="5" t="str">
        <f aca="false">IF(OR(AR21="",AS21=""),"",IF($F21="Maior Melhor",IF(AS21&gt;=AR21,"Sim","Não"),IF(AS21&lt;=AR21,"Sim","Não")))</f>
        <v>Sim</v>
      </c>
      <c r="AV21" s="3" t="n">
        <v>0.9</v>
      </c>
      <c r="AW21" s="3" t="n">
        <v>0.990914097</v>
      </c>
      <c r="AX21" s="4" t="n">
        <f aca="false">IF(OR(AV21="",AW21=""),"",IFERROR(IF($K21="%",AW21-AV21,AW21/AV21-1),""))</f>
        <v>0.090914097</v>
      </c>
      <c r="AY21" s="5" t="str">
        <f aca="false">IF(OR(AV21="",AW21=""),"",IF($F21="Maior Melhor",IF(AW21&gt;=AV21,"Sim","Não"),IF(AW21&lt;=AV21,"Sim","Não")))</f>
        <v>Sim</v>
      </c>
      <c r="AZ21" s="3" t="n">
        <v>0.9</v>
      </c>
      <c r="BA21" s="3" t="n">
        <v>0.990914097</v>
      </c>
      <c r="BB21" s="4" t="n">
        <f aca="false">IF(OR(AZ21="",BA21=""),"",IFERROR(IF($K21="%",BA21-AZ21,BA21/AZ21-1),""))</f>
        <v>0.090914097</v>
      </c>
      <c r="BC21" s="5" t="str">
        <f aca="false">IF(OR(AZ21="",BA21=""),"",IF($F21="Maior Melhor",IF(BA21&gt;=AZ21,"Sim","Não"),IF(BA21&lt;=AZ21,"Sim","Não")))</f>
        <v>Sim</v>
      </c>
      <c r="BD21" s="3" t="n">
        <v>0.9</v>
      </c>
      <c r="BE21" s="3" t="n">
        <v>0.995092975</v>
      </c>
      <c r="BF21" s="4" t="n">
        <f aca="false">IF(OR(BD21="",BE21=""),"",IFERROR(IF($K21="%",BE21-BD21,BE21/BD21-1),""))</f>
        <v>0.095092975</v>
      </c>
      <c r="BG21" s="5" t="str">
        <f aca="false">IF(OR(BD21="",BE21=""),"",IF($F21="Maior Melhor",IF(BE21&gt;=BD21,"Sim","Não"),IF(BE21&lt;=BD21,"Sim","Não")))</f>
        <v>Sim</v>
      </c>
      <c r="BH21" s="3" t="n">
        <v>0.9</v>
      </c>
      <c r="BI21" s="3" t="n">
        <v>0.995092975</v>
      </c>
      <c r="BJ21" s="4" t="n">
        <f aca="false">IF(OR(BH21="",BI21=""),"",IFERROR(IF($K21="%",BI21-BH21,BI21/BH21-1),""))</f>
        <v>0.095092975</v>
      </c>
      <c r="BK21" s="5" t="str">
        <f aca="false">IF(OR(BH21="",BI21=""),"",IF($F21="Maior Melhor",IF(BI21&gt;=BH21,"Sim","Não"),IF(BI21&lt;=BH21,"Sim","Não")))</f>
        <v>Sim</v>
      </c>
      <c r="BL21" s="6"/>
      <c r="BM21" s="6"/>
      <c r="BN21" s="4" t="str">
        <f aca="false">IF(OR(BL21="",BM21=""),"",IFERROR(IF($K21="%",BM21-BL21,BM21/BL21-1),""))</f>
        <v/>
      </c>
      <c r="BO21" s="5" t="str">
        <f aca="false">IF(OR(BL21="",BM21=""),"",IF($F21="Maior Melhor",IF(BM21&gt;=BL21,"Sim","Não"),IF(BM21&lt;=BL21,"Sim","Não")))</f>
        <v/>
      </c>
      <c r="BP21" s="6"/>
      <c r="BQ21" s="6"/>
      <c r="BR21" s="4" t="str">
        <f aca="false">IF(OR(BP21="",BQ21=""),"",IFERROR(IF($K21="%",BQ21-BP21,BQ21/BP21-1),""))</f>
        <v/>
      </c>
      <c r="BS21" s="5" t="str">
        <f aca="false">IF(OR(BP21="",BQ21=""),"",IF($F21="Maior Melhor",IF(BQ21&gt;=BP21,"Sim","Não"),IF(BQ21&lt;=BP21,"Sim","Não")))</f>
        <v/>
      </c>
      <c r="BT21" s="6"/>
      <c r="BU21" s="6"/>
      <c r="BV21" s="4" t="str">
        <f aca="false">IF(OR(BT21="",BU21=""),"",IFERROR(IF($K21="%",BU21-BT21,BU21/BT21-1),""))</f>
        <v/>
      </c>
      <c r="BW21" s="5" t="str">
        <f aca="false">IF(OR(BT21="",BU21=""),"",IF($F21="Maior Melhor",IF(BU21&gt;=BT21,"Sim","Não"),IF(BU21&lt;=BT21,"Sim","Não")))</f>
        <v/>
      </c>
      <c r="BX21" s="6"/>
      <c r="BY21" s="6"/>
      <c r="BZ21" s="4" t="str">
        <f aca="false">IF(OR(BX21="",BY21=""),"",IFERROR(IF($K21="%",BY21-BX21,BY21/BX21-1),""))</f>
        <v/>
      </c>
      <c r="CA21" s="5" t="str">
        <f aca="false">IF(OR(BX21="",BY21=""),"",IF($F21="Maior Melhor",IF(BY21&gt;=BX21,"Sim","Não"),IF(BY21&lt;=BX21,"Sim","Não")))</f>
        <v/>
      </c>
      <c r="CB21" s="6"/>
      <c r="CC21" s="6"/>
      <c r="CD21" s="4" t="str">
        <f aca="false">IF(OR(CB21="",CC21=""),"",IFERROR(IF($K21="%",CC21-CB21,CC21/CB21-1),""))</f>
        <v/>
      </c>
      <c r="CE21" s="5" t="str">
        <f aca="false">IF(OR(CB21="",CC21=""),"",IF($F21="Maior Melhor",IF(CC21&gt;=CB21,"Sim","Não"),IF(CC21&lt;=CB21,"Sim","Não")))</f>
        <v/>
      </c>
      <c r="CF21" s="6"/>
      <c r="CG21" s="6"/>
      <c r="CH21" s="4" t="str">
        <f aca="false">IF(OR(CF21="",CG21=""),"",IFERROR(IF($K21="%",CG21-CF21,CG21/CF21-1),""))</f>
        <v/>
      </c>
      <c r="CI21" s="5" t="str">
        <f aca="false">IF(OR(CF21="",CG21=""),"",IF($F21="Maior Melhor",IF(CG21&gt;=CF21,"Sim","Não"),IF(CG21&lt;=CF21,"Sim","Não")))</f>
        <v/>
      </c>
      <c r="CJ21" s="6"/>
      <c r="CK21" s="6"/>
      <c r="CL21" s="4" t="str">
        <f aca="false">IF(OR(CJ21="",CK21=""),"",IFERROR(IF($K21="%",CK21-CJ21,CK21/CJ21-1),""))</f>
        <v/>
      </c>
      <c r="CM21" s="5" t="str">
        <f aca="false">IF(OR(CJ21="",CK21=""),"",IF($F21="Maior Melhor",IF(CK21&gt;=CJ21,"Sim","Não"),IF(CK21&lt;=CJ21,"Sim","Não")))</f>
        <v/>
      </c>
      <c r="CN21" s="6"/>
      <c r="CO21" s="6"/>
      <c r="CP21" s="4" t="str">
        <f aca="false">IF(OR(CN21="",CO21=""),"",IFERROR(IF($K21="%",CO21-CN21,CO21/CN21-1),""))</f>
        <v/>
      </c>
      <c r="CQ21" s="5" t="str">
        <f aca="false">IF(OR(CN21="",CO21=""),"",IF($F21="Maior Melhor",IF(CO21&gt;=CN21,"Sim","Não"),IF(CO21&lt;=CN21,"Sim","Não")))</f>
        <v/>
      </c>
      <c r="CR21" s="2" t="s">
        <v>105</v>
      </c>
    </row>
    <row r="22" customFormat="false" ht="15" hidden="false" customHeight="false" outlineLevel="0" collapsed="false">
      <c r="A22" s="2" t="s">
        <v>96</v>
      </c>
      <c r="B22" s="2" t="s">
        <v>108</v>
      </c>
      <c r="C22" s="2" t="s">
        <v>109</v>
      </c>
      <c r="D22" s="2" t="s">
        <v>132</v>
      </c>
      <c r="E22" s="2" t="str">
        <f aca="false">C22&amp;D22</f>
        <v>Gerência SudoesteAderência do medidor e ramal</v>
      </c>
      <c r="F22" s="2" t="s">
        <v>100</v>
      </c>
      <c r="G22" s="2" t="s">
        <v>133</v>
      </c>
      <c r="H22" s="2" t="s">
        <v>102</v>
      </c>
      <c r="I22" s="2" t="s">
        <v>103</v>
      </c>
      <c r="J22" s="2" t="n">
        <v>1</v>
      </c>
      <c r="K22" s="2" t="s">
        <v>104</v>
      </c>
      <c r="L22" s="3" t="n">
        <v>0.9</v>
      </c>
      <c r="M22" s="3" t="n">
        <v>0.9906</v>
      </c>
      <c r="N22" s="4" t="n">
        <f aca="false">IF(OR(L22="",M22=""),"",IFERROR(IF($K22="%",M22-L22,M22/L22-1),""))</f>
        <v>0.0906</v>
      </c>
      <c r="O22" s="5" t="str">
        <f aca="false">IF(OR(L22="",M22=""),"",IF($F22="Maior Melhor",IF(M22&gt;=L22,"Sim","Não"),IF(M22&lt;=L22,"Sim","Não")))</f>
        <v>Sim</v>
      </c>
      <c r="P22" s="3" t="n">
        <v>0.9</v>
      </c>
      <c r="Q22" s="3" t="n">
        <v>0.5822</v>
      </c>
      <c r="R22" s="4" t="n">
        <f aca="false">IF(OR(P22="",Q22=""),"",IFERROR(IF($K22="%",Q22-P22,Q22/P22-1),""))</f>
        <v>-0.3178</v>
      </c>
      <c r="S22" s="5" t="str">
        <f aca="false">IF(OR(P22="",Q22=""),"",IF($F22="Maior Melhor",IF(Q22&gt;=P22,"Sim","Não"),IF(Q22&lt;=P22,"Sim","Não")))</f>
        <v>Não</v>
      </c>
      <c r="T22" s="3" t="n">
        <v>0.9</v>
      </c>
      <c r="U22" s="3" t="n">
        <v>0.7993</v>
      </c>
      <c r="V22" s="4" t="n">
        <f aca="false">IF(OR(T22="",U22=""),"",IFERROR(IF($K22="%",U22-T22,U22/T22-1),""))</f>
        <v>-0.1007</v>
      </c>
      <c r="W22" s="5" t="str">
        <f aca="false">IF(OR(T22="",U22=""),"",IF($F22="Maior Melhor",IF(U22&gt;=T22,"Sim","Não"),IF(U22&lt;=T22,"Sim","Não")))</f>
        <v>Não</v>
      </c>
      <c r="X22" s="3" t="n">
        <v>0.9</v>
      </c>
      <c r="Y22" s="3" t="n">
        <v>0.8326</v>
      </c>
      <c r="Z22" s="4" t="n">
        <f aca="false">IF(OR(X22="",Y22=""),"",IFERROR(IF($K22="%",Y22-X22,Y22/X22-1),""))</f>
        <v>-0.0674</v>
      </c>
      <c r="AA22" s="5" t="str">
        <f aca="false">IF(OR(X22="",Y22=""),"",IF($F22="Maior Melhor",IF(Y22&gt;=X22,"Sim","Não"),IF(Y22&lt;=X22,"Sim","Não")))</f>
        <v>Não</v>
      </c>
      <c r="AB22" s="3" t="n">
        <v>0.9</v>
      </c>
      <c r="AC22" s="3" t="n">
        <v>0.8326</v>
      </c>
      <c r="AD22" s="4" t="n">
        <f aca="false">IF(OR(AB22="",AC22=""),"",IFERROR(IF($K22="%",AC22-AB22,AC22/AB22-1),""))</f>
        <v>-0.0674</v>
      </c>
      <c r="AE22" s="5" t="str">
        <f aca="false">IF(OR(AB22="",AC22=""),"",IF($F22="Maior Melhor",IF(AC22&gt;=AB22,"Sim","Não"),IF(AC22&lt;=AB22,"Sim","Não")))</f>
        <v>Não</v>
      </c>
      <c r="AF22" s="3" t="n">
        <v>0.9</v>
      </c>
      <c r="AG22" s="3" t="n">
        <v>0.96</v>
      </c>
      <c r="AH22" s="4" t="n">
        <f aca="false">IF(OR(AF22="",AG22=""),"",IFERROR(IF($K22="%",AG22-AF22,AG22/AF22-1),""))</f>
        <v>0.0599999999999999</v>
      </c>
      <c r="AI22" s="5" t="str">
        <f aca="false">IF(OR(AF22="",AG22=""),"",IF($F22="Maior Melhor",IF(AG22&gt;=AF22,"Sim","Não"),IF(AG22&lt;=AF22,"Sim","Não")))</f>
        <v>Sim</v>
      </c>
      <c r="AJ22" s="3" t="n">
        <v>0.9</v>
      </c>
      <c r="AK22" s="3" t="n">
        <v>0.96</v>
      </c>
      <c r="AL22" s="4" t="n">
        <f aca="false">IF(OR(AJ22="",AK22=""),"",IFERROR(IF($K22="%",AK22-AJ22,AK22/AJ22-1),""))</f>
        <v>0.0599999999999999</v>
      </c>
      <c r="AM22" s="5" t="str">
        <f aca="false">IF(OR(AJ22="",AK22=""),"",IF($F22="Maior Melhor",IF(AK22&gt;=AJ22,"Sim","Não"),IF(AK22&lt;=AJ22,"Sim","Não")))</f>
        <v>Sim</v>
      </c>
      <c r="AN22" s="3" t="n">
        <v>0.9</v>
      </c>
      <c r="AO22" s="3" t="n">
        <v>0.955777017</v>
      </c>
      <c r="AP22" s="4" t="n">
        <f aca="false">IF(OR(AN22="",AO22=""),"",IFERROR(IF($K22="%",AO22-AN22,AO22/AN22-1),""))</f>
        <v>0.0557770169999999</v>
      </c>
      <c r="AQ22" s="5" t="str">
        <f aca="false">IF(OR(AN22="",AO22=""),"",IF($F22="Maior Melhor",IF(AO22&gt;=AN22,"Sim","Não"),IF(AO22&lt;=AN22,"Sim","Não")))</f>
        <v>Sim</v>
      </c>
      <c r="AR22" s="3" t="n">
        <v>0.9</v>
      </c>
      <c r="AS22" s="3" t="n">
        <v>0.955777017</v>
      </c>
      <c r="AT22" s="4" t="n">
        <f aca="false">IF(OR(AR22="",AS22=""),"",IFERROR(IF($K22="%",AS22-AR22,AS22/AR22-1),""))</f>
        <v>0.0557770169999999</v>
      </c>
      <c r="AU22" s="5" t="str">
        <f aca="false">IF(OR(AR22="",AS22=""),"",IF($F22="Maior Melhor",IF(AS22&gt;=AR22,"Sim","Não"),IF(AS22&lt;=AR22,"Sim","Não")))</f>
        <v>Sim</v>
      </c>
      <c r="AV22" s="3" t="n">
        <v>0.9</v>
      </c>
      <c r="AW22" s="3" t="n">
        <v>0.949947862</v>
      </c>
      <c r="AX22" s="4" t="n">
        <f aca="false">IF(OR(AV22="",AW22=""),"",IFERROR(IF($K22="%",AW22-AV22,AW22/AV22-1),""))</f>
        <v>0.049947862</v>
      </c>
      <c r="AY22" s="5" t="str">
        <f aca="false">IF(OR(AV22="",AW22=""),"",IF($F22="Maior Melhor",IF(AW22&gt;=AV22,"Sim","Não"),IF(AW22&lt;=AV22,"Sim","Não")))</f>
        <v>Sim</v>
      </c>
      <c r="AZ22" s="3" t="n">
        <v>0.9</v>
      </c>
      <c r="BA22" s="3" t="n">
        <v>0.949947862</v>
      </c>
      <c r="BB22" s="4" t="n">
        <f aca="false">IF(OR(AZ22="",BA22=""),"",IFERROR(IF($K22="%",BA22-AZ22,BA22/AZ22-1),""))</f>
        <v>0.049947862</v>
      </c>
      <c r="BC22" s="5" t="str">
        <f aca="false">IF(OR(AZ22="",BA22=""),"",IF($F22="Maior Melhor",IF(BA22&gt;=AZ22,"Sim","Não"),IF(BA22&lt;=AZ22,"Sim","Não")))</f>
        <v>Sim</v>
      </c>
      <c r="BD22" s="3" t="n">
        <v>0.9</v>
      </c>
      <c r="BE22" s="3" t="n">
        <v>0.984957186</v>
      </c>
      <c r="BF22" s="4" t="n">
        <f aca="false">IF(OR(BD22="",BE22=""),"",IFERROR(IF($K22="%",BE22-BD22,BE22/BD22-1),""))</f>
        <v>0.084957186</v>
      </c>
      <c r="BG22" s="5" t="str">
        <f aca="false">IF(OR(BD22="",BE22=""),"",IF($F22="Maior Melhor",IF(BE22&gt;=BD22,"Sim","Não"),IF(BE22&lt;=BD22,"Sim","Não")))</f>
        <v>Sim</v>
      </c>
      <c r="BH22" s="3" t="n">
        <v>0.9</v>
      </c>
      <c r="BI22" s="3" t="n">
        <v>0.984957186</v>
      </c>
      <c r="BJ22" s="4" t="n">
        <f aca="false">IF(OR(BH22="",BI22=""),"",IFERROR(IF($K22="%",BI22-BH22,BI22/BH22-1),""))</f>
        <v>0.084957186</v>
      </c>
      <c r="BK22" s="5" t="str">
        <f aca="false">IF(OR(BH22="",BI22=""),"",IF($F22="Maior Melhor",IF(BI22&gt;=BH22,"Sim","Não"),IF(BI22&lt;=BH22,"Sim","Não")))</f>
        <v>Sim</v>
      </c>
      <c r="BL22" s="6"/>
      <c r="BM22" s="6"/>
      <c r="BN22" s="4" t="str">
        <f aca="false">IF(OR(BL22="",BM22=""),"",IFERROR(IF($K22="%",BM22-BL22,BM22/BL22-1),""))</f>
        <v/>
      </c>
      <c r="BO22" s="5" t="str">
        <f aca="false">IF(OR(BL22="",BM22=""),"",IF($F22="Maior Melhor",IF(BM22&gt;=BL22,"Sim","Não"),IF(BM22&lt;=BL22,"Sim","Não")))</f>
        <v/>
      </c>
      <c r="BP22" s="6"/>
      <c r="BQ22" s="6"/>
      <c r="BR22" s="4" t="str">
        <f aca="false">IF(OR(BP22="",BQ22=""),"",IFERROR(IF($K22="%",BQ22-BP22,BQ22/BP22-1),""))</f>
        <v/>
      </c>
      <c r="BS22" s="5" t="str">
        <f aca="false">IF(OR(BP22="",BQ22=""),"",IF($F22="Maior Melhor",IF(BQ22&gt;=BP22,"Sim","Não"),IF(BQ22&lt;=BP22,"Sim","Não")))</f>
        <v/>
      </c>
      <c r="BT22" s="6"/>
      <c r="BU22" s="6"/>
      <c r="BV22" s="4" t="str">
        <f aca="false">IF(OR(BT22="",BU22=""),"",IFERROR(IF($K22="%",BU22-BT22,BU22/BT22-1),""))</f>
        <v/>
      </c>
      <c r="BW22" s="5" t="str">
        <f aca="false">IF(OR(BT22="",BU22=""),"",IF($F22="Maior Melhor",IF(BU22&gt;=BT22,"Sim","Não"),IF(BU22&lt;=BT22,"Sim","Não")))</f>
        <v/>
      </c>
      <c r="BX22" s="6"/>
      <c r="BY22" s="6"/>
      <c r="BZ22" s="4" t="str">
        <f aca="false">IF(OR(BX22="",BY22=""),"",IFERROR(IF($K22="%",BY22-BX22,BY22/BX22-1),""))</f>
        <v/>
      </c>
      <c r="CA22" s="5" t="str">
        <f aca="false">IF(OR(BX22="",BY22=""),"",IF($F22="Maior Melhor",IF(BY22&gt;=BX22,"Sim","Não"),IF(BY22&lt;=BX22,"Sim","Não")))</f>
        <v/>
      </c>
      <c r="CB22" s="6"/>
      <c r="CC22" s="6"/>
      <c r="CD22" s="4" t="str">
        <f aca="false">IF(OR(CB22="",CC22=""),"",IFERROR(IF($K22="%",CC22-CB22,CC22/CB22-1),""))</f>
        <v/>
      </c>
      <c r="CE22" s="5" t="str">
        <f aca="false">IF(OR(CB22="",CC22=""),"",IF($F22="Maior Melhor",IF(CC22&gt;=CB22,"Sim","Não"),IF(CC22&lt;=CB22,"Sim","Não")))</f>
        <v/>
      </c>
      <c r="CF22" s="6"/>
      <c r="CG22" s="6"/>
      <c r="CH22" s="4" t="str">
        <f aca="false">IF(OR(CF22="",CG22=""),"",IFERROR(IF($K22="%",CG22-CF22,CG22/CF22-1),""))</f>
        <v/>
      </c>
      <c r="CI22" s="5" t="str">
        <f aca="false">IF(OR(CF22="",CG22=""),"",IF($F22="Maior Melhor",IF(CG22&gt;=CF22,"Sim","Não"),IF(CG22&lt;=CF22,"Sim","Não")))</f>
        <v/>
      </c>
      <c r="CJ22" s="6"/>
      <c r="CK22" s="6"/>
      <c r="CL22" s="4" t="str">
        <f aca="false">IF(OR(CJ22="",CK22=""),"",IFERROR(IF($K22="%",CK22-CJ22,CK22/CJ22-1),""))</f>
        <v/>
      </c>
      <c r="CM22" s="5" t="str">
        <f aca="false">IF(OR(CJ22="",CK22=""),"",IF($F22="Maior Melhor",IF(CK22&gt;=CJ22,"Sim","Não"),IF(CK22&lt;=CJ22,"Sim","Não")))</f>
        <v/>
      </c>
      <c r="CN22" s="6"/>
      <c r="CO22" s="6"/>
      <c r="CP22" s="4" t="str">
        <f aca="false">IF(OR(CN22="",CO22=""),"",IFERROR(IF($K22="%",CO22-CN22,CO22/CN22-1),""))</f>
        <v/>
      </c>
      <c r="CQ22" s="5" t="str">
        <f aca="false">IF(OR(CN22="",CO22=""),"",IF($F22="Maior Melhor",IF(CO22&gt;=CN22,"Sim","Não"),IF(CO22&lt;=CN22,"Sim","Não")))</f>
        <v/>
      </c>
      <c r="CR22" s="2" t="s">
        <v>105</v>
      </c>
    </row>
    <row r="23" customFormat="false" ht="15" hidden="false" customHeight="false" outlineLevel="0" collapsed="false">
      <c r="A23" s="2" t="s">
        <v>96</v>
      </c>
      <c r="B23" s="2" t="s">
        <v>110</v>
      </c>
      <c r="C23" s="2" t="s">
        <v>110</v>
      </c>
      <c r="D23" s="2" t="s">
        <v>132</v>
      </c>
      <c r="E23" s="2" t="str">
        <f aca="false">C23&amp;D23</f>
        <v>Sup OesteAderência do medidor e ramal</v>
      </c>
      <c r="F23" s="2" t="s">
        <v>100</v>
      </c>
      <c r="G23" s="2" t="s">
        <v>133</v>
      </c>
      <c r="H23" s="2" t="s">
        <v>102</v>
      </c>
      <c r="I23" s="2" t="s">
        <v>103</v>
      </c>
      <c r="J23" s="2" t="n">
        <v>1</v>
      </c>
      <c r="K23" s="2" t="s">
        <v>104</v>
      </c>
      <c r="L23" s="3" t="n">
        <v>0.9</v>
      </c>
      <c r="M23" s="3" t="n">
        <v>0.9132</v>
      </c>
      <c r="N23" s="4" t="n">
        <f aca="false">IF(OR(L23="",M23=""),"",IFERROR(IF($K23="%",M23-L23,M23/L23-1),""))</f>
        <v>0.0132</v>
      </c>
      <c r="O23" s="5" t="str">
        <f aca="false">IF(OR(L23="",M23=""),"",IF($F23="Maior Melhor",IF(M23&gt;=L23,"Sim","Não"),IF(M23&lt;=L23,"Sim","Não")))</f>
        <v>Sim</v>
      </c>
      <c r="P23" s="3" t="n">
        <v>0.9</v>
      </c>
      <c r="Q23" s="3" t="n">
        <v>0.4752</v>
      </c>
      <c r="R23" s="4" t="n">
        <f aca="false">IF(OR(P23="",Q23=""),"",IFERROR(IF($K23="%",Q23-P23,Q23/P23-1),""))</f>
        <v>-0.4248</v>
      </c>
      <c r="S23" s="5" t="str">
        <f aca="false">IF(OR(P23="",Q23=""),"",IF($F23="Maior Melhor",IF(Q23&gt;=P23,"Sim","Não"),IF(Q23&lt;=P23,"Sim","Não")))</f>
        <v>Não</v>
      </c>
      <c r="T23" s="3" t="n">
        <v>0.9</v>
      </c>
      <c r="U23" s="3" t="n">
        <v>0.9104</v>
      </c>
      <c r="V23" s="4" t="n">
        <f aca="false">IF(OR(T23="",U23=""),"",IFERROR(IF($K23="%",U23-T23,U23/T23-1),""))</f>
        <v>0.0104</v>
      </c>
      <c r="W23" s="5" t="str">
        <f aca="false">IF(OR(T23="",U23=""),"",IF($F23="Maior Melhor",IF(U23&gt;=T23,"Sim","Não"),IF(U23&lt;=T23,"Sim","Não")))</f>
        <v>Sim</v>
      </c>
      <c r="X23" s="3" t="n">
        <v>0.9</v>
      </c>
      <c r="Y23" s="3" t="n">
        <v>0.9986</v>
      </c>
      <c r="Z23" s="4" t="n">
        <f aca="false">IF(OR(X23="",Y23=""),"",IFERROR(IF($K23="%",Y23-X23,Y23/X23-1),""))</f>
        <v>0.0986</v>
      </c>
      <c r="AA23" s="5" t="str">
        <f aca="false">IF(OR(X23="",Y23=""),"",IF($F23="Maior Melhor",IF(Y23&gt;=X23,"Sim","Não"),IF(Y23&lt;=X23,"Sim","Não")))</f>
        <v>Sim</v>
      </c>
      <c r="AB23" s="3" t="n">
        <v>0.9</v>
      </c>
      <c r="AC23" s="3" t="n">
        <v>0.9986</v>
      </c>
      <c r="AD23" s="4" t="n">
        <f aca="false">IF(OR(AB23="",AC23=""),"",IFERROR(IF($K23="%",AC23-AB23,AC23/AB23-1),""))</f>
        <v>0.0986</v>
      </c>
      <c r="AE23" s="5" t="str">
        <f aca="false">IF(OR(AB23="",AC23=""),"",IF($F23="Maior Melhor",IF(AC23&gt;=AB23,"Sim","Não"),IF(AC23&lt;=AB23,"Sim","Não")))</f>
        <v>Sim</v>
      </c>
      <c r="AF23" s="3" t="n">
        <v>0.9</v>
      </c>
      <c r="AG23" s="3" t="n">
        <v>0.97</v>
      </c>
      <c r="AH23" s="4" t="n">
        <f aca="false">IF(OR(AF23="",AG23=""),"",IFERROR(IF($K23="%",AG23-AF23,AG23/AF23-1),""))</f>
        <v>0.07</v>
      </c>
      <c r="AI23" s="5" t="str">
        <f aca="false">IF(OR(AF23="",AG23=""),"",IF($F23="Maior Melhor",IF(AG23&gt;=AF23,"Sim","Não"),IF(AG23&lt;=AF23,"Sim","Não")))</f>
        <v>Sim</v>
      </c>
      <c r="AJ23" s="3" t="n">
        <v>0.9</v>
      </c>
      <c r="AK23" s="3" t="n">
        <v>0.97</v>
      </c>
      <c r="AL23" s="4" t="n">
        <f aca="false">IF(OR(AJ23="",AK23=""),"",IFERROR(IF($K23="%",AK23-AJ23,AK23/AJ23-1),""))</f>
        <v>0.07</v>
      </c>
      <c r="AM23" s="5" t="str">
        <f aca="false">IF(OR(AJ23="",AK23=""),"",IF($F23="Maior Melhor",IF(AK23&gt;=AJ23,"Sim","Não"),IF(AK23&lt;=AJ23,"Sim","Não")))</f>
        <v>Sim</v>
      </c>
      <c r="AN23" s="3" t="n">
        <v>0.9</v>
      </c>
      <c r="AO23" s="3" t="n">
        <v>0.938576286</v>
      </c>
      <c r="AP23" s="4" t="n">
        <f aca="false">IF(OR(AN23="",AO23=""),"",IFERROR(IF($K23="%",AO23-AN23,AO23/AN23-1),""))</f>
        <v>0.038576286</v>
      </c>
      <c r="AQ23" s="5" t="str">
        <f aca="false">IF(OR(AN23="",AO23=""),"",IF($F23="Maior Melhor",IF(AO23&gt;=AN23,"Sim","Não"),IF(AO23&lt;=AN23,"Sim","Não")))</f>
        <v>Sim</v>
      </c>
      <c r="AR23" s="3" t="n">
        <v>0.9</v>
      </c>
      <c r="AS23" s="3" t="n">
        <v>0.938576286</v>
      </c>
      <c r="AT23" s="4" t="n">
        <f aca="false">IF(OR(AR23="",AS23=""),"",IFERROR(IF($K23="%",AS23-AR23,AS23/AR23-1),""))</f>
        <v>0.038576286</v>
      </c>
      <c r="AU23" s="5" t="str">
        <f aca="false">IF(OR(AR23="",AS23=""),"",IF($F23="Maior Melhor",IF(AS23&gt;=AR23,"Sim","Não"),IF(AS23&lt;=AR23,"Sim","Não")))</f>
        <v>Sim</v>
      </c>
      <c r="AV23" s="3" t="n">
        <v>0.9</v>
      </c>
      <c r="AW23" s="3" t="n">
        <v>0.967597208</v>
      </c>
      <c r="AX23" s="4" t="n">
        <f aca="false">IF(OR(AV23="",AW23=""),"",IFERROR(IF($K23="%",AW23-AV23,AW23/AV23-1),""))</f>
        <v>0.067597208</v>
      </c>
      <c r="AY23" s="5" t="str">
        <f aca="false">IF(OR(AV23="",AW23=""),"",IF($F23="Maior Melhor",IF(AW23&gt;=AV23,"Sim","Não"),IF(AW23&lt;=AV23,"Sim","Não")))</f>
        <v>Sim</v>
      </c>
      <c r="AZ23" s="3" t="n">
        <v>0.9</v>
      </c>
      <c r="BA23" s="3" t="n">
        <v>0.967597208</v>
      </c>
      <c r="BB23" s="4" t="n">
        <f aca="false">IF(OR(AZ23="",BA23=""),"",IFERROR(IF($K23="%",BA23-AZ23,BA23/AZ23-1),""))</f>
        <v>0.067597208</v>
      </c>
      <c r="BC23" s="5" t="str">
        <f aca="false">IF(OR(AZ23="",BA23=""),"",IF($F23="Maior Melhor",IF(BA23&gt;=AZ23,"Sim","Não"),IF(BA23&lt;=AZ23,"Sim","Não")))</f>
        <v>Sim</v>
      </c>
      <c r="BD23" s="3" t="n">
        <v>0.9</v>
      </c>
      <c r="BE23" s="3" t="n">
        <v>0.989683192</v>
      </c>
      <c r="BF23" s="4" t="n">
        <f aca="false">IF(OR(BD23="",BE23=""),"",IFERROR(IF($K23="%",BE23-BD23,BE23/BD23-1),""))</f>
        <v>0.089683192</v>
      </c>
      <c r="BG23" s="5" t="str">
        <f aca="false">IF(OR(BD23="",BE23=""),"",IF($F23="Maior Melhor",IF(BE23&gt;=BD23,"Sim","Não"),IF(BE23&lt;=BD23,"Sim","Não")))</f>
        <v>Sim</v>
      </c>
      <c r="BH23" s="3" t="n">
        <v>0.9</v>
      </c>
      <c r="BI23" s="3" t="n">
        <v>0.989683192</v>
      </c>
      <c r="BJ23" s="4" t="n">
        <f aca="false">IF(OR(BH23="",BI23=""),"",IFERROR(IF($K23="%",BI23-BH23,BI23/BH23-1),""))</f>
        <v>0.089683192</v>
      </c>
      <c r="BK23" s="5" t="str">
        <f aca="false">IF(OR(BH23="",BI23=""),"",IF($F23="Maior Melhor",IF(BI23&gt;=BH23,"Sim","Não"),IF(BI23&lt;=BH23,"Sim","Não")))</f>
        <v>Sim</v>
      </c>
      <c r="BL23" s="6"/>
      <c r="BM23" s="6"/>
      <c r="BN23" s="4" t="str">
        <f aca="false">IF(OR(BL23="",BM23=""),"",IFERROR(IF($K23="%",BM23-BL23,BM23/BL23-1),""))</f>
        <v/>
      </c>
      <c r="BO23" s="5" t="str">
        <f aca="false">IF(OR(BL23="",BM23=""),"",IF($F23="Maior Melhor",IF(BM23&gt;=BL23,"Sim","Não"),IF(BM23&lt;=BL23,"Sim","Não")))</f>
        <v/>
      </c>
      <c r="BP23" s="6"/>
      <c r="BQ23" s="6"/>
      <c r="BR23" s="4" t="str">
        <f aca="false">IF(OR(BP23="",BQ23=""),"",IFERROR(IF($K23="%",BQ23-BP23,BQ23/BP23-1),""))</f>
        <v/>
      </c>
      <c r="BS23" s="5" t="str">
        <f aca="false">IF(OR(BP23="",BQ23=""),"",IF($F23="Maior Melhor",IF(BQ23&gt;=BP23,"Sim","Não"),IF(BQ23&lt;=BP23,"Sim","Não")))</f>
        <v/>
      </c>
      <c r="BT23" s="6"/>
      <c r="BU23" s="6"/>
      <c r="BV23" s="4" t="str">
        <f aca="false">IF(OR(BT23="",BU23=""),"",IFERROR(IF($K23="%",BU23-BT23,BU23/BT23-1),""))</f>
        <v/>
      </c>
      <c r="BW23" s="5" t="str">
        <f aca="false">IF(OR(BT23="",BU23=""),"",IF($F23="Maior Melhor",IF(BU23&gt;=BT23,"Sim","Não"),IF(BU23&lt;=BT23,"Sim","Não")))</f>
        <v/>
      </c>
      <c r="BX23" s="6"/>
      <c r="BY23" s="6"/>
      <c r="BZ23" s="4" t="str">
        <f aca="false">IF(OR(BX23="",BY23=""),"",IFERROR(IF($K23="%",BY23-BX23,BY23/BX23-1),""))</f>
        <v/>
      </c>
      <c r="CA23" s="5" t="str">
        <f aca="false">IF(OR(BX23="",BY23=""),"",IF($F23="Maior Melhor",IF(BY23&gt;=BX23,"Sim","Não"),IF(BY23&lt;=BX23,"Sim","Não")))</f>
        <v/>
      </c>
      <c r="CB23" s="6"/>
      <c r="CC23" s="6"/>
      <c r="CD23" s="4" t="str">
        <f aca="false">IF(OR(CB23="",CC23=""),"",IFERROR(IF($K23="%",CC23-CB23,CC23/CB23-1),""))</f>
        <v/>
      </c>
      <c r="CE23" s="5" t="str">
        <f aca="false">IF(OR(CB23="",CC23=""),"",IF($F23="Maior Melhor",IF(CC23&gt;=CB23,"Sim","Não"),IF(CC23&lt;=CB23,"Sim","Não")))</f>
        <v/>
      </c>
      <c r="CF23" s="6"/>
      <c r="CG23" s="6"/>
      <c r="CH23" s="4" t="str">
        <f aca="false">IF(OR(CF23="",CG23=""),"",IFERROR(IF($K23="%",CG23-CF23,CG23/CF23-1),""))</f>
        <v/>
      </c>
      <c r="CI23" s="5" t="str">
        <f aca="false">IF(OR(CF23="",CG23=""),"",IF($F23="Maior Melhor",IF(CG23&gt;=CF23,"Sim","Não"),IF(CG23&lt;=CF23,"Sim","Não")))</f>
        <v/>
      </c>
      <c r="CJ23" s="6"/>
      <c r="CK23" s="6"/>
      <c r="CL23" s="4" t="str">
        <f aca="false">IF(OR(CJ23="",CK23=""),"",IFERROR(IF($K23="%",CK23-CJ23,CK23/CJ23-1),""))</f>
        <v/>
      </c>
      <c r="CM23" s="5" t="str">
        <f aca="false">IF(OR(CJ23="",CK23=""),"",IF($F23="Maior Melhor",IF(CK23&gt;=CJ23,"Sim","Não"),IF(CK23&lt;=CJ23,"Sim","Não")))</f>
        <v/>
      </c>
      <c r="CN23" s="6"/>
      <c r="CO23" s="6"/>
      <c r="CP23" s="4" t="str">
        <f aca="false">IF(OR(CN23="",CO23=""),"",IFERROR(IF($K23="%",CO23-CN23,CO23/CN23-1),""))</f>
        <v/>
      </c>
      <c r="CQ23" s="5" t="str">
        <f aca="false">IF(OR(CN23="",CO23=""),"",IF($F23="Maior Melhor",IF(CO23&gt;=CN23,"Sim","Não"),IF(CO23&lt;=CN23,"Sim","Não")))</f>
        <v/>
      </c>
      <c r="CR23" s="2" t="s">
        <v>105</v>
      </c>
    </row>
    <row r="24" customFormat="false" ht="15" hidden="false" customHeight="false" outlineLevel="0" collapsed="false">
      <c r="A24" s="2" t="s">
        <v>96</v>
      </c>
      <c r="B24" s="2" t="s">
        <v>106</v>
      </c>
      <c r="C24" s="2" t="s">
        <v>111</v>
      </c>
      <c r="D24" s="2" t="s">
        <v>132</v>
      </c>
      <c r="E24" s="2" t="str">
        <f aca="false">C24&amp;D24</f>
        <v>UTD BARREIRASAderência do medidor e ramal</v>
      </c>
      <c r="F24" s="2" t="s">
        <v>100</v>
      </c>
      <c r="G24" s="2" t="s">
        <v>133</v>
      </c>
      <c r="H24" s="2" t="s">
        <v>102</v>
      </c>
      <c r="I24" s="2" t="s">
        <v>103</v>
      </c>
      <c r="J24" s="2" t="n">
        <v>1</v>
      </c>
      <c r="K24" s="2" t="s">
        <v>104</v>
      </c>
      <c r="L24" s="3" t="n">
        <v>0.9</v>
      </c>
      <c r="M24" s="3" t="n">
        <v>0.9469</v>
      </c>
      <c r="N24" s="4" t="n">
        <f aca="false">IF(OR(L24="",M24=""),"",IFERROR(IF($K24="%",M24-L24,M24/L24-1),""))</f>
        <v>0.0468999999999999</v>
      </c>
      <c r="O24" s="5" t="str">
        <f aca="false">IF(OR(L24="",M24=""),"",IF($F24="Maior Melhor",IF(M24&gt;=L24,"Sim","Não"),IF(M24&lt;=L24,"Sim","Não")))</f>
        <v>Sim</v>
      </c>
      <c r="P24" s="3" t="n">
        <v>0.9</v>
      </c>
      <c r="Q24" s="3" t="n">
        <v>0.7</v>
      </c>
      <c r="R24" s="4" t="n">
        <f aca="false">IF(OR(P24="",Q24=""),"",IFERROR(IF($K24="%",Q24-P24,Q24/P24-1),""))</f>
        <v>-0.2</v>
      </c>
      <c r="S24" s="5" t="str">
        <f aca="false">IF(OR(P24="",Q24=""),"",IF($F24="Maior Melhor",IF(Q24&gt;=P24,"Sim","Não"),IF(Q24&lt;=P24,"Sim","Não")))</f>
        <v>Não</v>
      </c>
      <c r="T24" s="3" t="n">
        <v>0.9</v>
      </c>
      <c r="U24" s="3" t="n">
        <v>0.9517</v>
      </c>
      <c r="V24" s="4" t="n">
        <f aca="false">IF(OR(T24="",U24=""),"",IFERROR(IF($K24="%",U24-T24,U24/T24-1),""))</f>
        <v>0.0517</v>
      </c>
      <c r="W24" s="5" t="str">
        <f aca="false">IF(OR(T24="",U24=""),"",IF($F24="Maior Melhor",IF(U24&gt;=T24,"Sim","Não"),IF(U24&lt;=T24,"Sim","Não")))</f>
        <v>Sim</v>
      </c>
      <c r="X24" s="3" t="n">
        <v>0.9</v>
      </c>
      <c r="Y24" s="3" t="n">
        <v>0.9791</v>
      </c>
      <c r="Z24" s="4" t="n">
        <f aca="false">IF(OR(X24="",Y24=""),"",IFERROR(IF($K24="%",Y24-X24,Y24/X24-1),""))</f>
        <v>0.0791</v>
      </c>
      <c r="AA24" s="5" t="str">
        <f aca="false">IF(OR(X24="",Y24=""),"",IF($F24="Maior Melhor",IF(Y24&gt;=X24,"Sim","Não"),IF(Y24&lt;=X24,"Sim","Não")))</f>
        <v>Sim</v>
      </c>
      <c r="AB24" s="3" t="n">
        <v>0.9</v>
      </c>
      <c r="AC24" s="3" t="n">
        <v>0.9791</v>
      </c>
      <c r="AD24" s="4" t="n">
        <f aca="false">IF(OR(AB24="",AC24=""),"",IFERROR(IF($K24="%",AC24-AB24,AC24/AB24-1),""))</f>
        <v>0.0791</v>
      </c>
      <c r="AE24" s="5" t="str">
        <f aca="false">IF(OR(AB24="",AC24=""),"",IF($F24="Maior Melhor",IF(AC24&gt;=AB24,"Sim","Não"),IF(AC24&lt;=AB24,"Sim","Não")))</f>
        <v>Sim</v>
      </c>
      <c r="AF24" s="3" t="n">
        <v>0.9</v>
      </c>
      <c r="AG24" s="3" t="n">
        <v>0.92</v>
      </c>
      <c r="AH24" s="4" t="n">
        <f aca="false">IF(OR(AF24="",AG24=""),"",IFERROR(IF($K24="%",AG24-AF24,AG24/AF24-1),""))</f>
        <v>0.02</v>
      </c>
      <c r="AI24" s="5" t="str">
        <f aca="false">IF(OR(AF24="",AG24=""),"",IF($F24="Maior Melhor",IF(AG24&gt;=AF24,"Sim","Não"),IF(AG24&lt;=AF24,"Sim","Não")))</f>
        <v>Sim</v>
      </c>
      <c r="AJ24" s="3" t="n">
        <v>0.9</v>
      </c>
      <c r="AK24" s="3" t="n">
        <v>0.92</v>
      </c>
      <c r="AL24" s="4" t="n">
        <f aca="false">IF(OR(AJ24="",AK24=""),"",IFERROR(IF($K24="%",AK24-AJ24,AK24/AJ24-1),""))</f>
        <v>0.02</v>
      </c>
      <c r="AM24" s="5" t="str">
        <f aca="false">IF(OR(AJ24="",AK24=""),"",IF($F24="Maior Melhor",IF(AK24&gt;=AJ24,"Sim","Não"),IF(AK24&lt;=AJ24,"Sim","Não")))</f>
        <v>Sim</v>
      </c>
      <c r="AN24" s="3" t="n">
        <v>0.9</v>
      </c>
      <c r="AO24" s="3" t="n">
        <v>0.90747331</v>
      </c>
      <c r="AP24" s="4" t="n">
        <f aca="false">IF(OR(AN24="",AO24=""),"",IFERROR(IF($K24="%",AO24-AN24,AO24/AN24-1),""))</f>
        <v>0.00747330999999996</v>
      </c>
      <c r="AQ24" s="5" t="str">
        <f aca="false">IF(OR(AN24="",AO24=""),"",IF($F24="Maior Melhor",IF(AO24&gt;=AN24,"Sim","Não"),IF(AO24&lt;=AN24,"Sim","Não")))</f>
        <v>Sim</v>
      </c>
      <c r="AR24" s="3" t="n">
        <v>0.9</v>
      </c>
      <c r="AS24" s="3" t="n">
        <v>0.90747331</v>
      </c>
      <c r="AT24" s="4" t="n">
        <f aca="false">IF(OR(AR24="",AS24=""),"",IFERROR(IF($K24="%",AS24-AR24,AS24/AR24-1),""))</f>
        <v>0.00747330999999996</v>
      </c>
      <c r="AU24" s="5" t="str">
        <f aca="false">IF(OR(AR24="",AS24=""),"",IF($F24="Maior Melhor",IF(AS24&gt;=AR24,"Sim","Não"),IF(AS24&lt;=AR24,"Sim","Não")))</f>
        <v>Sim</v>
      </c>
      <c r="AV24" s="3" t="n">
        <v>0.9</v>
      </c>
      <c r="AW24" s="3" t="n">
        <v>0.957851801</v>
      </c>
      <c r="AX24" s="4" t="n">
        <f aca="false">IF(OR(AV24="",AW24=""),"",IFERROR(IF($K24="%",AW24-AV24,AW24/AV24-1),""))</f>
        <v>0.057851801</v>
      </c>
      <c r="AY24" s="5" t="str">
        <f aca="false">IF(OR(AV24="",AW24=""),"",IF($F24="Maior Melhor",IF(AW24&gt;=AV24,"Sim","Não"),IF(AW24&lt;=AV24,"Sim","Não")))</f>
        <v>Sim</v>
      </c>
      <c r="AZ24" s="3" t="n">
        <v>0.9</v>
      </c>
      <c r="BA24" s="3" t="n">
        <v>0.957851801</v>
      </c>
      <c r="BB24" s="4" t="n">
        <f aca="false">IF(OR(AZ24="",BA24=""),"",IFERROR(IF($K24="%",BA24-AZ24,BA24/AZ24-1),""))</f>
        <v>0.057851801</v>
      </c>
      <c r="BC24" s="5" t="str">
        <f aca="false">IF(OR(AZ24="",BA24=""),"",IF($F24="Maior Melhor",IF(BA24&gt;=AZ24,"Sim","Não"),IF(BA24&lt;=AZ24,"Sim","Não")))</f>
        <v>Sim</v>
      </c>
      <c r="BD24" s="3" t="n">
        <v>0.9</v>
      </c>
      <c r="BE24" s="3" t="n">
        <v>0.9892</v>
      </c>
      <c r="BF24" s="4" t="n">
        <f aca="false">IF(OR(BD24="",BE24=""),"",IFERROR(IF($K24="%",BE24-BD24,BE24/BD24-1),""))</f>
        <v>0.0892</v>
      </c>
      <c r="BG24" s="5" t="str">
        <f aca="false">IF(OR(BD24="",BE24=""),"",IF($F24="Maior Melhor",IF(BE24&gt;=BD24,"Sim","Não"),IF(BE24&lt;=BD24,"Sim","Não")))</f>
        <v>Sim</v>
      </c>
      <c r="BH24" s="3" t="n">
        <v>0.9</v>
      </c>
      <c r="BI24" s="3" t="n">
        <v>0.9892</v>
      </c>
      <c r="BJ24" s="4" t="n">
        <f aca="false">IF(OR(BH24="",BI24=""),"",IFERROR(IF($K24="%",BI24-BH24,BI24/BH24-1),""))</f>
        <v>0.0892</v>
      </c>
      <c r="BK24" s="5" t="str">
        <f aca="false">IF(OR(BH24="",BI24=""),"",IF($F24="Maior Melhor",IF(BI24&gt;=BH24,"Sim","Não"),IF(BI24&lt;=BH24,"Sim","Não")))</f>
        <v>Sim</v>
      </c>
      <c r="BL24" s="6"/>
      <c r="BM24" s="6"/>
      <c r="BN24" s="4" t="str">
        <f aca="false">IF(OR(BL24="",BM24=""),"",IFERROR(IF($K24="%",BM24-BL24,BM24/BL24-1),""))</f>
        <v/>
      </c>
      <c r="BO24" s="5" t="str">
        <f aca="false">IF(OR(BL24="",BM24=""),"",IF($F24="Maior Melhor",IF(BM24&gt;=BL24,"Sim","Não"),IF(BM24&lt;=BL24,"Sim","Não")))</f>
        <v/>
      </c>
      <c r="BP24" s="6"/>
      <c r="BQ24" s="6"/>
      <c r="BR24" s="4" t="str">
        <f aca="false">IF(OR(BP24="",BQ24=""),"",IFERROR(IF($K24="%",BQ24-BP24,BQ24/BP24-1),""))</f>
        <v/>
      </c>
      <c r="BS24" s="5" t="str">
        <f aca="false">IF(OR(BP24="",BQ24=""),"",IF($F24="Maior Melhor",IF(BQ24&gt;=BP24,"Sim","Não"),IF(BQ24&lt;=BP24,"Sim","Não")))</f>
        <v/>
      </c>
      <c r="BT24" s="6"/>
      <c r="BU24" s="6"/>
      <c r="BV24" s="4" t="str">
        <f aca="false">IF(OR(BT24="",BU24=""),"",IFERROR(IF($K24="%",BU24-BT24,BU24/BT24-1),""))</f>
        <v/>
      </c>
      <c r="BW24" s="5" t="str">
        <f aca="false">IF(OR(BT24="",BU24=""),"",IF($F24="Maior Melhor",IF(BU24&gt;=BT24,"Sim","Não"),IF(BU24&lt;=BT24,"Sim","Não")))</f>
        <v/>
      </c>
      <c r="BX24" s="6"/>
      <c r="BY24" s="6"/>
      <c r="BZ24" s="4" t="str">
        <f aca="false">IF(OR(BX24="",BY24=""),"",IFERROR(IF($K24="%",BY24-BX24,BY24/BX24-1),""))</f>
        <v/>
      </c>
      <c r="CA24" s="5" t="str">
        <f aca="false">IF(OR(BX24="",BY24=""),"",IF($F24="Maior Melhor",IF(BY24&gt;=BX24,"Sim","Não"),IF(BY24&lt;=BX24,"Sim","Não")))</f>
        <v/>
      </c>
      <c r="CB24" s="6"/>
      <c r="CC24" s="6"/>
      <c r="CD24" s="4" t="str">
        <f aca="false">IF(OR(CB24="",CC24=""),"",IFERROR(IF($K24="%",CC24-CB24,CC24/CB24-1),""))</f>
        <v/>
      </c>
      <c r="CE24" s="5" t="str">
        <f aca="false">IF(OR(CB24="",CC24=""),"",IF($F24="Maior Melhor",IF(CC24&gt;=CB24,"Sim","Não"),IF(CC24&lt;=CB24,"Sim","Não")))</f>
        <v/>
      </c>
      <c r="CF24" s="6"/>
      <c r="CG24" s="6"/>
      <c r="CH24" s="4" t="str">
        <f aca="false">IF(OR(CF24="",CG24=""),"",IFERROR(IF($K24="%",CG24-CF24,CG24/CF24-1),""))</f>
        <v/>
      </c>
      <c r="CI24" s="5" t="str">
        <f aca="false">IF(OR(CF24="",CG24=""),"",IF($F24="Maior Melhor",IF(CG24&gt;=CF24,"Sim","Não"),IF(CG24&lt;=CF24,"Sim","Não")))</f>
        <v/>
      </c>
      <c r="CJ24" s="6"/>
      <c r="CK24" s="6"/>
      <c r="CL24" s="4" t="str">
        <f aca="false">IF(OR(CJ24="",CK24=""),"",IFERROR(IF($K24="%",CK24-CJ24,CK24/CJ24-1),""))</f>
        <v/>
      </c>
      <c r="CM24" s="5" t="str">
        <f aca="false">IF(OR(CJ24="",CK24=""),"",IF($F24="Maior Melhor",IF(CK24&gt;=CJ24,"Sim","Não"),IF(CK24&lt;=CJ24,"Sim","Não")))</f>
        <v/>
      </c>
      <c r="CN24" s="6"/>
      <c r="CO24" s="6"/>
      <c r="CP24" s="4" t="str">
        <f aca="false">IF(OR(CN24="",CO24=""),"",IFERROR(IF($K24="%",CO24-CN24,CO24/CN24-1),""))</f>
        <v/>
      </c>
      <c r="CQ24" s="5" t="str">
        <f aca="false">IF(OR(CN24="",CO24=""),"",IF($F24="Maior Melhor",IF(CO24&gt;=CN24,"Sim","Não"),IF(CO24&lt;=CN24,"Sim","Não")))</f>
        <v/>
      </c>
      <c r="CR24" s="2" t="s">
        <v>112</v>
      </c>
    </row>
    <row r="25" customFormat="false" ht="15" hidden="false" customHeight="false" outlineLevel="0" collapsed="false">
      <c r="A25" s="2" t="s">
        <v>96</v>
      </c>
      <c r="B25" s="2" t="s">
        <v>106</v>
      </c>
      <c r="C25" s="2" t="s">
        <v>113</v>
      </c>
      <c r="D25" s="2" t="s">
        <v>132</v>
      </c>
      <c r="E25" s="2" t="str">
        <f aca="false">C25&amp;D25</f>
        <v>UTD BOM JESUS DA LAPAAderência do medidor e ramal</v>
      </c>
      <c r="F25" s="2" t="s">
        <v>100</v>
      </c>
      <c r="G25" s="2" t="s">
        <v>133</v>
      </c>
      <c r="H25" s="2" t="s">
        <v>102</v>
      </c>
      <c r="I25" s="2" t="s">
        <v>103</v>
      </c>
      <c r="J25" s="2" t="n">
        <v>1</v>
      </c>
      <c r="K25" s="2" t="s">
        <v>104</v>
      </c>
      <c r="L25" s="3" t="n">
        <v>0.9</v>
      </c>
      <c r="M25" s="3" t="n">
        <v>1</v>
      </c>
      <c r="N25" s="4" t="n">
        <f aca="false">IF(OR(L25="",M25=""),"",IFERROR(IF($K25="%",M25-L25,M25/L25-1),""))</f>
        <v>0.1</v>
      </c>
      <c r="O25" s="5" t="str">
        <f aca="false">IF(OR(L25="",M25=""),"",IF($F25="Maior Melhor",IF(M25&gt;=L25,"Sim","Não"),IF(M25&lt;=L25,"Sim","Não")))</f>
        <v>Sim</v>
      </c>
      <c r="P25" s="3" t="n">
        <v>0.9</v>
      </c>
      <c r="Q25" s="3" t="n">
        <v>0.6327</v>
      </c>
      <c r="R25" s="4" t="n">
        <f aca="false">IF(OR(P25="",Q25=""),"",IFERROR(IF($K25="%",Q25-P25,Q25/P25-1),""))</f>
        <v>-0.2673</v>
      </c>
      <c r="S25" s="5" t="str">
        <f aca="false">IF(OR(P25="",Q25=""),"",IF($F25="Maior Melhor",IF(Q25&gt;=P25,"Sim","Não"),IF(Q25&lt;=P25,"Sim","Não")))</f>
        <v>Não</v>
      </c>
      <c r="T25" s="3" t="n">
        <v>0.9</v>
      </c>
      <c r="U25" s="3" t="n">
        <v>0.9438</v>
      </c>
      <c r="V25" s="4" t="n">
        <f aca="false">IF(OR(T25="",U25=""),"",IFERROR(IF($K25="%",U25-T25,U25/T25-1),""))</f>
        <v>0.0438</v>
      </c>
      <c r="W25" s="5" t="str">
        <f aca="false">IF(OR(T25="",U25=""),"",IF($F25="Maior Melhor",IF(U25&gt;=T25,"Sim","Não"),IF(U25&lt;=T25,"Sim","Não")))</f>
        <v>Sim</v>
      </c>
      <c r="X25" s="3" t="n">
        <v>0.9</v>
      </c>
      <c r="Y25" s="3" t="n">
        <v>0.9212</v>
      </c>
      <c r="Z25" s="4" t="n">
        <f aca="false">IF(OR(X25="",Y25=""),"",IFERROR(IF($K25="%",Y25-X25,Y25/X25-1),""))</f>
        <v>0.0212</v>
      </c>
      <c r="AA25" s="5" t="str">
        <f aca="false">IF(OR(X25="",Y25=""),"",IF($F25="Maior Melhor",IF(Y25&gt;=X25,"Sim","Não"),IF(Y25&lt;=X25,"Sim","Não")))</f>
        <v>Sim</v>
      </c>
      <c r="AB25" s="3" t="n">
        <v>0.9</v>
      </c>
      <c r="AC25" s="3" t="n">
        <v>0.9212</v>
      </c>
      <c r="AD25" s="4" t="n">
        <f aca="false">IF(OR(AB25="",AC25=""),"",IFERROR(IF($K25="%",AC25-AB25,AC25/AB25-1),""))</f>
        <v>0.0212</v>
      </c>
      <c r="AE25" s="5" t="str">
        <f aca="false">IF(OR(AB25="",AC25=""),"",IF($F25="Maior Melhor",IF(AC25&gt;=AB25,"Sim","Não"),IF(AC25&lt;=AB25,"Sim","Não")))</f>
        <v>Sim</v>
      </c>
      <c r="AF25" s="3" t="n">
        <v>0.9</v>
      </c>
      <c r="AG25" s="3" t="n">
        <v>0.92</v>
      </c>
      <c r="AH25" s="4" t="n">
        <f aca="false">IF(OR(AF25="",AG25=""),"",IFERROR(IF($K25="%",AG25-AF25,AG25/AF25-1),""))</f>
        <v>0.02</v>
      </c>
      <c r="AI25" s="5" t="str">
        <f aca="false">IF(OR(AF25="",AG25=""),"",IF($F25="Maior Melhor",IF(AG25&gt;=AF25,"Sim","Não"),IF(AG25&lt;=AF25,"Sim","Não")))</f>
        <v>Sim</v>
      </c>
      <c r="AJ25" s="3" t="n">
        <v>0.9</v>
      </c>
      <c r="AK25" s="3" t="n">
        <v>0.92</v>
      </c>
      <c r="AL25" s="4" t="n">
        <f aca="false">IF(OR(AJ25="",AK25=""),"",IFERROR(IF($K25="%",AK25-AJ25,AK25/AJ25-1),""))</f>
        <v>0.02</v>
      </c>
      <c r="AM25" s="5" t="str">
        <f aca="false">IF(OR(AJ25="",AK25=""),"",IF($F25="Maior Melhor",IF(AK25&gt;=AJ25,"Sim","Não"),IF(AK25&lt;=AJ25,"Sim","Não")))</f>
        <v>Sim</v>
      </c>
      <c r="AN25" s="3" t="n">
        <v>0.9</v>
      </c>
      <c r="AO25" s="3" t="n">
        <v>0.944736842</v>
      </c>
      <c r="AP25" s="4" t="n">
        <f aca="false">IF(OR(AN25="",AO25=""),"",IFERROR(IF($K25="%",AO25-AN25,AO25/AN25-1),""))</f>
        <v>0.0447368419999999</v>
      </c>
      <c r="AQ25" s="5" t="str">
        <f aca="false">IF(OR(AN25="",AO25=""),"",IF($F25="Maior Melhor",IF(AO25&gt;=AN25,"Sim","Não"),IF(AO25&lt;=AN25,"Sim","Não")))</f>
        <v>Sim</v>
      </c>
      <c r="AR25" s="3" t="n">
        <v>0.9</v>
      </c>
      <c r="AS25" s="3" t="n">
        <v>0.944736842</v>
      </c>
      <c r="AT25" s="4" t="n">
        <f aca="false">IF(OR(AR25="",AS25=""),"",IFERROR(IF($K25="%",AS25-AR25,AS25/AR25-1),""))</f>
        <v>0.0447368419999999</v>
      </c>
      <c r="AU25" s="5" t="str">
        <f aca="false">IF(OR(AR25="",AS25=""),"",IF($F25="Maior Melhor",IF(AS25&gt;=AR25,"Sim","Não"),IF(AS25&lt;=AR25,"Sim","Não")))</f>
        <v>Sim</v>
      </c>
      <c r="AV25" s="3" t="n">
        <v>0.9</v>
      </c>
      <c r="AW25" s="3" t="n">
        <v>0.98</v>
      </c>
      <c r="AX25" s="4" t="n">
        <f aca="false">IF(OR(AV25="",AW25=""),"",IFERROR(IF($K25="%",AW25-AV25,AW25/AV25-1),""))</f>
        <v>0.08</v>
      </c>
      <c r="AY25" s="5" t="str">
        <f aca="false">IF(OR(AV25="",AW25=""),"",IF($F25="Maior Melhor",IF(AW25&gt;=AV25,"Sim","Não"),IF(AW25&lt;=AV25,"Sim","Não")))</f>
        <v>Sim</v>
      </c>
      <c r="AZ25" s="3" t="n">
        <v>0.9</v>
      </c>
      <c r="BA25" s="3" t="n">
        <v>0.98</v>
      </c>
      <c r="BB25" s="4" t="n">
        <f aca="false">IF(OR(AZ25="",BA25=""),"",IFERROR(IF($K25="%",BA25-AZ25,BA25/AZ25-1),""))</f>
        <v>0.08</v>
      </c>
      <c r="BC25" s="5" t="str">
        <f aca="false">IF(OR(AZ25="",BA25=""),"",IF($F25="Maior Melhor",IF(BA25&gt;=AZ25,"Sim","Não"),IF(BA25&lt;=AZ25,"Sim","Não")))</f>
        <v>Sim</v>
      </c>
      <c r="BD25" s="3" t="n">
        <v>0.9</v>
      </c>
      <c r="BE25" s="3" t="n">
        <v>0.9066</v>
      </c>
      <c r="BF25" s="4" t="n">
        <f aca="false">IF(OR(BD25="",BE25=""),"",IFERROR(IF($K25="%",BE25-BD25,BE25/BD25-1),""))</f>
        <v>0.00659999999999994</v>
      </c>
      <c r="BG25" s="5" t="str">
        <f aca="false">IF(OR(BD25="",BE25=""),"",IF($F25="Maior Melhor",IF(BE25&gt;=BD25,"Sim","Não"),IF(BE25&lt;=BD25,"Sim","Não")))</f>
        <v>Sim</v>
      </c>
      <c r="BH25" s="3" t="n">
        <v>0.9</v>
      </c>
      <c r="BI25" s="3" t="n">
        <v>0.9066</v>
      </c>
      <c r="BJ25" s="4" t="n">
        <f aca="false">IF(OR(BH25="",BI25=""),"",IFERROR(IF($K25="%",BI25-BH25,BI25/BH25-1),""))</f>
        <v>0.00659999999999994</v>
      </c>
      <c r="BK25" s="5" t="str">
        <f aca="false">IF(OR(BH25="",BI25=""),"",IF($F25="Maior Melhor",IF(BI25&gt;=BH25,"Sim","Não"),IF(BI25&lt;=BH25,"Sim","Não")))</f>
        <v>Sim</v>
      </c>
      <c r="BL25" s="6"/>
      <c r="BM25" s="6"/>
      <c r="BN25" s="4" t="str">
        <f aca="false">IF(OR(BL25="",BM25=""),"",IFERROR(IF($K25="%",BM25-BL25,BM25/BL25-1),""))</f>
        <v/>
      </c>
      <c r="BO25" s="5" t="str">
        <f aca="false">IF(OR(BL25="",BM25=""),"",IF($F25="Maior Melhor",IF(BM25&gt;=BL25,"Sim","Não"),IF(BM25&lt;=BL25,"Sim","Não")))</f>
        <v/>
      </c>
      <c r="BP25" s="6"/>
      <c r="BQ25" s="6"/>
      <c r="BR25" s="4" t="str">
        <f aca="false">IF(OR(BP25="",BQ25=""),"",IFERROR(IF($K25="%",BQ25-BP25,BQ25/BP25-1),""))</f>
        <v/>
      </c>
      <c r="BS25" s="5" t="str">
        <f aca="false">IF(OR(BP25="",BQ25=""),"",IF($F25="Maior Melhor",IF(BQ25&gt;=BP25,"Sim","Não"),IF(BQ25&lt;=BP25,"Sim","Não")))</f>
        <v/>
      </c>
      <c r="BT25" s="6"/>
      <c r="BU25" s="6"/>
      <c r="BV25" s="4" t="str">
        <f aca="false">IF(OR(BT25="",BU25=""),"",IFERROR(IF($K25="%",BU25-BT25,BU25/BT25-1),""))</f>
        <v/>
      </c>
      <c r="BW25" s="5" t="str">
        <f aca="false">IF(OR(BT25="",BU25=""),"",IF($F25="Maior Melhor",IF(BU25&gt;=BT25,"Sim","Não"),IF(BU25&lt;=BT25,"Sim","Não")))</f>
        <v/>
      </c>
      <c r="BX25" s="6"/>
      <c r="BY25" s="6"/>
      <c r="BZ25" s="4" t="str">
        <f aca="false">IF(OR(BX25="",BY25=""),"",IFERROR(IF($K25="%",BY25-BX25,BY25/BX25-1),""))</f>
        <v/>
      </c>
      <c r="CA25" s="5" t="str">
        <f aca="false">IF(OR(BX25="",BY25=""),"",IF($F25="Maior Melhor",IF(BY25&gt;=BX25,"Sim","Não"),IF(BY25&lt;=BX25,"Sim","Não")))</f>
        <v/>
      </c>
      <c r="CB25" s="6"/>
      <c r="CC25" s="6"/>
      <c r="CD25" s="4" t="str">
        <f aca="false">IF(OR(CB25="",CC25=""),"",IFERROR(IF($K25="%",CC25-CB25,CC25/CB25-1),""))</f>
        <v/>
      </c>
      <c r="CE25" s="5" t="str">
        <f aca="false">IF(OR(CB25="",CC25=""),"",IF($F25="Maior Melhor",IF(CC25&gt;=CB25,"Sim","Não"),IF(CC25&lt;=CB25,"Sim","Não")))</f>
        <v/>
      </c>
      <c r="CF25" s="6"/>
      <c r="CG25" s="6"/>
      <c r="CH25" s="4" t="str">
        <f aca="false">IF(OR(CF25="",CG25=""),"",IFERROR(IF($K25="%",CG25-CF25,CG25/CF25-1),""))</f>
        <v/>
      </c>
      <c r="CI25" s="5" t="str">
        <f aca="false">IF(OR(CF25="",CG25=""),"",IF($F25="Maior Melhor",IF(CG25&gt;=CF25,"Sim","Não"),IF(CG25&lt;=CF25,"Sim","Não")))</f>
        <v/>
      </c>
      <c r="CJ25" s="6"/>
      <c r="CK25" s="6"/>
      <c r="CL25" s="4" t="str">
        <f aca="false">IF(OR(CJ25="",CK25=""),"",IFERROR(IF($K25="%",CK25-CJ25,CK25/CJ25-1),""))</f>
        <v/>
      </c>
      <c r="CM25" s="5" t="str">
        <f aca="false">IF(OR(CJ25="",CK25=""),"",IF($F25="Maior Melhor",IF(CK25&gt;=CJ25,"Sim","Não"),IF(CK25&lt;=CJ25,"Sim","Não")))</f>
        <v/>
      </c>
      <c r="CN25" s="6"/>
      <c r="CO25" s="6"/>
      <c r="CP25" s="4" t="str">
        <f aca="false">IF(OR(CN25="",CO25=""),"",IFERROR(IF($K25="%",CO25-CN25,CO25/CN25-1),""))</f>
        <v/>
      </c>
      <c r="CQ25" s="5" t="str">
        <f aca="false">IF(OR(CN25="",CO25=""),"",IF($F25="Maior Melhor",IF(CO25&gt;=CN25,"Sim","Não"),IF(CO25&lt;=CN25,"Sim","Não")))</f>
        <v/>
      </c>
      <c r="CR25" s="2" t="s">
        <v>114</v>
      </c>
    </row>
    <row r="26" customFormat="false" ht="15" hidden="false" customHeight="false" outlineLevel="0" collapsed="false">
      <c r="A26" s="2" t="s">
        <v>96</v>
      </c>
      <c r="B26" s="2" t="s">
        <v>108</v>
      </c>
      <c r="C26" s="2" t="s">
        <v>115</v>
      </c>
      <c r="D26" s="2" t="s">
        <v>132</v>
      </c>
      <c r="E26" s="2" t="str">
        <f aca="false">C26&amp;D26</f>
        <v>UTD BRUMADOAderência do medidor e ramal</v>
      </c>
      <c r="F26" s="2" t="s">
        <v>100</v>
      </c>
      <c r="G26" s="2" t="s">
        <v>133</v>
      </c>
      <c r="H26" s="2" t="s">
        <v>102</v>
      </c>
      <c r="I26" s="2" t="s">
        <v>103</v>
      </c>
      <c r="J26" s="2" t="n">
        <v>1</v>
      </c>
      <c r="K26" s="2" t="s">
        <v>104</v>
      </c>
      <c r="L26" s="3" t="n">
        <v>0.9</v>
      </c>
      <c r="M26" s="3" t="n">
        <v>0.9759</v>
      </c>
      <c r="N26" s="4" t="n">
        <f aca="false">IF(OR(L26="",M26=""),"",IFERROR(IF($K26="%",M26-L26,M26/L26-1),""))</f>
        <v>0.0759</v>
      </c>
      <c r="O26" s="5" t="str">
        <f aca="false">IF(OR(L26="",M26=""),"",IF($F26="Maior Melhor",IF(M26&gt;=L26,"Sim","Não"),IF(M26&lt;=L26,"Sim","Não")))</f>
        <v>Sim</v>
      </c>
      <c r="P26" s="3" t="n">
        <v>0.9</v>
      </c>
      <c r="Q26" s="3" t="n">
        <v>0.4947</v>
      </c>
      <c r="R26" s="4" t="n">
        <f aca="false">IF(OR(P26="",Q26=""),"",IFERROR(IF($K26="%",Q26-P26,Q26/P26-1),""))</f>
        <v>-0.4053</v>
      </c>
      <c r="S26" s="5" t="str">
        <f aca="false">IF(OR(P26="",Q26=""),"",IF($F26="Maior Melhor",IF(Q26&gt;=P26,"Sim","Não"),IF(Q26&lt;=P26,"Sim","Não")))</f>
        <v>Não</v>
      </c>
      <c r="T26" s="3" t="n">
        <v>0.9</v>
      </c>
      <c r="U26" s="3" t="n">
        <v>0.8469</v>
      </c>
      <c r="V26" s="4" t="n">
        <f aca="false">IF(OR(T26="",U26=""),"",IFERROR(IF($K26="%",U26-T26,U26/T26-1),""))</f>
        <v>-0.0531</v>
      </c>
      <c r="W26" s="5" t="str">
        <f aca="false">IF(OR(T26="",U26=""),"",IF($F26="Maior Melhor",IF(U26&gt;=T26,"Sim","Não"),IF(U26&lt;=T26,"Sim","Não")))</f>
        <v>Não</v>
      </c>
      <c r="X26" s="3" t="n">
        <v>0.9</v>
      </c>
      <c r="Y26" s="3" t="n">
        <v>0.8767</v>
      </c>
      <c r="Z26" s="4" t="n">
        <f aca="false">IF(OR(X26="",Y26=""),"",IFERROR(IF($K26="%",Y26-X26,Y26/X26-1),""))</f>
        <v>-0.0233</v>
      </c>
      <c r="AA26" s="5" t="str">
        <f aca="false">IF(OR(X26="",Y26=""),"",IF($F26="Maior Melhor",IF(Y26&gt;=X26,"Sim","Não"),IF(Y26&lt;=X26,"Sim","Não")))</f>
        <v>Não</v>
      </c>
      <c r="AB26" s="3" t="n">
        <v>0.9</v>
      </c>
      <c r="AC26" s="3" t="n">
        <v>0.8767</v>
      </c>
      <c r="AD26" s="4" t="n">
        <f aca="false">IF(OR(AB26="",AC26=""),"",IFERROR(IF($K26="%",AC26-AB26,AC26/AB26-1),""))</f>
        <v>-0.0233</v>
      </c>
      <c r="AE26" s="5" t="str">
        <f aca="false">IF(OR(AB26="",AC26=""),"",IF($F26="Maior Melhor",IF(AC26&gt;=AB26,"Sim","Não"),IF(AC26&lt;=AB26,"Sim","Não")))</f>
        <v>Não</v>
      </c>
      <c r="AF26" s="3" t="n">
        <v>0.9</v>
      </c>
      <c r="AG26" s="3" t="n">
        <v>0.9</v>
      </c>
      <c r="AH26" s="4" t="n">
        <f aca="false">IF(OR(AF26="",AG26=""),"",IFERROR(IF($K26="%",AG26-AF26,AG26/AF26-1),""))</f>
        <v>0</v>
      </c>
      <c r="AI26" s="5" t="str">
        <f aca="false">IF(OR(AF26="",AG26=""),"",IF($F26="Maior Melhor",IF(AG26&gt;=AF26,"Sim","Não"),IF(AG26&lt;=AF26,"Sim","Não")))</f>
        <v>Sim</v>
      </c>
      <c r="AJ26" s="3" t="n">
        <v>0.9</v>
      </c>
      <c r="AK26" s="3" t="n">
        <v>0.9</v>
      </c>
      <c r="AL26" s="4" t="n">
        <f aca="false">IF(OR(AJ26="",AK26=""),"",IFERROR(IF($K26="%",AK26-AJ26,AK26/AJ26-1),""))</f>
        <v>0</v>
      </c>
      <c r="AM26" s="5" t="str">
        <f aca="false">IF(OR(AJ26="",AK26=""),"",IF($F26="Maior Melhor",IF(AK26&gt;=AJ26,"Sim","Não"),IF(AK26&lt;=AJ26,"Sim","Não")))</f>
        <v>Sim</v>
      </c>
      <c r="AN26" s="3" t="n">
        <v>0.9</v>
      </c>
      <c r="AO26" s="3" t="n">
        <v>0.992380952</v>
      </c>
      <c r="AP26" s="4" t="n">
        <f aca="false">IF(OR(AN26="",AO26=""),"",IFERROR(IF($K26="%",AO26-AN26,AO26/AN26-1),""))</f>
        <v>0.092380952</v>
      </c>
      <c r="AQ26" s="5" t="str">
        <f aca="false">IF(OR(AN26="",AO26=""),"",IF($F26="Maior Melhor",IF(AO26&gt;=AN26,"Sim","Não"),IF(AO26&lt;=AN26,"Sim","Não")))</f>
        <v>Sim</v>
      </c>
      <c r="AR26" s="3" t="n">
        <v>0.9</v>
      </c>
      <c r="AS26" s="3" t="n">
        <v>0.992380952</v>
      </c>
      <c r="AT26" s="4" t="n">
        <f aca="false">IF(OR(AR26="",AS26=""),"",IFERROR(IF($K26="%",AS26-AR26,AS26/AR26-1),""))</f>
        <v>0.092380952</v>
      </c>
      <c r="AU26" s="5" t="str">
        <f aca="false">IF(OR(AR26="",AS26=""),"",IF($F26="Maior Melhor",IF(AS26&gt;=AR26,"Sim","Não"),IF(AS26&lt;=AR26,"Sim","Não")))</f>
        <v>Sim</v>
      </c>
      <c r="AV26" s="3" t="n">
        <v>0.9</v>
      </c>
      <c r="AW26" s="3" t="n">
        <v>0.863436123</v>
      </c>
      <c r="AX26" s="4" t="n">
        <f aca="false">IF(OR(AV26="",AW26=""),"",IFERROR(IF($K26="%",AW26-AV26,AW26/AV26-1),""))</f>
        <v>-0.036563877</v>
      </c>
      <c r="AY26" s="5" t="str">
        <f aca="false">IF(OR(AV26="",AW26=""),"",IF($F26="Maior Melhor",IF(AW26&gt;=AV26,"Sim","Não"),IF(AW26&lt;=AV26,"Sim","Não")))</f>
        <v>Não</v>
      </c>
      <c r="AZ26" s="3" t="n">
        <v>0.9</v>
      </c>
      <c r="BA26" s="3" t="n">
        <v>0.863436123</v>
      </c>
      <c r="BB26" s="4" t="n">
        <f aca="false">IF(OR(AZ26="",BA26=""),"",IFERROR(IF($K26="%",BA26-AZ26,BA26/AZ26-1),""))</f>
        <v>-0.036563877</v>
      </c>
      <c r="BC26" s="5" t="str">
        <f aca="false">IF(OR(AZ26="",BA26=""),"",IF($F26="Maior Melhor",IF(BA26&gt;=AZ26,"Sim","Não"),IF(BA26&lt;=AZ26,"Sim","Não")))</f>
        <v>Não</v>
      </c>
      <c r="BD26" s="3" t="n">
        <v>0.9</v>
      </c>
      <c r="BE26" s="3" t="n">
        <v>0.9964</v>
      </c>
      <c r="BF26" s="4" t="n">
        <f aca="false">IF(OR(BD26="",BE26=""),"",IFERROR(IF($K26="%",BE26-BD26,BE26/BD26-1),""))</f>
        <v>0.0963999999999999</v>
      </c>
      <c r="BG26" s="5" t="str">
        <f aca="false">IF(OR(BD26="",BE26=""),"",IF($F26="Maior Melhor",IF(BE26&gt;=BD26,"Sim","Não"),IF(BE26&lt;=BD26,"Sim","Não")))</f>
        <v>Sim</v>
      </c>
      <c r="BH26" s="3" t="n">
        <v>0.9</v>
      </c>
      <c r="BI26" s="3" t="n">
        <v>0.9964</v>
      </c>
      <c r="BJ26" s="4" t="n">
        <f aca="false">IF(OR(BH26="",BI26=""),"",IFERROR(IF($K26="%",BI26-BH26,BI26/BH26-1),""))</f>
        <v>0.0963999999999999</v>
      </c>
      <c r="BK26" s="5" t="str">
        <f aca="false">IF(OR(BH26="",BI26=""),"",IF($F26="Maior Melhor",IF(BI26&gt;=BH26,"Sim","Não"),IF(BI26&lt;=BH26,"Sim","Não")))</f>
        <v>Sim</v>
      </c>
      <c r="BL26" s="6"/>
      <c r="BM26" s="6"/>
      <c r="BN26" s="4" t="str">
        <f aca="false">IF(OR(BL26="",BM26=""),"",IFERROR(IF($K26="%",BM26-BL26,BM26/BL26-1),""))</f>
        <v/>
      </c>
      <c r="BO26" s="5" t="str">
        <f aca="false">IF(OR(BL26="",BM26=""),"",IF($F26="Maior Melhor",IF(BM26&gt;=BL26,"Sim","Não"),IF(BM26&lt;=BL26,"Sim","Não")))</f>
        <v/>
      </c>
      <c r="BP26" s="6"/>
      <c r="BQ26" s="6"/>
      <c r="BR26" s="4" t="str">
        <f aca="false">IF(OR(BP26="",BQ26=""),"",IFERROR(IF($K26="%",BQ26-BP26,BQ26/BP26-1),""))</f>
        <v/>
      </c>
      <c r="BS26" s="5" t="str">
        <f aca="false">IF(OR(BP26="",BQ26=""),"",IF($F26="Maior Melhor",IF(BQ26&gt;=BP26,"Sim","Não"),IF(BQ26&lt;=BP26,"Sim","Não")))</f>
        <v/>
      </c>
      <c r="BT26" s="6"/>
      <c r="BU26" s="6"/>
      <c r="BV26" s="4" t="str">
        <f aca="false">IF(OR(BT26="",BU26=""),"",IFERROR(IF($K26="%",BU26-BT26,BU26/BT26-1),""))</f>
        <v/>
      </c>
      <c r="BW26" s="5" t="str">
        <f aca="false">IF(OR(BT26="",BU26=""),"",IF($F26="Maior Melhor",IF(BU26&gt;=BT26,"Sim","Não"),IF(BU26&lt;=BT26,"Sim","Não")))</f>
        <v/>
      </c>
      <c r="BX26" s="6"/>
      <c r="BY26" s="6"/>
      <c r="BZ26" s="4" t="str">
        <f aca="false">IF(OR(BX26="",BY26=""),"",IFERROR(IF($K26="%",BY26-BX26,BY26/BX26-1),""))</f>
        <v/>
      </c>
      <c r="CA26" s="5" t="str">
        <f aca="false">IF(OR(BX26="",BY26=""),"",IF($F26="Maior Melhor",IF(BY26&gt;=BX26,"Sim","Não"),IF(BY26&lt;=BX26,"Sim","Não")))</f>
        <v/>
      </c>
      <c r="CB26" s="6"/>
      <c r="CC26" s="6"/>
      <c r="CD26" s="4" t="str">
        <f aca="false">IF(OR(CB26="",CC26=""),"",IFERROR(IF($K26="%",CC26-CB26,CC26/CB26-1),""))</f>
        <v/>
      </c>
      <c r="CE26" s="5" t="str">
        <f aca="false">IF(OR(CB26="",CC26=""),"",IF($F26="Maior Melhor",IF(CC26&gt;=CB26,"Sim","Não"),IF(CC26&lt;=CB26,"Sim","Não")))</f>
        <v/>
      </c>
      <c r="CF26" s="6"/>
      <c r="CG26" s="6"/>
      <c r="CH26" s="4" t="str">
        <f aca="false">IF(OR(CF26="",CG26=""),"",IFERROR(IF($K26="%",CG26-CF26,CG26/CF26-1),""))</f>
        <v/>
      </c>
      <c r="CI26" s="5" t="str">
        <f aca="false">IF(OR(CF26="",CG26=""),"",IF($F26="Maior Melhor",IF(CG26&gt;=CF26,"Sim","Não"),IF(CG26&lt;=CF26,"Sim","Não")))</f>
        <v/>
      </c>
      <c r="CJ26" s="6"/>
      <c r="CK26" s="6"/>
      <c r="CL26" s="4" t="str">
        <f aca="false">IF(OR(CJ26="",CK26=""),"",IFERROR(IF($K26="%",CK26-CJ26,CK26/CJ26-1),""))</f>
        <v/>
      </c>
      <c r="CM26" s="5" t="str">
        <f aca="false">IF(OR(CJ26="",CK26=""),"",IF($F26="Maior Melhor",IF(CK26&gt;=CJ26,"Sim","Não"),IF(CK26&lt;=CJ26,"Sim","Não")))</f>
        <v/>
      </c>
      <c r="CN26" s="6"/>
      <c r="CO26" s="6"/>
      <c r="CP26" s="4" t="str">
        <f aca="false">IF(OR(CN26="",CO26=""),"",IFERROR(IF($K26="%",CO26-CN26,CO26/CN26-1),""))</f>
        <v/>
      </c>
      <c r="CQ26" s="5" t="str">
        <f aca="false">IF(OR(CN26="",CO26=""),"",IF($F26="Maior Melhor",IF(CO26&gt;=CN26,"Sim","Não"),IF(CO26&lt;=CN26,"Sim","Não")))</f>
        <v/>
      </c>
      <c r="CR26" s="2" t="s">
        <v>105</v>
      </c>
    </row>
    <row r="27" customFormat="false" ht="15" hidden="false" customHeight="false" outlineLevel="0" collapsed="false">
      <c r="A27" s="2" t="s">
        <v>96</v>
      </c>
      <c r="B27" s="2" t="s">
        <v>108</v>
      </c>
      <c r="C27" s="2" t="s">
        <v>117</v>
      </c>
      <c r="D27" s="2" t="s">
        <v>132</v>
      </c>
      <c r="E27" s="2" t="str">
        <f aca="false">C27&amp;D27</f>
        <v>UTD GUANAMBIAderência do medidor e ramal</v>
      </c>
      <c r="F27" s="2" t="s">
        <v>100</v>
      </c>
      <c r="G27" s="2" t="s">
        <v>133</v>
      </c>
      <c r="H27" s="2" t="s">
        <v>102</v>
      </c>
      <c r="I27" s="2" t="s">
        <v>103</v>
      </c>
      <c r="J27" s="2" t="n">
        <v>1</v>
      </c>
      <c r="K27" s="2" t="s">
        <v>104</v>
      </c>
      <c r="L27" s="3" t="n">
        <v>0.9</v>
      </c>
      <c r="M27" s="3" t="n">
        <v>1</v>
      </c>
      <c r="N27" s="4" t="n">
        <f aca="false">IF(OR(L27="",M27=""),"",IFERROR(IF($K27="%",M27-L27,M27/L27-1),""))</f>
        <v>0.1</v>
      </c>
      <c r="O27" s="5" t="str">
        <f aca="false">IF(OR(L27="",M27=""),"",IF($F27="Maior Melhor",IF(M27&gt;=L27,"Sim","Não"),IF(M27&lt;=L27,"Sim","Não")))</f>
        <v>Sim</v>
      </c>
      <c r="P27" s="3" t="n">
        <v>0.9</v>
      </c>
      <c r="Q27" s="3" t="n">
        <v>0.3564</v>
      </c>
      <c r="R27" s="4" t="n">
        <f aca="false">IF(OR(P27="",Q27=""),"",IFERROR(IF($K27="%",Q27-P27,Q27/P27-1),""))</f>
        <v>-0.5436</v>
      </c>
      <c r="S27" s="5" t="str">
        <f aca="false">IF(OR(P27="",Q27=""),"",IF($F27="Maior Melhor",IF(Q27&gt;=P27,"Sim","Não"),IF(Q27&lt;=P27,"Sim","Não")))</f>
        <v>Não</v>
      </c>
      <c r="T27" s="3" t="n">
        <v>0.9</v>
      </c>
      <c r="U27" s="3" t="n">
        <v>0.75</v>
      </c>
      <c r="V27" s="4" t="n">
        <f aca="false">IF(OR(T27="",U27=""),"",IFERROR(IF($K27="%",U27-T27,U27/T27-1),""))</f>
        <v>-0.15</v>
      </c>
      <c r="W27" s="5" t="str">
        <f aca="false">IF(OR(T27="",U27=""),"",IF($F27="Maior Melhor",IF(U27&gt;=T27,"Sim","Não"),IF(U27&lt;=T27,"Sim","Não")))</f>
        <v>Não</v>
      </c>
      <c r="X27" s="3" t="n">
        <v>0.9</v>
      </c>
      <c r="Y27" s="3" t="n">
        <v>0.6651</v>
      </c>
      <c r="Z27" s="4" t="n">
        <f aca="false">IF(OR(X27="",Y27=""),"",IFERROR(IF($K27="%",Y27-X27,Y27/X27-1),""))</f>
        <v>-0.2349</v>
      </c>
      <c r="AA27" s="5" t="str">
        <f aca="false">IF(OR(X27="",Y27=""),"",IF($F27="Maior Melhor",IF(Y27&gt;=X27,"Sim","Não"),IF(Y27&lt;=X27,"Sim","Não")))</f>
        <v>Não</v>
      </c>
      <c r="AB27" s="3" t="n">
        <v>0.9</v>
      </c>
      <c r="AC27" s="3" t="n">
        <v>0.6651</v>
      </c>
      <c r="AD27" s="4" t="n">
        <f aca="false">IF(OR(AB27="",AC27=""),"",IFERROR(IF($K27="%",AC27-AB27,AC27/AB27-1),""))</f>
        <v>-0.2349</v>
      </c>
      <c r="AE27" s="5" t="str">
        <f aca="false">IF(OR(AB27="",AC27=""),"",IF($F27="Maior Melhor",IF(AC27&gt;=AB27,"Sim","Não"),IF(AC27&lt;=AB27,"Sim","Não")))</f>
        <v>Não</v>
      </c>
      <c r="AF27" s="3" t="n">
        <v>0.9</v>
      </c>
      <c r="AG27" s="3" t="n">
        <v>1</v>
      </c>
      <c r="AH27" s="4" t="n">
        <f aca="false">IF(OR(AF27="",AG27=""),"",IFERROR(IF($K27="%",AG27-AF27,AG27/AF27-1),""))</f>
        <v>0.1</v>
      </c>
      <c r="AI27" s="5" t="str">
        <f aca="false">IF(OR(AF27="",AG27=""),"",IF($F27="Maior Melhor",IF(AG27&gt;=AF27,"Sim","Não"),IF(AG27&lt;=AF27,"Sim","Não")))</f>
        <v>Sim</v>
      </c>
      <c r="AJ27" s="3" t="n">
        <v>0.9</v>
      </c>
      <c r="AK27" s="3" t="n">
        <v>1</v>
      </c>
      <c r="AL27" s="4" t="n">
        <f aca="false">IF(OR(AJ27="",AK27=""),"",IFERROR(IF($K27="%",AK27-AJ27,AK27/AJ27-1),""))</f>
        <v>0.1</v>
      </c>
      <c r="AM27" s="5" t="str">
        <f aca="false">IF(OR(AJ27="",AK27=""),"",IF($F27="Maior Melhor",IF(AK27&gt;=AJ27,"Sim","Não"),IF(AK27&lt;=AJ27,"Sim","Não")))</f>
        <v>Sim</v>
      </c>
      <c r="AN27" s="3" t="n">
        <v>0.9</v>
      </c>
      <c r="AO27" s="3" t="n">
        <v>0.906614786</v>
      </c>
      <c r="AP27" s="4" t="n">
        <f aca="false">IF(OR(AN27="",AO27=""),"",IFERROR(IF($K27="%",AO27-AN27,AO27/AN27-1),""))</f>
        <v>0.00661478599999998</v>
      </c>
      <c r="AQ27" s="5" t="str">
        <f aca="false">IF(OR(AN27="",AO27=""),"",IF($F27="Maior Melhor",IF(AO27&gt;=AN27,"Sim","Não"),IF(AO27&lt;=AN27,"Sim","Não")))</f>
        <v>Sim</v>
      </c>
      <c r="AR27" s="3" t="n">
        <v>0.9</v>
      </c>
      <c r="AS27" s="3" t="n">
        <v>0.906614786</v>
      </c>
      <c r="AT27" s="4" t="n">
        <f aca="false">IF(OR(AR27="",AS27=""),"",IFERROR(IF($K27="%",AS27-AR27,AS27/AR27-1),""))</f>
        <v>0.00661478599999998</v>
      </c>
      <c r="AU27" s="5" t="str">
        <f aca="false">IF(OR(AR27="",AS27=""),"",IF($F27="Maior Melhor",IF(AS27&gt;=AR27,"Sim","Não"),IF(AS27&lt;=AR27,"Sim","Não")))</f>
        <v>Sim</v>
      </c>
      <c r="AV27" s="3" t="n">
        <v>0.9</v>
      </c>
      <c r="AW27" s="3" t="n">
        <v>0.924342105</v>
      </c>
      <c r="AX27" s="4" t="n">
        <f aca="false">IF(OR(AV27="",AW27=""),"",IFERROR(IF($K27="%",AW27-AV27,AW27/AV27-1),""))</f>
        <v>0.024342105</v>
      </c>
      <c r="AY27" s="5" t="str">
        <f aca="false">IF(OR(AV27="",AW27=""),"",IF($F27="Maior Melhor",IF(AW27&gt;=AV27,"Sim","Não"),IF(AW27&lt;=AV27,"Sim","Não")))</f>
        <v>Sim</v>
      </c>
      <c r="AZ27" s="3" t="n">
        <v>0.9</v>
      </c>
      <c r="BA27" s="3" t="n">
        <v>0.924342105</v>
      </c>
      <c r="BB27" s="4" t="n">
        <f aca="false">IF(OR(AZ27="",BA27=""),"",IFERROR(IF($K27="%",BA27-AZ27,BA27/AZ27-1),""))</f>
        <v>0.024342105</v>
      </c>
      <c r="BC27" s="5" t="str">
        <f aca="false">IF(OR(AZ27="",BA27=""),"",IF($F27="Maior Melhor",IF(BA27&gt;=AZ27,"Sim","Não"),IF(BA27&lt;=AZ27,"Sim","Não")))</f>
        <v>Sim</v>
      </c>
      <c r="BD27" s="3" t="n">
        <v>0.9</v>
      </c>
      <c r="BE27" s="3" t="n">
        <v>0.9186</v>
      </c>
      <c r="BF27" s="4" t="n">
        <f aca="false">IF(OR(BD27="",BE27=""),"",IFERROR(IF($K27="%",BE27-BD27,BE27/BD27-1),""))</f>
        <v>0.0186</v>
      </c>
      <c r="BG27" s="5" t="str">
        <f aca="false">IF(OR(BD27="",BE27=""),"",IF($F27="Maior Melhor",IF(BE27&gt;=BD27,"Sim","Não"),IF(BE27&lt;=BD27,"Sim","Não")))</f>
        <v>Sim</v>
      </c>
      <c r="BH27" s="3" t="n">
        <v>0.9</v>
      </c>
      <c r="BI27" s="3" t="n">
        <v>0.9186</v>
      </c>
      <c r="BJ27" s="4" t="n">
        <f aca="false">IF(OR(BH27="",BI27=""),"",IFERROR(IF($K27="%",BI27-BH27,BI27/BH27-1),""))</f>
        <v>0.0186</v>
      </c>
      <c r="BK27" s="5" t="str">
        <f aca="false">IF(OR(BH27="",BI27=""),"",IF($F27="Maior Melhor",IF(BI27&gt;=BH27,"Sim","Não"),IF(BI27&lt;=BH27,"Sim","Não")))</f>
        <v>Sim</v>
      </c>
      <c r="BL27" s="6"/>
      <c r="BM27" s="6"/>
      <c r="BN27" s="4" t="str">
        <f aca="false">IF(OR(BL27="",BM27=""),"",IFERROR(IF($K27="%",BM27-BL27,BM27/BL27-1),""))</f>
        <v/>
      </c>
      <c r="BO27" s="5" t="str">
        <f aca="false">IF(OR(BL27="",BM27=""),"",IF($F27="Maior Melhor",IF(BM27&gt;=BL27,"Sim","Não"),IF(BM27&lt;=BL27,"Sim","Não")))</f>
        <v/>
      </c>
      <c r="BP27" s="6"/>
      <c r="BQ27" s="6"/>
      <c r="BR27" s="4" t="str">
        <f aca="false">IF(OR(BP27="",BQ27=""),"",IFERROR(IF($K27="%",BQ27-BP27,BQ27/BP27-1),""))</f>
        <v/>
      </c>
      <c r="BS27" s="5" t="str">
        <f aca="false">IF(OR(BP27="",BQ27=""),"",IF($F27="Maior Melhor",IF(BQ27&gt;=BP27,"Sim","Não"),IF(BQ27&lt;=BP27,"Sim","Não")))</f>
        <v/>
      </c>
      <c r="BT27" s="6"/>
      <c r="BU27" s="6"/>
      <c r="BV27" s="4" t="str">
        <f aca="false">IF(OR(BT27="",BU27=""),"",IFERROR(IF($K27="%",BU27-BT27,BU27/BT27-1),""))</f>
        <v/>
      </c>
      <c r="BW27" s="5" t="str">
        <f aca="false">IF(OR(BT27="",BU27=""),"",IF($F27="Maior Melhor",IF(BU27&gt;=BT27,"Sim","Não"),IF(BU27&lt;=BT27,"Sim","Não")))</f>
        <v/>
      </c>
      <c r="BX27" s="6"/>
      <c r="BY27" s="6"/>
      <c r="BZ27" s="4" t="str">
        <f aca="false">IF(OR(BX27="",BY27=""),"",IFERROR(IF($K27="%",BY27-BX27,BY27/BX27-1),""))</f>
        <v/>
      </c>
      <c r="CA27" s="5" t="str">
        <f aca="false">IF(OR(BX27="",BY27=""),"",IF($F27="Maior Melhor",IF(BY27&gt;=BX27,"Sim","Não"),IF(BY27&lt;=BX27,"Sim","Não")))</f>
        <v/>
      </c>
      <c r="CB27" s="6"/>
      <c r="CC27" s="6"/>
      <c r="CD27" s="4" t="str">
        <f aca="false">IF(OR(CB27="",CC27=""),"",IFERROR(IF($K27="%",CC27-CB27,CC27/CB27-1),""))</f>
        <v/>
      </c>
      <c r="CE27" s="5" t="str">
        <f aca="false">IF(OR(CB27="",CC27=""),"",IF($F27="Maior Melhor",IF(CC27&gt;=CB27,"Sim","Não"),IF(CC27&lt;=CB27,"Sim","Não")))</f>
        <v/>
      </c>
      <c r="CF27" s="6"/>
      <c r="CG27" s="6"/>
      <c r="CH27" s="4" t="str">
        <f aca="false">IF(OR(CF27="",CG27=""),"",IFERROR(IF($K27="%",CG27-CF27,CG27/CF27-1),""))</f>
        <v/>
      </c>
      <c r="CI27" s="5" t="str">
        <f aca="false">IF(OR(CF27="",CG27=""),"",IF($F27="Maior Melhor",IF(CG27&gt;=CF27,"Sim","Não"),IF(CG27&lt;=CF27,"Sim","Não")))</f>
        <v/>
      </c>
      <c r="CJ27" s="6"/>
      <c r="CK27" s="6"/>
      <c r="CL27" s="4" t="str">
        <f aca="false">IF(OR(CJ27="",CK27=""),"",IFERROR(IF($K27="%",CK27-CJ27,CK27/CJ27-1),""))</f>
        <v/>
      </c>
      <c r="CM27" s="5" t="str">
        <f aca="false">IF(OR(CJ27="",CK27=""),"",IF($F27="Maior Melhor",IF(CK27&gt;=CJ27,"Sim","Não"),IF(CK27&lt;=CJ27,"Sim","Não")))</f>
        <v/>
      </c>
      <c r="CN27" s="6"/>
      <c r="CO27" s="6"/>
      <c r="CP27" s="4" t="str">
        <f aca="false">IF(OR(CN27="",CO27=""),"",IFERROR(IF($K27="%",CO27-CN27,CO27/CN27-1),""))</f>
        <v/>
      </c>
      <c r="CQ27" s="5" t="str">
        <f aca="false">IF(OR(CN27="",CO27=""),"",IF($F27="Maior Melhor",IF(CO27&gt;=CN27,"Sim","Não"),IF(CO27&lt;=CN27,"Sim","Não")))</f>
        <v/>
      </c>
      <c r="CR27" s="2" t="s">
        <v>105</v>
      </c>
    </row>
    <row r="28" customFormat="false" ht="15" hidden="false" customHeight="false" outlineLevel="0" collapsed="false">
      <c r="A28" s="2" t="s">
        <v>96</v>
      </c>
      <c r="B28" s="2" t="s">
        <v>106</v>
      </c>
      <c r="C28" s="2" t="s">
        <v>118</v>
      </c>
      <c r="D28" s="2" t="s">
        <v>132</v>
      </c>
      <c r="E28" s="2" t="str">
        <f aca="false">C28&amp;D28</f>
        <v>UTD IBOTIRAMAAderência do medidor e ramal</v>
      </c>
      <c r="F28" s="2" t="s">
        <v>100</v>
      </c>
      <c r="G28" s="2" t="s">
        <v>133</v>
      </c>
      <c r="H28" s="2" t="s">
        <v>119</v>
      </c>
      <c r="I28" s="2" t="s">
        <v>103</v>
      </c>
      <c r="J28" s="2" t="n">
        <v>1</v>
      </c>
      <c r="K28" s="2" t="s">
        <v>104</v>
      </c>
      <c r="L28" s="3" t="n">
        <v>0.9</v>
      </c>
      <c r="M28" s="3" t="n">
        <v>1</v>
      </c>
      <c r="N28" s="4" t="n">
        <f aca="false">IF(OR(L28="",M28=""),"",IFERROR(IF($K28="%",M28-L28,M28/L28-1),""))</f>
        <v>0.1</v>
      </c>
      <c r="O28" s="5" t="str">
        <f aca="false">IF(OR(L28="",M28=""),"",IF($F28="Maior Melhor",IF(M28&gt;=L28,"Sim","Não"),IF(M28&lt;=L28,"Sim","Não")))</f>
        <v>Sim</v>
      </c>
      <c r="P28" s="3" t="n">
        <v>0.9</v>
      </c>
      <c r="Q28" s="3" t="n">
        <v>0.2979</v>
      </c>
      <c r="R28" s="4" t="n">
        <f aca="false">IF(OR(P28="",Q28=""),"",IFERROR(IF($K28="%",Q28-P28,Q28/P28-1),""))</f>
        <v>-0.6021</v>
      </c>
      <c r="S28" s="5" t="str">
        <f aca="false">IF(OR(P28="",Q28=""),"",IF($F28="Maior Melhor",IF(Q28&gt;=P28,"Sim","Não"),IF(Q28&lt;=P28,"Sim","Não")))</f>
        <v>Não</v>
      </c>
      <c r="T28" s="3" t="n">
        <v>0.9</v>
      </c>
      <c r="U28" s="3" t="n">
        <v>0.58</v>
      </c>
      <c r="V28" s="4" t="n">
        <f aca="false">IF(OR(T28="",U28=""),"",IFERROR(IF($K28="%",U28-T28,U28/T28-1),""))</f>
        <v>-0.32</v>
      </c>
      <c r="W28" s="5" t="str">
        <f aca="false">IF(OR(T28="",U28=""),"",IF($F28="Maior Melhor",IF(U28&gt;=T28,"Sim","Não"),IF(U28&lt;=T28,"Sim","Não")))</f>
        <v>Não</v>
      </c>
      <c r="X28" s="3" t="n">
        <v>0.9</v>
      </c>
      <c r="Y28" s="3" t="n">
        <v>0.7629</v>
      </c>
      <c r="Z28" s="4" t="n">
        <f aca="false">IF(OR(X28="",Y28=""),"",IFERROR(IF($K28="%",Y28-X28,Y28/X28-1),""))</f>
        <v>-0.1371</v>
      </c>
      <c r="AA28" s="5" t="str">
        <f aca="false">IF(OR(X28="",Y28=""),"",IF($F28="Maior Melhor",IF(Y28&gt;=X28,"Sim","Não"),IF(Y28&lt;=X28,"Sim","Não")))</f>
        <v>Não</v>
      </c>
      <c r="AB28" s="3" t="n">
        <v>0.9</v>
      </c>
      <c r="AC28" s="3" t="n">
        <v>0.7629</v>
      </c>
      <c r="AD28" s="4" t="n">
        <f aca="false">IF(OR(AB28="",AC28=""),"",IFERROR(IF($K28="%",AC28-AB28,AC28/AB28-1),""))</f>
        <v>-0.1371</v>
      </c>
      <c r="AE28" s="5" t="str">
        <f aca="false">IF(OR(AB28="",AC28=""),"",IF($F28="Maior Melhor",IF(AC28&gt;=AB28,"Sim","Não"),IF(AC28&lt;=AB28,"Sim","Não")))</f>
        <v>Não</v>
      </c>
      <c r="AF28" s="3" t="n">
        <v>0.9</v>
      </c>
      <c r="AG28" s="3" t="n">
        <v>0.96</v>
      </c>
      <c r="AH28" s="4" t="n">
        <f aca="false">IF(OR(AF28="",AG28=""),"",IFERROR(IF($K28="%",AG28-AF28,AG28/AF28-1),""))</f>
        <v>0.0599999999999999</v>
      </c>
      <c r="AI28" s="5" t="str">
        <f aca="false">IF(OR(AF28="",AG28=""),"",IF($F28="Maior Melhor",IF(AG28&gt;=AF28,"Sim","Não"),IF(AG28&lt;=AF28,"Sim","Não")))</f>
        <v>Sim</v>
      </c>
      <c r="AJ28" s="3" t="n">
        <v>0.9</v>
      </c>
      <c r="AK28" s="3" t="n">
        <v>0.96</v>
      </c>
      <c r="AL28" s="4" t="n">
        <f aca="false">IF(OR(AJ28="",AK28=""),"",IFERROR(IF($K28="%",AK28-AJ28,AK28/AJ28-1),""))</f>
        <v>0.0599999999999999</v>
      </c>
      <c r="AM28" s="5" t="str">
        <f aca="false">IF(OR(AJ28="",AK28=""),"",IF($F28="Maior Melhor",IF(AK28&gt;=AJ28,"Sim","Não"),IF(AK28&lt;=AJ28,"Sim","Não")))</f>
        <v>Sim</v>
      </c>
      <c r="AN28" s="3" t="n">
        <v>0.9</v>
      </c>
      <c r="AO28" s="3" t="n">
        <v>0.994186047</v>
      </c>
      <c r="AP28" s="4" t="n">
        <f aca="false">IF(OR(AN28="",AO28=""),"",IFERROR(IF($K28="%",AO28-AN28,AO28/AN28-1),""))</f>
        <v>0.094186047</v>
      </c>
      <c r="AQ28" s="5" t="str">
        <f aca="false">IF(OR(AN28="",AO28=""),"",IF($F28="Maior Melhor",IF(AO28&gt;=AN28,"Sim","Não"),IF(AO28&lt;=AN28,"Sim","Não")))</f>
        <v>Sim</v>
      </c>
      <c r="AR28" s="3" t="n">
        <v>0.9</v>
      </c>
      <c r="AS28" s="3" t="n">
        <v>0.994186047</v>
      </c>
      <c r="AT28" s="4" t="n">
        <f aca="false">IF(OR(AR28="",AS28=""),"",IFERROR(IF($K28="%",AS28-AR28,AS28/AR28-1),""))</f>
        <v>0.094186047</v>
      </c>
      <c r="AU28" s="5" t="str">
        <f aca="false">IF(OR(AR28="",AS28=""),"",IF($F28="Maior Melhor",IF(AS28&gt;=AR28,"Sim","Não"),IF(AS28&lt;=AR28,"Sim","Não")))</f>
        <v>Sim</v>
      </c>
      <c r="AV28" s="3" t="n">
        <v>0.9</v>
      </c>
      <c r="AW28" s="3" t="n">
        <v>0.98974359</v>
      </c>
      <c r="AX28" s="4" t="n">
        <f aca="false">IF(OR(AV28="",AW28=""),"",IFERROR(IF($K28="%",AW28-AV28,AW28/AV28-1),""))</f>
        <v>0.08974359</v>
      </c>
      <c r="AY28" s="5" t="str">
        <f aca="false">IF(OR(AV28="",AW28=""),"",IF($F28="Maior Melhor",IF(AW28&gt;=AV28,"Sim","Não"),IF(AW28&lt;=AV28,"Sim","Não")))</f>
        <v>Sim</v>
      </c>
      <c r="AZ28" s="3" t="n">
        <v>0.9</v>
      </c>
      <c r="BA28" s="3" t="n">
        <v>0.98974359</v>
      </c>
      <c r="BB28" s="4" t="n">
        <f aca="false">IF(OR(AZ28="",BA28=""),"",IFERROR(IF($K28="%",BA28-AZ28,BA28/AZ28-1),""))</f>
        <v>0.08974359</v>
      </c>
      <c r="BC28" s="5" t="str">
        <f aca="false">IF(OR(AZ28="",BA28=""),"",IF($F28="Maior Melhor",IF(BA28&gt;=AZ28,"Sim","Não"),IF(BA28&lt;=AZ28,"Sim","Não")))</f>
        <v>Sim</v>
      </c>
      <c r="BD28" s="3" t="n">
        <v>0.9</v>
      </c>
      <c r="BE28" s="3" t="n">
        <v>1</v>
      </c>
      <c r="BF28" s="4" t="n">
        <f aca="false">IF(OR(BD28="",BE28=""),"",IFERROR(IF($K28="%",BE28-BD28,BE28/BD28-1),""))</f>
        <v>0.1</v>
      </c>
      <c r="BG28" s="5" t="str">
        <f aca="false">IF(OR(BD28="",BE28=""),"",IF($F28="Maior Melhor",IF(BE28&gt;=BD28,"Sim","Não"),IF(BE28&lt;=BD28,"Sim","Não")))</f>
        <v>Sim</v>
      </c>
      <c r="BH28" s="3" t="n">
        <v>0.9</v>
      </c>
      <c r="BI28" s="3" t="n">
        <v>1</v>
      </c>
      <c r="BJ28" s="4" t="n">
        <f aca="false">IF(OR(BH28="",BI28=""),"",IFERROR(IF($K28="%",BI28-BH28,BI28/BH28-1),""))</f>
        <v>0.1</v>
      </c>
      <c r="BK28" s="5" t="str">
        <f aca="false">IF(OR(BH28="",BI28=""),"",IF($F28="Maior Melhor",IF(BI28&gt;=BH28,"Sim","Não"),IF(BI28&lt;=BH28,"Sim","Não")))</f>
        <v>Sim</v>
      </c>
      <c r="BL28" s="6"/>
      <c r="BM28" s="6"/>
      <c r="BN28" s="4" t="str">
        <f aca="false">IF(OR(BL28="",BM28=""),"",IFERROR(IF($K28="%",BM28-BL28,BM28/BL28-1),""))</f>
        <v/>
      </c>
      <c r="BO28" s="5" t="str">
        <f aca="false">IF(OR(BL28="",BM28=""),"",IF($F28="Maior Melhor",IF(BM28&gt;=BL28,"Sim","Não"),IF(BM28&lt;=BL28,"Sim","Não")))</f>
        <v/>
      </c>
      <c r="BP28" s="6"/>
      <c r="BQ28" s="6"/>
      <c r="BR28" s="4" t="str">
        <f aca="false">IF(OR(BP28="",BQ28=""),"",IFERROR(IF($K28="%",BQ28-BP28,BQ28/BP28-1),""))</f>
        <v/>
      </c>
      <c r="BS28" s="5" t="str">
        <f aca="false">IF(OR(BP28="",BQ28=""),"",IF($F28="Maior Melhor",IF(BQ28&gt;=BP28,"Sim","Não"),IF(BQ28&lt;=BP28,"Sim","Não")))</f>
        <v/>
      </c>
      <c r="BT28" s="6"/>
      <c r="BU28" s="6"/>
      <c r="BV28" s="4" t="str">
        <f aca="false">IF(OR(BT28="",BU28=""),"",IFERROR(IF($K28="%",BU28-BT28,BU28/BT28-1),""))</f>
        <v/>
      </c>
      <c r="BW28" s="5" t="str">
        <f aca="false">IF(OR(BT28="",BU28=""),"",IF($F28="Maior Melhor",IF(BU28&gt;=BT28,"Sim","Não"),IF(BU28&lt;=BT28,"Sim","Não")))</f>
        <v/>
      </c>
      <c r="BX28" s="6"/>
      <c r="BY28" s="6"/>
      <c r="BZ28" s="4" t="str">
        <f aca="false">IF(OR(BX28="",BY28=""),"",IFERROR(IF($K28="%",BY28-BX28,BY28/BX28-1),""))</f>
        <v/>
      </c>
      <c r="CA28" s="5" t="str">
        <f aca="false">IF(OR(BX28="",BY28=""),"",IF($F28="Maior Melhor",IF(BY28&gt;=BX28,"Sim","Não"),IF(BY28&lt;=BX28,"Sim","Não")))</f>
        <v/>
      </c>
      <c r="CB28" s="6"/>
      <c r="CC28" s="6"/>
      <c r="CD28" s="4" t="str">
        <f aca="false">IF(OR(CB28="",CC28=""),"",IFERROR(IF($K28="%",CC28-CB28,CC28/CB28-1),""))</f>
        <v/>
      </c>
      <c r="CE28" s="5" t="str">
        <f aca="false">IF(OR(CB28="",CC28=""),"",IF($F28="Maior Melhor",IF(CC28&gt;=CB28,"Sim","Não"),IF(CC28&lt;=CB28,"Sim","Não")))</f>
        <v/>
      </c>
      <c r="CF28" s="6"/>
      <c r="CG28" s="6"/>
      <c r="CH28" s="4" t="str">
        <f aca="false">IF(OR(CF28="",CG28=""),"",IFERROR(IF($K28="%",CG28-CF28,CG28/CF28-1),""))</f>
        <v/>
      </c>
      <c r="CI28" s="5" t="str">
        <f aca="false">IF(OR(CF28="",CG28=""),"",IF($F28="Maior Melhor",IF(CG28&gt;=CF28,"Sim","Não"),IF(CG28&lt;=CF28,"Sim","Não")))</f>
        <v/>
      </c>
      <c r="CJ28" s="6"/>
      <c r="CK28" s="6"/>
      <c r="CL28" s="4" t="str">
        <f aca="false">IF(OR(CJ28="",CK28=""),"",IFERROR(IF($K28="%",CK28-CJ28,CK28/CJ28-1),""))</f>
        <v/>
      </c>
      <c r="CM28" s="5" t="str">
        <f aca="false">IF(OR(CJ28="",CK28=""),"",IF($F28="Maior Melhor",IF(CK28&gt;=CJ28,"Sim","Não"),IF(CK28&lt;=CJ28,"Sim","Não")))</f>
        <v/>
      </c>
      <c r="CN28" s="6"/>
      <c r="CO28" s="6"/>
      <c r="CP28" s="4" t="str">
        <f aca="false">IF(OR(CN28="",CO28=""),"",IFERROR(IF($K28="%",CO28-CN28,CO28/CN28-1),""))</f>
        <v/>
      </c>
      <c r="CQ28" s="5" t="str">
        <f aca="false">IF(OR(CN28="",CO28=""),"",IF($F28="Maior Melhor",IF(CO28&gt;=CN28,"Sim","Não"),IF(CO28&lt;=CN28,"Sim","Não")))</f>
        <v/>
      </c>
      <c r="CR28" s="2" t="s">
        <v>134</v>
      </c>
    </row>
    <row r="29" customFormat="false" ht="15" hidden="false" customHeight="false" outlineLevel="0" collapsed="false">
      <c r="A29" s="2" t="s">
        <v>96</v>
      </c>
      <c r="B29" s="2" t="s">
        <v>97</v>
      </c>
      <c r="C29" s="2" t="s">
        <v>121</v>
      </c>
      <c r="D29" s="2" t="s">
        <v>132</v>
      </c>
      <c r="E29" s="2" t="str">
        <f aca="false">C29&amp;D29</f>
        <v>UTD IRECÊAderência do medidor e ramal</v>
      </c>
      <c r="F29" s="2" t="s">
        <v>100</v>
      </c>
      <c r="G29" s="2" t="s">
        <v>133</v>
      </c>
      <c r="H29" s="2" t="s">
        <v>102</v>
      </c>
      <c r="I29" s="2" t="s">
        <v>103</v>
      </c>
      <c r="J29" s="2" t="n">
        <v>1</v>
      </c>
      <c r="K29" s="2" t="s">
        <v>104</v>
      </c>
      <c r="L29" s="3" t="n">
        <v>0.9</v>
      </c>
      <c r="M29" s="3" t="n">
        <v>0.9869</v>
      </c>
      <c r="N29" s="4" t="n">
        <f aca="false">IF(OR(L29="",M29=""),"",IFERROR(IF($K29="%",M29-L29,M29/L29-1),""))</f>
        <v>0.0869</v>
      </c>
      <c r="O29" s="5" t="str">
        <f aca="false">IF(OR(L29="",M29=""),"",IF($F29="Maior Melhor",IF(M29&gt;=L29,"Sim","Não"),IF(M29&lt;=L29,"Sim","Não")))</f>
        <v>Sim</v>
      </c>
      <c r="P29" s="3" t="n">
        <v>0.9</v>
      </c>
      <c r="Q29" s="3" t="n">
        <v>0.3668</v>
      </c>
      <c r="R29" s="4" t="n">
        <f aca="false">IF(OR(P29="",Q29=""),"",IFERROR(IF($K29="%",Q29-P29,Q29/P29-1),""))</f>
        <v>-0.5332</v>
      </c>
      <c r="S29" s="5" t="str">
        <f aca="false">IF(OR(P29="",Q29=""),"",IF($F29="Maior Melhor",IF(Q29&gt;=P29,"Sim","Não"),IF(Q29&lt;=P29,"Sim","Não")))</f>
        <v>Não</v>
      </c>
      <c r="T29" s="3" t="n">
        <v>0.9</v>
      </c>
      <c r="U29" s="3" t="n">
        <v>0.832</v>
      </c>
      <c r="V29" s="4" t="n">
        <f aca="false">IF(OR(T29="",U29=""),"",IFERROR(IF($K29="%",U29-T29,U29/T29-1),""))</f>
        <v>-0.0680000000000001</v>
      </c>
      <c r="W29" s="5" t="str">
        <f aca="false">IF(OR(T29="",U29=""),"",IF($F29="Maior Melhor",IF(U29&gt;=T29,"Sim","Não"),IF(U29&lt;=T29,"Sim","Não")))</f>
        <v>Não</v>
      </c>
      <c r="X29" s="3" t="n">
        <v>0.9</v>
      </c>
      <c r="Y29" s="3" t="n">
        <v>0.9931</v>
      </c>
      <c r="Z29" s="4" t="n">
        <f aca="false">IF(OR(X29="",Y29=""),"",IFERROR(IF($K29="%",Y29-X29,Y29/X29-1),""))</f>
        <v>0.0931</v>
      </c>
      <c r="AA29" s="5" t="str">
        <f aca="false">IF(OR(X29="",Y29=""),"",IF($F29="Maior Melhor",IF(Y29&gt;=X29,"Sim","Não"),IF(Y29&lt;=X29,"Sim","Não")))</f>
        <v>Sim</v>
      </c>
      <c r="AB29" s="3" t="n">
        <v>0.9</v>
      </c>
      <c r="AC29" s="3" t="n">
        <v>0.9931</v>
      </c>
      <c r="AD29" s="4" t="n">
        <f aca="false">IF(OR(AB29="",AC29=""),"",IFERROR(IF($K29="%",AC29-AB29,AC29/AB29-1),""))</f>
        <v>0.0931</v>
      </c>
      <c r="AE29" s="5" t="str">
        <f aca="false">IF(OR(AB29="",AC29=""),"",IF($F29="Maior Melhor",IF(AC29&gt;=AB29,"Sim","Não"),IF(AC29&lt;=AB29,"Sim","Não")))</f>
        <v>Sim</v>
      </c>
      <c r="AF29" s="3" t="n">
        <v>0.9</v>
      </c>
      <c r="AG29" s="3" t="n">
        <v>0.99</v>
      </c>
      <c r="AH29" s="4" t="n">
        <f aca="false">IF(OR(AF29="",AG29=""),"",IFERROR(IF($K29="%",AG29-AF29,AG29/AF29-1),""))</f>
        <v>0.09</v>
      </c>
      <c r="AI29" s="5" t="str">
        <f aca="false">IF(OR(AF29="",AG29=""),"",IF($F29="Maior Melhor",IF(AG29&gt;=AF29,"Sim","Não"),IF(AG29&lt;=AF29,"Sim","Não")))</f>
        <v>Sim</v>
      </c>
      <c r="AJ29" s="3" t="n">
        <v>0.9</v>
      </c>
      <c r="AK29" s="3" t="n">
        <v>0.99</v>
      </c>
      <c r="AL29" s="4" t="n">
        <f aca="false">IF(OR(AJ29="",AK29=""),"",IFERROR(IF($K29="%",AK29-AJ29,AK29/AJ29-1),""))</f>
        <v>0.09</v>
      </c>
      <c r="AM29" s="5" t="str">
        <f aca="false">IF(OR(AJ29="",AK29=""),"",IF($F29="Maior Melhor",IF(AK29&gt;=AJ29,"Sim","Não"),IF(AK29&lt;=AJ29,"Sim","Não")))</f>
        <v>Sim</v>
      </c>
      <c r="AN29" s="3" t="n">
        <v>0.9</v>
      </c>
      <c r="AO29" s="3" t="n">
        <v>0.771849126</v>
      </c>
      <c r="AP29" s="4" t="n">
        <f aca="false">IF(OR(AN29="",AO29=""),"",IFERROR(IF($K29="%",AO29-AN29,AO29/AN29-1),""))</f>
        <v>-0.128150874</v>
      </c>
      <c r="AQ29" s="5" t="str">
        <f aca="false">IF(OR(AN29="",AO29=""),"",IF($F29="Maior Melhor",IF(AO29&gt;=AN29,"Sim","Não"),IF(AO29&lt;=AN29,"Sim","Não")))</f>
        <v>Não</v>
      </c>
      <c r="AR29" s="3" t="n">
        <v>0.9</v>
      </c>
      <c r="AS29" s="3" t="n">
        <v>0.771849126</v>
      </c>
      <c r="AT29" s="4" t="n">
        <f aca="false">IF(OR(AR29="",AS29=""),"",IFERROR(IF($K29="%",AS29-AR29,AS29/AR29-1),""))</f>
        <v>-0.128150874</v>
      </c>
      <c r="AU29" s="5" t="str">
        <f aca="false">IF(OR(AR29="",AS29=""),"",IF($F29="Maior Melhor",IF(AS29&gt;=AR29,"Sim","Não"),IF(AS29&lt;=AR29,"Sim","Não")))</f>
        <v>Não</v>
      </c>
      <c r="AV29" s="3" t="n">
        <v>0.9</v>
      </c>
      <c r="AW29" s="3" t="n">
        <v>0.945177665</v>
      </c>
      <c r="AX29" s="4" t="n">
        <f aca="false">IF(OR(AV29="",AW29=""),"",IFERROR(IF($K29="%",AW29-AV29,AW29/AV29-1),""))</f>
        <v>0.045177665</v>
      </c>
      <c r="AY29" s="5" t="str">
        <f aca="false">IF(OR(AV29="",AW29=""),"",IF($F29="Maior Melhor",IF(AW29&gt;=AV29,"Sim","Não"),IF(AW29&lt;=AV29,"Sim","Não")))</f>
        <v>Sim</v>
      </c>
      <c r="AZ29" s="3" t="n">
        <v>0.9</v>
      </c>
      <c r="BA29" s="3" t="n">
        <v>0.945177665</v>
      </c>
      <c r="BB29" s="4" t="n">
        <f aca="false">IF(OR(AZ29="",BA29=""),"",IFERROR(IF($K29="%",BA29-AZ29,BA29/AZ29-1),""))</f>
        <v>0.045177665</v>
      </c>
      <c r="BC29" s="5" t="str">
        <f aca="false">IF(OR(AZ29="",BA29=""),"",IF($F29="Maior Melhor",IF(BA29&gt;=AZ29,"Sim","Não"),IF(BA29&lt;=AZ29,"Sim","Não")))</f>
        <v>Sim</v>
      </c>
      <c r="BD29" s="3" t="n">
        <v>0.9</v>
      </c>
      <c r="BE29" s="3" t="n">
        <v>0.9439</v>
      </c>
      <c r="BF29" s="4" t="n">
        <f aca="false">IF(OR(BD29="",BE29=""),"",IFERROR(IF($K29="%",BE29-BD29,BE29/BD29-1),""))</f>
        <v>0.0438999999999999</v>
      </c>
      <c r="BG29" s="5" t="str">
        <f aca="false">IF(OR(BD29="",BE29=""),"",IF($F29="Maior Melhor",IF(BE29&gt;=BD29,"Sim","Não"),IF(BE29&lt;=BD29,"Sim","Não")))</f>
        <v>Sim</v>
      </c>
      <c r="BH29" s="3" t="n">
        <v>0.9</v>
      </c>
      <c r="BI29" s="3" t="n">
        <v>0.9439</v>
      </c>
      <c r="BJ29" s="4" t="n">
        <f aca="false">IF(OR(BH29="",BI29=""),"",IFERROR(IF($K29="%",BI29-BH29,BI29/BH29-1),""))</f>
        <v>0.0438999999999999</v>
      </c>
      <c r="BK29" s="5" t="str">
        <f aca="false">IF(OR(BH29="",BI29=""),"",IF($F29="Maior Melhor",IF(BI29&gt;=BH29,"Sim","Não"),IF(BI29&lt;=BH29,"Sim","Não")))</f>
        <v>Sim</v>
      </c>
      <c r="BL29" s="6"/>
      <c r="BM29" s="6"/>
      <c r="BN29" s="4" t="str">
        <f aca="false">IF(OR(BL29="",BM29=""),"",IFERROR(IF($K29="%",BM29-BL29,BM29/BL29-1),""))</f>
        <v/>
      </c>
      <c r="BO29" s="5" t="str">
        <f aca="false">IF(OR(BL29="",BM29=""),"",IF($F29="Maior Melhor",IF(BM29&gt;=BL29,"Sim","Não"),IF(BM29&lt;=BL29,"Sim","Não")))</f>
        <v/>
      </c>
      <c r="BP29" s="6"/>
      <c r="BQ29" s="6"/>
      <c r="BR29" s="4" t="str">
        <f aca="false">IF(OR(BP29="",BQ29=""),"",IFERROR(IF($K29="%",BQ29-BP29,BQ29/BP29-1),""))</f>
        <v/>
      </c>
      <c r="BS29" s="5" t="str">
        <f aca="false">IF(OR(BP29="",BQ29=""),"",IF($F29="Maior Melhor",IF(BQ29&gt;=BP29,"Sim","Não"),IF(BQ29&lt;=BP29,"Sim","Não")))</f>
        <v/>
      </c>
      <c r="BT29" s="6"/>
      <c r="BU29" s="6"/>
      <c r="BV29" s="4" t="str">
        <f aca="false">IF(OR(BT29="",BU29=""),"",IFERROR(IF($K29="%",BU29-BT29,BU29/BT29-1),""))</f>
        <v/>
      </c>
      <c r="BW29" s="5" t="str">
        <f aca="false">IF(OR(BT29="",BU29=""),"",IF($F29="Maior Melhor",IF(BU29&gt;=BT29,"Sim","Não"),IF(BU29&lt;=BT29,"Sim","Não")))</f>
        <v/>
      </c>
      <c r="BX29" s="6"/>
      <c r="BY29" s="6"/>
      <c r="BZ29" s="4" t="str">
        <f aca="false">IF(OR(BX29="",BY29=""),"",IFERROR(IF($K29="%",BY29-BX29,BY29/BX29-1),""))</f>
        <v/>
      </c>
      <c r="CA29" s="5" t="str">
        <f aca="false">IF(OR(BX29="",BY29=""),"",IF($F29="Maior Melhor",IF(BY29&gt;=BX29,"Sim","Não"),IF(BY29&lt;=BX29,"Sim","Não")))</f>
        <v/>
      </c>
      <c r="CB29" s="6"/>
      <c r="CC29" s="6"/>
      <c r="CD29" s="4" t="str">
        <f aca="false">IF(OR(CB29="",CC29=""),"",IFERROR(IF($K29="%",CC29-CB29,CC29/CB29-1),""))</f>
        <v/>
      </c>
      <c r="CE29" s="5" t="str">
        <f aca="false">IF(OR(CB29="",CC29=""),"",IF($F29="Maior Melhor",IF(CC29&gt;=CB29,"Sim","Não"),IF(CC29&lt;=CB29,"Sim","Não")))</f>
        <v/>
      </c>
      <c r="CF29" s="6"/>
      <c r="CG29" s="6"/>
      <c r="CH29" s="4" t="str">
        <f aca="false">IF(OR(CF29="",CG29=""),"",IFERROR(IF($K29="%",CG29-CF29,CG29/CF29-1),""))</f>
        <v/>
      </c>
      <c r="CI29" s="5" t="str">
        <f aca="false">IF(OR(CF29="",CG29=""),"",IF($F29="Maior Melhor",IF(CG29&gt;=CF29,"Sim","Não"),IF(CG29&lt;=CF29,"Sim","Não")))</f>
        <v/>
      </c>
      <c r="CJ29" s="6"/>
      <c r="CK29" s="6"/>
      <c r="CL29" s="4" t="str">
        <f aca="false">IF(OR(CJ29="",CK29=""),"",IFERROR(IF($K29="%",CK29-CJ29,CK29/CJ29-1),""))</f>
        <v/>
      </c>
      <c r="CM29" s="5" t="str">
        <f aca="false">IF(OR(CJ29="",CK29=""),"",IF($F29="Maior Melhor",IF(CK29&gt;=CJ29,"Sim","Não"),IF(CK29&lt;=CJ29,"Sim","Não")))</f>
        <v/>
      </c>
      <c r="CN29" s="6"/>
      <c r="CO29" s="6"/>
      <c r="CP29" s="4" t="str">
        <f aca="false">IF(OR(CN29="",CO29=""),"",IFERROR(IF($K29="%",CO29-CN29,CO29/CN29-1),""))</f>
        <v/>
      </c>
      <c r="CQ29" s="5" t="str">
        <f aca="false">IF(OR(CN29="",CO29=""),"",IF($F29="Maior Melhor",IF(CO29&gt;=CN29,"Sim","Não"),IF(CO29&lt;=CN29,"Sim","Não")))</f>
        <v/>
      </c>
      <c r="CR29" s="2" t="s">
        <v>105</v>
      </c>
    </row>
    <row r="30" customFormat="false" ht="15" hidden="false" customHeight="false" outlineLevel="0" collapsed="false">
      <c r="A30" s="2" t="s">
        <v>96</v>
      </c>
      <c r="B30" s="2" t="s">
        <v>97</v>
      </c>
      <c r="C30" s="2" t="s">
        <v>122</v>
      </c>
      <c r="D30" s="2" t="s">
        <v>132</v>
      </c>
      <c r="E30" s="2" t="str">
        <f aca="false">C30&amp;D30</f>
        <v>UTD ITABERABAAderência do medidor e ramal</v>
      </c>
      <c r="F30" s="2" t="s">
        <v>100</v>
      </c>
      <c r="G30" s="2" t="s">
        <v>133</v>
      </c>
      <c r="H30" s="2" t="s">
        <v>102</v>
      </c>
      <c r="I30" s="2" t="s">
        <v>103</v>
      </c>
      <c r="J30" s="2" t="n">
        <v>1</v>
      </c>
      <c r="K30" s="2" t="s">
        <v>104</v>
      </c>
      <c r="L30" s="3" t="n">
        <v>0.9</v>
      </c>
      <c r="M30" s="3" t="n">
        <v>0.2095</v>
      </c>
      <c r="N30" s="4" t="n">
        <f aca="false">IF(OR(L30="",M30=""),"",IFERROR(IF($K30="%",M30-L30,M30/L30-1),""))</f>
        <v>-0.6905</v>
      </c>
      <c r="O30" s="5" t="str">
        <f aca="false">IF(OR(L30="",M30=""),"",IF($F30="Maior Melhor",IF(M30&gt;=L30,"Sim","Não"),IF(M30&lt;=L30,"Sim","Não")))</f>
        <v>Não</v>
      </c>
      <c r="P30" s="3" t="n">
        <v>0.9</v>
      </c>
      <c r="Q30" s="3" t="n">
        <v>0.1224</v>
      </c>
      <c r="R30" s="4" t="n">
        <f aca="false">IF(OR(P30="",Q30=""),"",IFERROR(IF($K30="%",Q30-P30,Q30/P30-1),""))</f>
        <v>-0.7776</v>
      </c>
      <c r="S30" s="5" t="str">
        <f aca="false">IF(OR(P30="",Q30=""),"",IF($F30="Maior Melhor",IF(Q30&gt;=P30,"Sim","Não"),IF(Q30&lt;=P30,"Sim","Não")))</f>
        <v>Não</v>
      </c>
      <c r="T30" s="3" t="n">
        <v>0.9</v>
      </c>
      <c r="U30" s="3" t="n">
        <v>0.698</v>
      </c>
      <c r="V30" s="4" t="n">
        <f aca="false">IF(OR(T30="",U30=""),"",IFERROR(IF($K30="%",U30-T30,U30/T30-1),""))</f>
        <v>-0.202</v>
      </c>
      <c r="W30" s="5" t="str">
        <f aca="false">IF(OR(T30="",U30=""),"",IF($F30="Maior Melhor",IF(U30&gt;=T30,"Sim","Não"),IF(U30&lt;=T30,"Sim","Não")))</f>
        <v>Não</v>
      </c>
      <c r="X30" s="3" t="n">
        <v>0.9</v>
      </c>
      <c r="Y30" s="3" t="n">
        <v>0.9398</v>
      </c>
      <c r="Z30" s="4" t="n">
        <f aca="false">IF(OR(X30="",Y30=""),"",IFERROR(IF($K30="%",Y30-X30,Y30/X30-1),""))</f>
        <v>0.0398</v>
      </c>
      <c r="AA30" s="5" t="str">
        <f aca="false">IF(OR(X30="",Y30=""),"",IF($F30="Maior Melhor",IF(Y30&gt;=X30,"Sim","Não"),IF(Y30&lt;=X30,"Sim","Não")))</f>
        <v>Sim</v>
      </c>
      <c r="AB30" s="3" t="n">
        <v>0.9</v>
      </c>
      <c r="AC30" s="3" t="n">
        <v>0.9398</v>
      </c>
      <c r="AD30" s="4" t="n">
        <f aca="false">IF(OR(AB30="",AC30=""),"",IFERROR(IF($K30="%",AC30-AB30,AC30/AB30-1),""))</f>
        <v>0.0398</v>
      </c>
      <c r="AE30" s="5" t="str">
        <f aca="false">IF(OR(AB30="",AC30=""),"",IF($F30="Maior Melhor",IF(AC30&gt;=AB30,"Sim","Não"),IF(AC30&lt;=AB30,"Sim","Não")))</f>
        <v>Sim</v>
      </c>
      <c r="AF30" s="3" t="n">
        <v>0.9</v>
      </c>
      <c r="AG30" s="3" t="n">
        <v>0.93</v>
      </c>
      <c r="AH30" s="4" t="n">
        <f aca="false">IF(OR(AF30="",AG30=""),"",IFERROR(IF($K30="%",AG30-AF30,AG30/AF30-1),""))</f>
        <v>0.03</v>
      </c>
      <c r="AI30" s="5" t="str">
        <f aca="false">IF(OR(AF30="",AG30=""),"",IF($F30="Maior Melhor",IF(AG30&gt;=AF30,"Sim","Não"),IF(AG30&lt;=AF30,"Sim","Não")))</f>
        <v>Sim</v>
      </c>
      <c r="AJ30" s="3" t="n">
        <v>0.9</v>
      </c>
      <c r="AK30" s="3" t="n">
        <v>0.93</v>
      </c>
      <c r="AL30" s="4" t="n">
        <f aca="false">IF(OR(AJ30="",AK30=""),"",IFERROR(IF($K30="%",AK30-AJ30,AK30/AJ30-1),""))</f>
        <v>0.03</v>
      </c>
      <c r="AM30" s="5" t="str">
        <f aca="false">IF(OR(AJ30="",AK30=""),"",IF($F30="Maior Melhor",IF(AK30&gt;=AJ30,"Sim","Não"),IF(AK30&lt;=AJ30,"Sim","Não")))</f>
        <v>Sim</v>
      </c>
      <c r="AN30" s="3" t="n">
        <v>0.9</v>
      </c>
      <c r="AO30" s="3" t="n">
        <v>0.795986622</v>
      </c>
      <c r="AP30" s="4" t="n">
        <f aca="false">IF(OR(AN30="",AO30=""),"",IFERROR(IF($K30="%",AO30-AN30,AO30/AN30-1),""))</f>
        <v>-0.104013378</v>
      </c>
      <c r="AQ30" s="5" t="str">
        <f aca="false">IF(OR(AN30="",AO30=""),"",IF($F30="Maior Melhor",IF(AO30&gt;=AN30,"Sim","Não"),IF(AO30&lt;=AN30,"Sim","Não")))</f>
        <v>Não</v>
      </c>
      <c r="AR30" s="3" t="n">
        <v>0.9</v>
      </c>
      <c r="AS30" s="3" t="n">
        <v>0.795986622</v>
      </c>
      <c r="AT30" s="4" t="n">
        <f aca="false">IF(OR(AR30="",AS30=""),"",IFERROR(IF($K30="%",AS30-AR30,AS30/AR30-1),""))</f>
        <v>-0.104013378</v>
      </c>
      <c r="AU30" s="5" t="str">
        <f aca="false">IF(OR(AR30="",AS30=""),"",IF($F30="Maior Melhor",IF(AS30&gt;=AR30,"Sim","Não"),IF(AS30&lt;=AR30,"Sim","Não")))</f>
        <v>Não</v>
      </c>
      <c r="AV30" s="3" t="n">
        <v>0.9</v>
      </c>
      <c r="AW30" s="3" t="n">
        <v>0.930091185</v>
      </c>
      <c r="AX30" s="4" t="n">
        <f aca="false">IF(OR(AV30="",AW30=""),"",IFERROR(IF($K30="%",AW30-AV30,AW30/AV30-1),""))</f>
        <v>0.030091185</v>
      </c>
      <c r="AY30" s="5" t="str">
        <f aca="false">IF(OR(AV30="",AW30=""),"",IF($F30="Maior Melhor",IF(AW30&gt;=AV30,"Sim","Não"),IF(AW30&lt;=AV30,"Sim","Não")))</f>
        <v>Sim</v>
      </c>
      <c r="AZ30" s="3" t="n">
        <v>0.9</v>
      </c>
      <c r="BA30" s="3" t="n">
        <v>0.930091185</v>
      </c>
      <c r="BB30" s="4" t="n">
        <f aca="false">IF(OR(AZ30="",BA30=""),"",IFERROR(IF($K30="%",BA30-AZ30,BA30/AZ30-1),""))</f>
        <v>0.030091185</v>
      </c>
      <c r="BC30" s="5" t="str">
        <f aca="false">IF(OR(AZ30="",BA30=""),"",IF($F30="Maior Melhor",IF(BA30&gt;=AZ30,"Sim","Não"),IF(BA30&lt;=AZ30,"Sim","Não")))</f>
        <v>Sim</v>
      </c>
      <c r="BD30" s="3" t="n">
        <v>0.9</v>
      </c>
      <c r="BE30" s="3" t="n">
        <v>0.9424</v>
      </c>
      <c r="BF30" s="4" t="n">
        <f aca="false">IF(OR(BD30="",BE30=""),"",IFERROR(IF($K30="%",BE30-BD30,BE30/BD30-1),""))</f>
        <v>0.0424</v>
      </c>
      <c r="BG30" s="5" t="str">
        <f aca="false">IF(OR(BD30="",BE30=""),"",IF($F30="Maior Melhor",IF(BE30&gt;=BD30,"Sim","Não"),IF(BE30&lt;=BD30,"Sim","Não")))</f>
        <v>Sim</v>
      </c>
      <c r="BH30" s="3" t="n">
        <v>0.9</v>
      </c>
      <c r="BI30" s="3" t="n">
        <v>0.9424</v>
      </c>
      <c r="BJ30" s="4" t="n">
        <f aca="false">IF(OR(BH30="",BI30=""),"",IFERROR(IF($K30="%",BI30-BH30,BI30/BH30-1),""))</f>
        <v>0.0424</v>
      </c>
      <c r="BK30" s="5" t="str">
        <f aca="false">IF(OR(BH30="",BI30=""),"",IF($F30="Maior Melhor",IF(BI30&gt;=BH30,"Sim","Não"),IF(BI30&lt;=BH30,"Sim","Não")))</f>
        <v>Sim</v>
      </c>
      <c r="BL30" s="6"/>
      <c r="BM30" s="6"/>
      <c r="BN30" s="4" t="str">
        <f aca="false">IF(OR(BL30="",BM30=""),"",IFERROR(IF($K30="%",BM30-BL30,BM30/BL30-1),""))</f>
        <v/>
      </c>
      <c r="BO30" s="5" t="str">
        <f aca="false">IF(OR(BL30="",BM30=""),"",IF($F30="Maior Melhor",IF(BM30&gt;=BL30,"Sim","Não"),IF(BM30&lt;=BL30,"Sim","Não")))</f>
        <v/>
      </c>
      <c r="BP30" s="6"/>
      <c r="BQ30" s="6"/>
      <c r="BR30" s="4" t="str">
        <f aca="false">IF(OR(BP30="",BQ30=""),"",IFERROR(IF($K30="%",BQ30-BP30,BQ30/BP30-1),""))</f>
        <v/>
      </c>
      <c r="BS30" s="5" t="str">
        <f aca="false">IF(OR(BP30="",BQ30=""),"",IF($F30="Maior Melhor",IF(BQ30&gt;=BP30,"Sim","Não"),IF(BQ30&lt;=BP30,"Sim","Não")))</f>
        <v/>
      </c>
      <c r="BT30" s="6"/>
      <c r="BU30" s="6"/>
      <c r="BV30" s="4" t="str">
        <f aca="false">IF(OR(BT30="",BU30=""),"",IFERROR(IF($K30="%",BU30-BT30,BU30/BT30-1),""))</f>
        <v/>
      </c>
      <c r="BW30" s="5" t="str">
        <f aca="false">IF(OR(BT30="",BU30=""),"",IF($F30="Maior Melhor",IF(BU30&gt;=BT30,"Sim","Não"),IF(BU30&lt;=BT30,"Sim","Não")))</f>
        <v/>
      </c>
      <c r="BX30" s="6"/>
      <c r="BY30" s="6"/>
      <c r="BZ30" s="4" t="str">
        <f aca="false">IF(OR(BX30="",BY30=""),"",IFERROR(IF($K30="%",BY30-BX30,BY30/BX30-1),""))</f>
        <v/>
      </c>
      <c r="CA30" s="5" t="str">
        <f aca="false">IF(OR(BX30="",BY30=""),"",IF($F30="Maior Melhor",IF(BY30&gt;=BX30,"Sim","Não"),IF(BY30&lt;=BX30,"Sim","Não")))</f>
        <v/>
      </c>
      <c r="CB30" s="6"/>
      <c r="CC30" s="6"/>
      <c r="CD30" s="4" t="str">
        <f aca="false">IF(OR(CB30="",CC30=""),"",IFERROR(IF($K30="%",CC30-CB30,CC30/CB30-1),""))</f>
        <v/>
      </c>
      <c r="CE30" s="5" t="str">
        <f aca="false">IF(OR(CB30="",CC30=""),"",IF($F30="Maior Melhor",IF(CC30&gt;=CB30,"Sim","Não"),IF(CC30&lt;=CB30,"Sim","Não")))</f>
        <v/>
      </c>
      <c r="CF30" s="6"/>
      <c r="CG30" s="6"/>
      <c r="CH30" s="4" t="str">
        <f aca="false">IF(OR(CF30="",CG30=""),"",IFERROR(IF($K30="%",CG30-CF30,CG30/CF30-1),""))</f>
        <v/>
      </c>
      <c r="CI30" s="5" t="str">
        <f aca="false">IF(OR(CF30="",CG30=""),"",IF($F30="Maior Melhor",IF(CG30&gt;=CF30,"Sim","Não"),IF(CG30&lt;=CF30,"Sim","Não")))</f>
        <v/>
      </c>
      <c r="CJ30" s="6"/>
      <c r="CK30" s="6"/>
      <c r="CL30" s="4" t="str">
        <f aca="false">IF(OR(CJ30="",CK30=""),"",IFERROR(IF($K30="%",CK30-CJ30,CK30/CJ30-1),""))</f>
        <v/>
      </c>
      <c r="CM30" s="5" t="str">
        <f aca="false">IF(OR(CJ30="",CK30=""),"",IF($F30="Maior Melhor",IF(CK30&gt;=CJ30,"Sim","Não"),IF(CK30&lt;=CJ30,"Sim","Não")))</f>
        <v/>
      </c>
      <c r="CN30" s="6"/>
      <c r="CO30" s="6"/>
      <c r="CP30" s="4" t="str">
        <f aca="false">IF(OR(CN30="",CO30=""),"",IFERROR(IF($K30="%",CO30-CN30,CO30/CN30-1),""))</f>
        <v/>
      </c>
      <c r="CQ30" s="5" t="str">
        <f aca="false">IF(OR(CN30="",CO30=""),"",IF($F30="Maior Melhor",IF(CO30&gt;=CN30,"Sim","Não"),IF(CO30&lt;=CN30,"Sim","Não")))</f>
        <v/>
      </c>
      <c r="CR30" s="2" t="s">
        <v>135</v>
      </c>
    </row>
    <row r="31" customFormat="false" ht="15" hidden="false" customHeight="false" outlineLevel="0" collapsed="false">
      <c r="A31" s="2" t="s">
        <v>96</v>
      </c>
      <c r="B31" s="2" t="s">
        <v>108</v>
      </c>
      <c r="C31" s="2" t="s">
        <v>124</v>
      </c>
      <c r="D31" s="2" t="s">
        <v>132</v>
      </c>
      <c r="E31" s="2" t="str">
        <f aca="false">C31&amp;D31</f>
        <v>UTD ITAPETINGAAderência do medidor e ramal</v>
      </c>
      <c r="F31" s="2" t="s">
        <v>100</v>
      </c>
      <c r="G31" s="2" t="s">
        <v>133</v>
      </c>
      <c r="H31" s="2" t="s">
        <v>102</v>
      </c>
      <c r="I31" s="2" t="s">
        <v>103</v>
      </c>
      <c r="J31" s="2" t="n">
        <v>1</v>
      </c>
      <c r="K31" s="2" t="s">
        <v>104</v>
      </c>
      <c r="L31" s="3" t="n">
        <v>0.9</v>
      </c>
      <c r="M31" s="3" t="n">
        <v>1</v>
      </c>
      <c r="N31" s="4" t="n">
        <f aca="false">IF(OR(L31="",M31=""),"",IFERROR(IF($K31="%",M31-L31,M31/L31-1),""))</f>
        <v>0.1</v>
      </c>
      <c r="O31" s="5" t="str">
        <f aca="false">IF(OR(L31="",M31=""),"",IF($F31="Maior Melhor",IF(M31&gt;=L31,"Sim","Não"),IF(M31&lt;=L31,"Sim","Não")))</f>
        <v>Sim</v>
      </c>
      <c r="P31" s="3" t="n">
        <v>0.9</v>
      </c>
      <c r="Q31" s="3" t="n">
        <v>0.1538</v>
      </c>
      <c r="R31" s="4" t="n">
        <f aca="false">IF(OR(P31="",Q31=""),"",IFERROR(IF($K31="%",Q31-P31,Q31/P31-1),""))</f>
        <v>-0.7462</v>
      </c>
      <c r="S31" s="5" t="str">
        <f aca="false">IF(OR(P31="",Q31=""),"",IF($F31="Maior Melhor",IF(Q31&gt;=P31,"Sim","Não"),IF(Q31&lt;=P31,"Sim","Não")))</f>
        <v>Não</v>
      </c>
      <c r="T31" s="3" t="n">
        <v>0.9</v>
      </c>
      <c r="U31" s="3" t="n">
        <v>0.4074</v>
      </c>
      <c r="V31" s="4" t="n">
        <f aca="false">IF(OR(T31="",U31=""),"",IFERROR(IF($K31="%",U31-T31,U31/T31-1),""))</f>
        <v>-0.4926</v>
      </c>
      <c r="W31" s="5" t="str">
        <f aca="false">IF(OR(T31="",U31=""),"",IF($F31="Maior Melhor",IF(U31&gt;=T31,"Sim","Não"),IF(U31&lt;=T31,"Sim","Não")))</f>
        <v>Não</v>
      </c>
      <c r="X31" s="3" t="n">
        <v>0.9</v>
      </c>
      <c r="Y31" s="3" t="n">
        <v>0.5011</v>
      </c>
      <c r="Z31" s="4" t="n">
        <f aca="false">IF(OR(X31="",Y31=""),"",IFERROR(IF($K31="%",Y31-X31,Y31/X31-1),""))</f>
        <v>-0.3989</v>
      </c>
      <c r="AA31" s="5" t="str">
        <f aca="false">IF(OR(X31="",Y31=""),"",IF($F31="Maior Melhor",IF(Y31&gt;=X31,"Sim","Não"),IF(Y31&lt;=X31,"Sim","Não")))</f>
        <v>Não</v>
      </c>
      <c r="AB31" s="3" t="n">
        <v>0.9</v>
      </c>
      <c r="AC31" s="3" t="n">
        <v>0.5011</v>
      </c>
      <c r="AD31" s="4" t="n">
        <f aca="false">IF(OR(AB31="",AC31=""),"",IFERROR(IF($K31="%",AC31-AB31,AC31/AB31-1),""))</f>
        <v>-0.3989</v>
      </c>
      <c r="AE31" s="5" t="str">
        <f aca="false">IF(OR(AB31="",AC31=""),"",IF($F31="Maior Melhor",IF(AC31&gt;=AB31,"Sim","Não"),IF(AC31&lt;=AB31,"Sim","Não")))</f>
        <v>Não</v>
      </c>
      <c r="AF31" s="3" t="n">
        <v>0.9</v>
      </c>
      <c r="AG31" s="3" t="n">
        <v>0.98</v>
      </c>
      <c r="AH31" s="4" t="n">
        <f aca="false">IF(OR(AF31="",AG31=""),"",IFERROR(IF($K31="%",AG31-AF31,AG31/AF31-1),""))</f>
        <v>0.08</v>
      </c>
      <c r="AI31" s="5" t="str">
        <f aca="false">IF(OR(AF31="",AG31=""),"",IF($F31="Maior Melhor",IF(AG31&gt;=AF31,"Sim","Não"),IF(AG31&lt;=AF31,"Sim","Não")))</f>
        <v>Sim</v>
      </c>
      <c r="AJ31" s="3" t="n">
        <v>0.9</v>
      </c>
      <c r="AK31" s="3" t="n">
        <v>0.98</v>
      </c>
      <c r="AL31" s="4" t="n">
        <f aca="false">IF(OR(AJ31="",AK31=""),"",IFERROR(IF($K31="%",AK31-AJ31,AK31/AJ31-1),""))</f>
        <v>0.08</v>
      </c>
      <c r="AM31" s="5" t="str">
        <f aca="false">IF(OR(AJ31="",AK31=""),"",IF($F31="Maior Melhor",IF(AK31&gt;=AJ31,"Sim","Não"),IF(AK31&lt;=AJ31,"Sim","Não")))</f>
        <v>Sim</v>
      </c>
      <c r="AN31" s="3" t="n">
        <v>0.9</v>
      </c>
      <c r="AO31" s="3" t="n">
        <v>0.703577513</v>
      </c>
      <c r="AP31" s="4" t="n">
        <f aca="false">IF(OR(AN31="",AO31=""),"",IFERROR(IF($K31="%",AO31-AN31,AO31/AN31-1),""))</f>
        <v>-0.196422487</v>
      </c>
      <c r="AQ31" s="5" t="str">
        <f aca="false">IF(OR(AN31="",AO31=""),"",IF($F31="Maior Melhor",IF(AO31&gt;=AN31,"Sim","Não"),IF(AO31&lt;=AN31,"Sim","Não")))</f>
        <v>Não</v>
      </c>
      <c r="AR31" s="3" t="n">
        <v>0.9</v>
      </c>
      <c r="AS31" s="3" t="n">
        <v>0.703577513</v>
      </c>
      <c r="AT31" s="4" t="n">
        <f aca="false">IF(OR(AR31="",AS31=""),"",IFERROR(IF($K31="%",AS31-AR31,AS31/AR31-1),""))</f>
        <v>-0.196422487</v>
      </c>
      <c r="AU31" s="5" t="str">
        <f aca="false">IF(OR(AR31="",AS31=""),"",IF($F31="Maior Melhor",IF(AS31&gt;=AR31,"Sim","Não"),IF(AS31&lt;=AR31,"Sim","Não")))</f>
        <v>Não</v>
      </c>
      <c r="AV31" s="3" t="n">
        <v>0.9</v>
      </c>
      <c r="AW31" s="3" t="n">
        <v>0.965235174</v>
      </c>
      <c r="AX31" s="4" t="n">
        <f aca="false">IF(OR(AV31="",AW31=""),"",IFERROR(IF($K31="%",AW31-AV31,AW31/AV31-1),""))</f>
        <v>0.065235174</v>
      </c>
      <c r="AY31" s="5" t="str">
        <f aca="false">IF(OR(AV31="",AW31=""),"",IF($F31="Maior Melhor",IF(AW31&gt;=AV31,"Sim","Não"),IF(AW31&lt;=AV31,"Sim","Não")))</f>
        <v>Sim</v>
      </c>
      <c r="AZ31" s="3" t="n">
        <v>0.9</v>
      </c>
      <c r="BA31" s="3" t="n">
        <v>0.965235174</v>
      </c>
      <c r="BB31" s="4" t="n">
        <f aca="false">IF(OR(AZ31="",BA31=""),"",IFERROR(IF($K31="%",BA31-AZ31,BA31/AZ31-1),""))</f>
        <v>0.065235174</v>
      </c>
      <c r="BC31" s="5" t="str">
        <f aca="false">IF(OR(AZ31="",BA31=""),"",IF($F31="Maior Melhor",IF(BA31&gt;=AZ31,"Sim","Não"),IF(BA31&lt;=AZ31,"Sim","Não")))</f>
        <v>Sim</v>
      </c>
      <c r="BD31" s="3" t="n">
        <v>0.9</v>
      </c>
      <c r="BE31" s="3" t="n">
        <v>0.9536</v>
      </c>
      <c r="BF31" s="4" t="n">
        <f aca="false">IF(OR(BD31="",BE31=""),"",IFERROR(IF($K31="%",BE31-BD31,BE31/BD31-1),""))</f>
        <v>0.0536</v>
      </c>
      <c r="BG31" s="5" t="str">
        <f aca="false">IF(OR(BD31="",BE31=""),"",IF($F31="Maior Melhor",IF(BE31&gt;=BD31,"Sim","Não"),IF(BE31&lt;=BD31,"Sim","Não")))</f>
        <v>Sim</v>
      </c>
      <c r="BH31" s="3" t="n">
        <v>0.9</v>
      </c>
      <c r="BI31" s="3" t="n">
        <v>0.9536</v>
      </c>
      <c r="BJ31" s="4" t="n">
        <f aca="false">IF(OR(BH31="",BI31=""),"",IFERROR(IF($K31="%",BI31-BH31,BI31/BH31-1),""))</f>
        <v>0.0536</v>
      </c>
      <c r="BK31" s="5" t="str">
        <f aca="false">IF(OR(BH31="",BI31=""),"",IF($F31="Maior Melhor",IF(BI31&gt;=BH31,"Sim","Não"),IF(BI31&lt;=BH31,"Sim","Não")))</f>
        <v>Sim</v>
      </c>
      <c r="BL31" s="6"/>
      <c r="BM31" s="6"/>
      <c r="BN31" s="4" t="str">
        <f aca="false">IF(OR(BL31="",BM31=""),"",IFERROR(IF($K31="%",BM31-BL31,BM31/BL31-1),""))</f>
        <v/>
      </c>
      <c r="BO31" s="5" t="str">
        <f aca="false">IF(OR(BL31="",BM31=""),"",IF($F31="Maior Melhor",IF(BM31&gt;=BL31,"Sim","Não"),IF(BM31&lt;=BL31,"Sim","Não")))</f>
        <v/>
      </c>
      <c r="BP31" s="6"/>
      <c r="BQ31" s="6"/>
      <c r="BR31" s="4" t="str">
        <f aca="false">IF(OR(BP31="",BQ31=""),"",IFERROR(IF($K31="%",BQ31-BP31,BQ31/BP31-1),""))</f>
        <v/>
      </c>
      <c r="BS31" s="5" t="str">
        <f aca="false">IF(OR(BP31="",BQ31=""),"",IF($F31="Maior Melhor",IF(BQ31&gt;=BP31,"Sim","Não"),IF(BQ31&lt;=BP31,"Sim","Não")))</f>
        <v/>
      </c>
      <c r="BT31" s="6"/>
      <c r="BU31" s="6"/>
      <c r="BV31" s="4" t="str">
        <f aca="false">IF(OR(BT31="",BU31=""),"",IFERROR(IF($K31="%",BU31-BT31,BU31/BT31-1),""))</f>
        <v/>
      </c>
      <c r="BW31" s="5" t="str">
        <f aca="false">IF(OR(BT31="",BU31=""),"",IF($F31="Maior Melhor",IF(BU31&gt;=BT31,"Sim","Não"),IF(BU31&lt;=BT31,"Sim","Não")))</f>
        <v/>
      </c>
      <c r="BX31" s="6"/>
      <c r="BY31" s="6"/>
      <c r="BZ31" s="4" t="str">
        <f aca="false">IF(OR(BX31="",BY31=""),"",IFERROR(IF($K31="%",BY31-BX31,BY31/BX31-1),""))</f>
        <v/>
      </c>
      <c r="CA31" s="5" t="str">
        <f aca="false">IF(OR(BX31="",BY31=""),"",IF($F31="Maior Melhor",IF(BY31&gt;=BX31,"Sim","Não"),IF(BY31&lt;=BX31,"Sim","Não")))</f>
        <v/>
      </c>
      <c r="CB31" s="6"/>
      <c r="CC31" s="6"/>
      <c r="CD31" s="4" t="str">
        <f aca="false">IF(OR(CB31="",CC31=""),"",IFERROR(IF($K31="%",CC31-CB31,CC31/CB31-1),""))</f>
        <v/>
      </c>
      <c r="CE31" s="5" t="str">
        <f aca="false">IF(OR(CB31="",CC31=""),"",IF($F31="Maior Melhor",IF(CC31&gt;=CB31,"Sim","Não"),IF(CC31&lt;=CB31,"Sim","Não")))</f>
        <v/>
      </c>
      <c r="CF31" s="6"/>
      <c r="CG31" s="6"/>
      <c r="CH31" s="4" t="str">
        <f aca="false">IF(OR(CF31="",CG31=""),"",IFERROR(IF($K31="%",CG31-CF31,CG31/CF31-1),""))</f>
        <v/>
      </c>
      <c r="CI31" s="5" t="str">
        <f aca="false">IF(OR(CF31="",CG31=""),"",IF($F31="Maior Melhor",IF(CG31&gt;=CF31,"Sim","Não"),IF(CG31&lt;=CF31,"Sim","Não")))</f>
        <v/>
      </c>
      <c r="CJ31" s="6"/>
      <c r="CK31" s="6"/>
      <c r="CL31" s="4" t="str">
        <f aca="false">IF(OR(CJ31="",CK31=""),"",IFERROR(IF($K31="%",CK31-CJ31,CK31/CJ31-1),""))</f>
        <v/>
      </c>
      <c r="CM31" s="5" t="str">
        <f aca="false">IF(OR(CJ31="",CK31=""),"",IF($F31="Maior Melhor",IF(CK31&gt;=CJ31,"Sim","Não"),IF(CK31&lt;=CJ31,"Sim","Não")))</f>
        <v/>
      </c>
      <c r="CN31" s="6"/>
      <c r="CO31" s="6"/>
      <c r="CP31" s="4" t="str">
        <f aca="false">IF(OR(CN31="",CO31=""),"",IFERROR(IF($K31="%",CO31-CN31,CO31/CN31-1),""))</f>
        <v/>
      </c>
      <c r="CQ31" s="5" t="str">
        <f aca="false">IF(OR(CN31="",CO31=""),"",IF($F31="Maior Melhor",IF(CO31&gt;=CN31,"Sim","Não"),IF(CO31&lt;=CN31,"Sim","Não")))</f>
        <v/>
      </c>
      <c r="CR31" s="2" t="s">
        <v>105</v>
      </c>
    </row>
    <row r="32" customFormat="false" ht="15" hidden="false" customHeight="false" outlineLevel="0" collapsed="false">
      <c r="A32" s="2" t="s">
        <v>96</v>
      </c>
      <c r="B32" s="2" t="s">
        <v>97</v>
      </c>
      <c r="C32" s="2" t="s">
        <v>125</v>
      </c>
      <c r="D32" s="2" t="s">
        <v>132</v>
      </c>
      <c r="E32" s="2" t="str">
        <f aca="false">C32&amp;D32</f>
        <v>UTD JEQUIÉAderência do medidor e ramal</v>
      </c>
      <c r="F32" s="2" t="s">
        <v>100</v>
      </c>
      <c r="G32" s="2" t="s">
        <v>133</v>
      </c>
      <c r="H32" s="2" t="s">
        <v>102</v>
      </c>
      <c r="I32" s="2" t="s">
        <v>103</v>
      </c>
      <c r="J32" s="2" t="n">
        <v>1</v>
      </c>
      <c r="K32" s="2" t="s">
        <v>104</v>
      </c>
      <c r="L32" s="3" t="n">
        <v>0.9</v>
      </c>
      <c r="M32" s="3" t="n">
        <v>1</v>
      </c>
      <c r="N32" s="4" t="n">
        <f aca="false">IF(OR(L32="",M32=""),"",IFERROR(IF($K32="%",M32-L32,M32/L32-1),""))</f>
        <v>0.1</v>
      </c>
      <c r="O32" s="5" t="str">
        <f aca="false">IF(OR(L32="",M32=""),"",IF($F32="Maior Melhor",IF(M32&gt;=L32,"Sim","Não"),IF(M32&lt;=L32,"Sim","Não")))</f>
        <v>Sim</v>
      </c>
      <c r="P32" s="3" t="n">
        <v>0.9</v>
      </c>
      <c r="Q32" s="3" t="n">
        <v>0.5351</v>
      </c>
      <c r="R32" s="4" t="n">
        <f aca="false">IF(OR(P32="",Q32=""),"",IFERROR(IF($K32="%",Q32-P32,Q32/P32-1),""))</f>
        <v>-0.3649</v>
      </c>
      <c r="S32" s="5" t="str">
        <f aca="false">IF(OR(P32="",Q32=""),"",IF($F32="Maior Melhor",IF(Q32&gt;=P32,"Sim","Não"),IF(Q32&lt;=P32,"Sim","Não")))</f>
        <v>Não</v>
      </c>
      <c r="T32" s="3" t="n">
        <v>0.9</v>
      </c>
      <c r="U32" s="3" t="n">
        <v>0.9406</v>
      </c>
      <c r="V32" s="4" t="n">
        <f aca="false">IF(OR(T32="",U32=""),"",IFERROR(IF($K32="%",U32-T32,U32/T32-1),""))</f>
        <v>0.0406</v>
      </c>
      <c r="W32" s="5" t="str">
        <f aca="false">IF(OR(T32="",U32=""),"",IF($F32="Maior Melhor",IF(U32&gt;=T32,"Sim","Não"),IF(U32&lt;=T32,"Sim","Não")))</f>
        <v>Sim</v>
      </c>
      <c r="X32" s="3" t="n">
        <v>0.9</v>
      </c>
      <c r="Y32" s="3" t="n">
        <v>0.9577</v>
      </c>
      <c r="Z32" s="4" t="n">
        <f aca="false">IF(OR(X32="",Y32=""),"",IFERROR(IF($K32="%",Y32-X32,Y32/X32-1),""))</f>
        <v>0.0577</v>
      </c>
      <c r="AA32" s="5" t="str">
        <f aca="false">IF(OR(X32="",Y32=""),"",IF($F32="Maior Melhor",IF(Y32&gt;=X32,"Sim","Não"),IF(Y32&lt;=X32,"Sim","Não")))</f>
        <v>Sim</v>
      </c>
      <c r="AB32" s="3" t="n">
        <v>0.9</v>
      </c>
      <c r="AC32" s="3" t="n">
        <v>0.9577</v>
      </c>
      <c r="AD32" s="4" t="n">
        <f aca="false">IF(OR(AB32="",AC32=""),"",IFERROR(IF($K32="%",AC32-AB32,AC32/AB32-1),""))</f>
        <v>0.0577</v>
      </c>
      <c r="AE32" s="5" t="str">
        <f aca="false">IF(OR(AB32="",AC32=""),"",IF($F32="Maior Melhor",IF(AC32&gt;=AB32,"Sim","Não"),IF(AC32&lt;=AB32,"Sim","Não")))</f>
        <v>Sim</v>
      </c>
      <c r="AF32" s="3" t="n">
        <v>0.9</v>
      </c>
      <c r="AG32" s="3" t="n">
        <v>0.99</v>
      </c>
      <c r="AH32" s="4" t="n">
        <f aca="false">IF(OR(AF32="",AG32=""),"",IFERROR(IF($K32="%",AG32-AF32,AG32/AF32-1),""))</f>
        <v>0.09</v>
      </c>
      <c r="AI32" s="5" t="str">
        <f aca="false">IF(OR(AF32="",AG32=""),"",IF($F32="Maior Melhor",IF(AG32&gt;=AF32,"Sim","Não"),IF(AG32&lt;=AF32,"Sim","Não")))</f>
        <v>Sim</v>
      </c>
      <c r="AJ32" s="3" t="n">
        <v>0.9</v>
      </c>
      <c r="AK32" s="3" t="n">
        <v>0.99</v>
      </c>
      <c r="AL32" s="4" t="n">
        <f aca="false">IF(OR(AJ32="",AK32=""),"",IFERROR(IF($K32="%",AK32-AJ32,AK32/AJ32-1),""))</f>
        <v>0.09</v>
      </c>
      <c r="AM32" s="5" t="str">
        <f aca="false">IF(OR(AJ32="",AK32=""),"",IF($F32="Maior Melhor",IF(AK32&gt;=AJ32,"Sim","Não"),IF(AK32&lt;=AJ32,"Sim","Não")))</f>
        <v>Sim</v>
      </c>
      <c r="AN32" s="3" t="n">
        <v>0.9</v>
      </c>
      <c r="AO32" s="3" t="n">
        <v>0.879213483</v>
      </c>
      <c r="AP32" s="4" t="n">
        <f aca="false">IF(OR(AN32="",AO32=""),"",IFERROR(IF($K32="%",AO32-AN32,AO32/AN32-1),""))</f>
        <v>-0.020786517</v>
      </c>
      <c r="AQ32" s="5" t="str">
        <f aca="false">IF(OR(AN32="",AO32=""),"",IF($F32="Maior Melhor",IF(AO32&gt;=AN32,"Sim","Não"),IF(AO32&lt;=AN32,"Sim","Não")))</f>
        <v>Não</v>
      </c>
      <c r="AR32" s="3" t="n">
        <v>0.9</v>
      </c>
      <c r="AS32" s="3" t="n">
        <v>0.879213483</v>
      </c>
      <c r="AT32" s="4" t="n">
        <f aca="false">IF(OR(AR32="",AS32=""),"",IFERROR(IF($K32="%",AS32-AR32,AS32/AR32-1),""))</f>
        <v>-0.020786517</v>
      </c>
      <c r="AU32" s="5" t="str">
        <f aca="false">IF(OR(AR32="",AS32=""),"",IF($F32="Maior Melhor",IF(AS32&gt;=AR32,"Sim","Não"),IF(AS32&lt;=AR32,"Sim","Não")))</f>
        <v>Não</v>
      </c>
      <c r="AV32" s="3" t="n">
        <v>0.9</v>
      </c>
      <c r="AW32" s="3" t="n">
        <v>0.978417266</v>
      </c>
      <c r="AX32" s="4" t="n">
        <f aca="false">IF(OR(AV32="",AW32=""),"",IFERROR(IF($K32="%",AW32-AV32,AW32/AV32-1),""))</f>
        <v>0.078417266</v>
      </c>
      <c r="AY32" s="5" t="str">
        <f aca="false">IF(OR(AV32="",AW32=""),"",IF($F32="Maior Melhor",IF(AW32&gt;=AV32,"Sim","Não"),IF(AW32&lt;=AV32,"Sim","Não")))</f>
        <v>Sim</v>
      </c>
      <c r="AZ32" s="3" t="n">
        <v>0.9</v>
      </c>
      <c r="BA32" s="3" t="n">
        <v>0.978417266</v>
      </c>
      <c r="BB32" s="4" t="n">
        <f aca="false">IF(OR(AZ32="",BA32=""),"",IFERROR(IF($K32="%",BA32-AZ32,BA32/AZ32-1),""))</f>
        <v>0.078417266</v>
      </c>
      <c r="BC32" s="5" t="str">
        <f aca="false">IF(OR(AZ32="",BA32=""),"",IF($F32="Maior Melhor",IF(BA32&gt;=AZ32,"Sim","Não"),IF(BA32&lt;=AZ32,"Sim","Não")))</f>
        <v>Sim</v>
      </c>
      <c r="BD32" s="3" t="n">
        <v>0.9</v>
      </c>
      <c r="BE32" s="3" t="n">
        <v>0.9799</v>
      </c>
      <c r="BF32" s="4" t="n">
        <f aca="false">IF(OR(BD32="",BE32=""),"",IFERROR(IF($K32="%",BE32-BD32,BE32/BD32-1),""))</f>
        <v>0.0799</v>
      </c>
      <c r="BG32" s="5" t="str">
        <f aca="false">IF(OR(BD32="",BE32=""),"",IF($F32="Maior Melhor",IF(BE32&gt;=BD32,"Sim","Não"),IF(BE32&lt;=BD32,"Sim","Não")))</f>
        <v>Sim</v>
      </c>
      <c r="BH32" s="3" t="n">
        <v>0.9</v>
      </c>
      <c r="BI32" s="3" t="n">
        <v>0.9799</v>
      </c>
      <c r="BJ32" s="4" t="n">
        <f aca="false">IF(OR(BH32="",BI32=""),"",IFERROR(IF($K32="%",BI32-BH32,BI32/BH32-1),""))</f>
        <v>0.0799</v>
      </c>
      <c r="BK32" s="5" t="str">
        <f aca="false">IF(OR(BH32="",BI32=""),"",IF($F32="Maior Melhor",IF(BI32&gt;=BH32,"Sim","Não"),IF(BI32&lt;=BH32,"Sim","Não")))</f>
        <v>Sim</v>
      </c>
      <c r="BL32" s="6"/>
      <c r="BM32" s="6"/>
      <c r="BN32" s="4" t="str">
        <f aca="false">IF(OR(BL32="",BM32=""),"",IFERROR(IF($K32="%",BM32-BL32,BM32/BL32-1),""))</f>
        <v/>
      </c>
      <c r="BO32" s="5" t="str">
        <f aca="false">IF(OR(BL32="",BM32=""),"",IF($F32="Maior Melhor",IF(BM32&gt;=BL32,"Sim","Não"),IF(BM32&lt;=BL32,"Sim","Não")))</f>
        <v/>
      </c>
      <c r="BP32" s="6"/>
      <c r="BQ32" s="6"/>
      <c r="BR32" s="4" t="str">
        <f aca="false">IF(OR(BP32="",BQ32=""),"",IFERROR(IF($K32="%",BQ32-BP32,BQ32/BP32-1),""))</f>
        <v/>
      </c>
      <c r="BS32" s="5" t="str">
        <f aca="false">IF(OR(BP32="",BQ32=""),"",IF($F32="Maior Melhor",IF(BQ32&gt;=BP32,"Sim","Não"),IF(BQ32&lt;=BP32,"Sim","Não")))</f>
        <v/>
      </c>
      <c r="BT32" s="6"/>
      <c r="BU32" s="6"/>
      <c r="BV32" s="4" t="str">
        <f aca="false">IF(OR(BT32="",BU32=""),"",IFERROR(IF($K32="%",BU32-BT32,BU32/BT32-1),""))</f>
        <v/>
      </c>
      <c r="BW32" s="5" t="str">
        <f aca="false">IF(OR(BT32="",BU32=""),"",IF($F32="Maior Melhor",IF(BU32&gt;=BT32,"Sim","Não"),IF(BU32&lt;=BT32,"Sim","Não")))</f>
        <v/>
      </c>
      <c r="BX32" s="6"/>
      <c r="BY32" s="6"/>
      <c r="BZ32" s="4" t="str">
        <f aca="false">IF(OR(BX32="",BY32=""),"",IFERROR(IF($K32="%",BY32-BX32,BY32/BX32-1),""))</f>
        <v/>
      </c>
      <c r="CA32" s="5" t="str">
        <f aca="false">IF(OR(BX32="",BY32=""),"",IF($F32="Maior Melhor",IF(BY32&gt;=BX32,"Sim","Não"),IF(BY32&lt;=BX32,"Sim","Não")))</f>
        <v/>
      </c>
      <c r="CB32" s="6"/>
      <c r="CC32" s="6"/>
      <c r="CD32" s="4" t="str">
        <f aca="false">IF(OR(CB32="",CC32=""),"",IFERROR(IF($K32="%",CC32-CB32,CC32/CB32-1),""))</f>
        <v/>
      </c>
      <c r="CE32" s="5" t="str">
        <f aca="false">IF(OR(CB32="",CC32=""),"",IF($F32="Maior Melhor",IF(CC32&gt;=CB32,"Sim","Não"),IF(CC32&lt;=CB32,"Sim","Não")))</f>
        <v/>
      </c>
      <c r="CF32" s="6"/>
      <c r="CG32" s="6"/>
      <c r="CH32" s="4" t="str">
        <f aca="false">IF(OR(CF32="",CG32=""),"",IFERROR(IF($K32="%",CG32-CF32,CG32/CF32-1),""))</f>
        <v/>
      </c>
      <c r="CI32" s="5" t="str">
        <f aca="false">IF(OR(CF32="",CG32=""),"",IF($F32="Maior Melhor",IF(CG32&gt;=CF32,"Sim","Não"),IF(CG32&lt;=CF32,"Sim","Não")))</f>
        <v/>
      </c>
      <c r="CJ32" s="6"/>
      <c r="CK32" s="6"/>
      <c r="CL32" s="4" t="str">
        <f aca="false">IF(OR(CJ32="",CK32=""),"",IFERROR(IF($K32="%",CK32-CJ32,CK32/CJ32-1),""))</f>
        <v/>
      </c>
      <c r="CM32" s="5" t="str">
        <f aca="false">IF(OR(CJ32="",CK32=""),"",IF($F32="Maior Melhor",IF(CK32&gt;=CJ32,"Sim","Não"),IF(CK32&lt;=CJ32,"Sim","Não")))</f>
        <v/>
      </c>
      <c r="CN32" s="6"/>
      <c r="CO32" s="6"/>
      <c r="CP32" s="4" t="str">
        <f aca="false">IF(OR(CN32="",CO32=""),"",IFERROR(IF($K32="%",CO32-CN32,CO32/CN32-1),""))</f>
        <v/>
      </c>
      <c r="CQ32" s="5" t="str">
        <f aca="false">IF(OR(CN32="",CO32=""),"",IF($F32="Maior Melhor",IF(CO32&gt;=CN32,"Sim","Não"),IF(CO32&lt;=CN32,"Sim","Não")))</f>
        <v/>
      </c>
      <c r="CR32" s="2" t="s">
        <v>105</v>
      </c>
    </row>
    <row r="33" customFormat="false" ht="15" hidden="false" customHeight="false" outlineLevel="0" collapsed="false">
      <c r="A33" s="2" t="s">
        <v>96</v>
      </c>
      <c r="B33" s="2" t="s">
        <v>97</v>
      </c>
      <c r="C33" s="2" t="s">
        <v>126</v>
      </c>
      <c r="D33" s="2" t="s">
        <v>132</v>
      </c>
      <c r="E33" s="2" t="str">
        <f aca="false">C33&amp;D33</f>
        <v>UTD LIVRAMENTO DE NOSSA SENHORAAderência do medidor e ramal</v>
      </c>
      <c r="F33" s="2" t="s">
        <v>100</v>
      </c>
      <c r="G33" s="2" t="s">
        <v>133</v>
      </c>
      <c r="H33" s="2" t="s">
        <v>102</v>
      </c>
      <c r="I33" s="2" t="s">
        <v>103</v>
      </c>
      <c r="J33" s="2" t="n">
        <v>1</v>
      </c>
      <c r="K33" s="2" t="s">
        <v>104</v>
      </c>
      <c r="L33" s="3" t="n">
        <v>0.9</v>
      </c>
      <c r="M33" s="3" t="n">
        <v>0.9545</v>
      </c>
      <c r="N33" s="4" t="n">
        <f aca="false">IF(OR(L33="",M33=""),"",IFERROR(IF($K33="%",M33-L33,M33/L33-1),""))</f>
        <v>0.0545</v>
      </c>
      <c r="O33" s="5" t="str">
        <f aca="false">IF(OR(L33="",M33=""),"",IF($F33="Maior Melhor",IF(M33&gt;=L33,"Sim","Não"),IF(M33&lt;=L33,"Sim","Não")))</f>
        <v>Sim</v>
      </c>
      <c r="P33" s="3" t="n">
        <v>0.9</v>
      </c>
      <c r="Q33" s="3" t="n">
        <v>0.9818</v>
      </c>
      <c r="R33" s="4" t="n">
        <f aca="false">IF(OR(P33="",Q33=""),"",IFERROR(IF($K33="%",Q33-P33,Q33/P33-1),""))</f>
        <v>0.0818</v>
      </c>
      <c r="S33" s="5" t="str">
        <f aca="false">IF(OR(P33="",Q33=""),"",IF($F33="Maior Melhor",IF(Q33&gt;=P33,"Sim","Não"),IF(Q33&lt;=P33,"Sim","Não")))</f>
        <v>Sim</v>
      </c>
      <c r="T33" s="3" t="n">
        <v>0.9</v>
      </c>
      <c r="U33" s="3" t="n">
        <v>0.9947</v>
      </c>
      <c r="V33" s="4" t="n">
        <f aca="false">IF(OR(T33="",U33=""),"",IFERROR(IF($K33="%",U33-T33,U33/T33-1),""))</f>
        <v>0.0947</v>
      </c>
      <c r="W33" s="5" t="str">
        <f aca="false">IF(OR(T33="",U33=""),"",IF($F33="Maior Melhor",IF(U33&gt;=T33,"Sim","Não"),IF(U33&lt;=T33,"Sim","Não")))</f>
        <v>Sim</v>
      </c>
      <c r="X33" s="3" t="n">
        <v>0.9</v>
      </c>
      <c r="Y33" s="3" t="n">
        <v>0.9808</v>
      </c>
      <c r="Z33" s="4" t="n">
        <f aca="false">IF(OR(X33="",Y33=""),"",IFERROR(IF($K33="%",Y33-X33,Y33/X33-1),""))</f>
        <v>0.0808</v>
      </c>
      <c r="AA33" s="5" t="str">
        <f aca="false">IF(OR(X33="",Y33=""),"",IF($F33="Maior Melhor",IF(Y33&gt;=X33,"Sim","Não"),IF(Y33&lt;=X33,"Sim","Não")))</f>
        <v>Sim</v>
      </c>
      <c r="AB33" s="3" t="n">
        <v>0.9</v>
      </c>
      <c r="AC33" s="3" t="n">
        <v>0.9808</v>
      </c>
      <c r="AD33" s="4" t="n">
        <f aca="false">IF(OR(AB33="",AC33=""),"",IFERROR(IF($K33="%",AC33-AB33,AC33/AB33-1),""))</f>
        <v>0.0808</v>
      </c>
      <c r="AE33" s="5" t="str">
        <f aca="false">IF(OR(AB33="",AC33=""),"",IF($F33="Maior Melhor",IF(AC33&gt;=AB33,"Sim","Não"),IF(AC33&lt;=AB33,"Sim","Não")))</f>
        <v>Sim</v>
      </c>
      <c r="AF33" s="3" t="n">
        <v>0.9</v>
      </c>
      <c r="AG33" s="3" t="n">
        <v>1</v>
      </c>
      <c r="AH33" s="4" t="n">
        <f aca="false">IF(OR(AF33="",AG33=""),"",IFERROR(IF($K33="%",AG33-AF33,AG33/AF33-1),""))</f>
        <v>0.1</v>
      </c>
      <c r="AI33" s="5" t="str">
        <f aca="false">IF(OR(AF33="",AG33=""),"",IF($F33="Maior Melhor",IF(AG33&gt;=AF33,"Sim","Não"),IF(AG33&lt;=AF33,"Sim","Não")))</f>
        <v>Sim</v>
      </c>
      <c r="AJ33" s="3" t="n">
        <v>0.9</v>
      </c>
      <c r="AK33" s="3" t="n">
        <v>1</v>
      </c>
      <c r="AL33" s="4" t="n">
        <f aca="false">IF(OR(AJ33="",AK33=""),"",IFERROR(IF($K33="%",AK33-AJ33,AK33/AJ33-1),""))</f>
        <v>0.1</v>
      </c>
      <c r="AM33" s="5" t="str">
        <f aca="false">IF(OR(AJ33="",AK33=""),"",IF($F33="Maior Melhor",IF(AK33&gt;=AJ33,"Sim","Não"),IF(AK33&lt;=AJ33,"Sim","Não")))</f>
        <v>Sim</v>
      </c>
      <c r="AN33" s="3" t="n">
        <v>0.9</v>
      </c>
      <c r="AO33" s="3" t="n">
        <v>0.957364341</v>
      </c>
      <c r="AP33" s="4" t="n">
        <f aca="false">IF(OR(AN33="",AO33=""),"",IFERROR(IF($K33="%",AO33-AN33,AO33/AN33-1),""))</f>
        <v>0.057364341</v>
      </c>
      <c r="AQ33" s="5" t="str">
        <f aca="false">IF(OR(AN33="",AO33=""),"",IF($F33="Maior Melhor",IF(AO33&gt;=AN33,"Sim","Não"),IF(AO33&lt;=AN33,"Sim","Não")))</f>
        <v>Sim</v>
      </c>
      <c r="AR33" s="3" t="n">
        <v>0.9</v>
      </c>
      <c r="AS33" s="3" t="n">
        <v>0.957364341</v>
      </c>
      <c r="AT33" s="4" t="n">
        <f aca="false">IF(OR(AR33="",AS33=""),"",IFERROR(IF($K33="%",AS33-AR33,AS33/AR33-1),""))</f>
        <v>0.057364341</v>
      </c>
      <c r="AU33" s="5" t="str">
        <f aca="false">IF(OR(AR33="",AS33=""),"",IF($F33="Maior Melhor",IF(AS33&gt;=AR33,"Sim","Não"),IF(AS33&lt;=AR33,"Sim","Não")))</f>
        <v>Sim</v>
      </c>
      <c r="AV33" s="3" t="n">
        <v>0.9</v>
      </c>
      <c r="AW33" s="3" t="n">
        <v>0.971631206</v>
      </c>
      <c r="AX33" s="4" t="n">
        <f aca="false">IF(OR(AV33="",AW33=""),"",IFERROR(IF($K33="%",AW33-AV33,AW33/AV33-1),""))</f>
        <v>0.071631206</v>
      </c>
      <c r="AY33" s="5" t="str">
        <f aca="false">IF(OR(AV33="",AW33=""),"",IF($F33="Maior Melhor",IF(AW33&gt;=AV33,"Sim","Não"),IF(AW33&lt;=AV33,"Sim","Não")))</f>
        <v>Sim</v>
      </c>
      <c r="AZ33" s="3" t="n">
        <v>0.9</v>
      </c>
      <c r="BA33" s="3" t="n">
        <v>0.971631206</v>
      </c>
      <c r="BB33" s="4" t="n">
        <f aca="false">IF(OR(AZ33="",BA33=""),"",IFERROR(IF($K33="%",BA33-AZ33,BA33/AZ33-1),""))</f>
        <v>0.071631206</v>
      </c>
      <c r="BC33" s="5" t="str">
        <f aca="false">IF(OR(AZ33="",BA33=""),"",IF($F33="Maior Melhor",IF(BA33&gt;=AZ33,"Sim","Não"),IF(BA33&lt;=AZ33,"Sim","Não")))</f>
        <v>Sim</v>
      </c>
      <c r="BD33" s="3" t="n">
        <v>0.9</v>
      </c>
      <c r="BE33" s="3" t="n">
        <v>0.9403</v>
      </c>
      <c r="BF33" s="4" t="n">
        <f aca="false">IF(OR(BD33="",BE33=""),"",IFERROR(IF($K33="%",BE33-BD33,BE33/BD33-1),""))</f>
        <v>0.0403</v>
      </c>
      <c r="BG33" s="5" t="str">
        <f aca="false">IF(OR(BD33="",BE33=""),"",IF($F33="Maior Melhor",IF(BE33&gt;=BD33,"Sim","Não"),IF(BE33&lt;=BD33,"Sim","Não")))</f>
        <v>Sim</v>
      </c>
      <c r="BH33" s="3" t="n">
        <v>0.9</v>
      </c>
      <c r="BI33" s="3" t="n">
        <v>0.9403</v>
      </c>
      <c r="BJ33" s="4" t="n">
        <f aca="false">IF(OR(BH33="",BI33=""),"",IFERROR(IF($K33="%",BI33-BH33,BI33/BH33-1),""))</f>
        <v>0.0403</v>
      </c>
      <c r="BK33" s="5" t="str">
        <f aca="false">IF(OR(BH33="",BI33=""),"",IF($F33="Maior Melhor",IF(BI33&gt;=BH33,"Sim","Não"),IF(BI33&lt;=BH33,"Sim","Não")))</f>
        <v>Sim</v>
      </c>
      <c r="BL33" s="6"/>
      <c r="BM33" s="6"/>
      <c r="BN33" s="4" t="str">
        <f aca="false">IF(OR(BL33="",BM33=""),"",IFERROR(IF($K33="%",BM33-BL33,BM33/BL33-1),""))</f>
        <v/>
      </c>
      <c r="BO33" s="5" t="str">
        <f aca="false">IF(OR(BL33="",BM33=""),"",IF($F33="Maior Melhor",IF(BM33&gt;=BL33,"Sim","Não"),IF(BM33&lt;=BL33,"Sim","Não")))</f>
        <v/>
      </c>
      <c r="BP33" s="6"/>
      <c r="BQ33" s="6"/>
      <c r="BR33" s="4" t="str">
        <f aca="false">IF(OR(BP33="",BQ33=""),"",IFERROR(IF($K33="%",BQ33-BP33,BQ33/BP33-1),""))</f>
        <v/>
      </c>
      <c r="BS33" s="5" t="str">
        <f aca="false">IF(OR(BP33="",BQ33=""),"",IF($F33="Maior Melhor",IF(BQ33&gt;=BP33,"Sim","Não"),IF(BQ33&lt;=BP33,"Sim","Não")))</f>
        <v/>
      </c>
      <c r="BT33" s="6"/>
      <c r="BU33" s="6"/>
      <c r="BV33" s="4" t="str">
        <f aca="false">IF(OR(BT33="",BU33=""),"",IFERROR(IF($K33="%",BU33-BT33,BU33/BT33-1),""))</f>
        <v/>
      </c>
      <c r="BW33" s="5" t="str">
        <f aca="false">IF(OR(BT33="",BU33=""),"",IF($F33="Maior Melhor",IF(BU33&gt;=BT33,"Sim","Não"),IF(BU33&lt;=BT33,"Sim","Não")))</f>
        <v/>
      </c>
      <c r="BX33" s="6"/>
      <c r="BY33" s="6"/>
      <c r="BZ33" s="4" t="str">
        <f aca="false">IF(OR(BX33="",BY33=""),"",IFERROR(IF($K33="%",BY33-BX33,BY33/BX33-1),""))</f>
        <v/>
      </c>
      <c r="CA33" s="5" t="str">
        <f aca="false">IF(OR(BX33="",BY33=""),"",IF($F33="Maior Melhor",IF(BY33&gt;=BX33,"Sim","Não"),IF(BY33&lt;=BX33,"Sim","Não")))</f>
        <v/>
      </c>
      <c r="CB33" s="6"/>
      <c r="CC33" s="6"/>
      <c r="CD33" s="4" t="str">
        <f aca="false">IF(OR(CB33="",CC33=""),"",IFERROR(IF($K33="%",CC33-CB33,CC33/CB33-1),""))</f>
        <v/>
      </c>
      <c r="CE33" s="5" t="str">
        <f aca="false">IF(OR(CB33="",CC33=""),"",IF($F33="Maior Melhor",IF(CC33&gt;=CB33,"Sim","Não"),IF(CC33&lt;=CB33,"Sim","Não")))</f>
        <v/>
      </c>
      <c r="CF33" s="6"/>
      <c r="CG33" s="6"/>
      <c r="CH33" s="4" t="str">
        <f aca="false">IF(OR(CF33="",CG33=""),"",IFERROR(IF($K33="%",CG33-CF33,CG33/CF33-1),""))</f>
        <v/>
      </c>
      <c r="CI33" s="5" t="str">
        <f aca="false">IF(OR(CF33="",CG33=""),"",IF($F33="Maior Melhor",IF(CG33&gt;=CF33,"Sim","Não"),IF(CG33&lt;=CF33,"Sim","Não")))</f>
        <v/>
      </c>
      <c r="CJ33" s="6"/>
      <c r="CK33" s="6"/>
      <c r="CL33" s="4" t="str">
        <f aca="false">IF(OR(CJ33="",CK33=""),"",IFERROR(IF($K33="%",CK33-CJ33,CK33/CJ33-1),""))</f>
        <v/>
      </c>
      <c r="CM33" s="5" t="str">
        <f aca="false">IF(OR(CJ33="",CK33=""),"",IF($F33="Maior Melhor",IF(CK33&gt;=CJ33,"Sim","Não"),IF(CK33&lt;=CJ33,"Sim","Não")))</f>
        <v/>
      </c>
      <c r="CN33" s="6"/>
      <c r="CO33" s="6"/>
      <c r="CP33" s="4" t="str">
        <f aca="false">IF(OR(CN33="",CO33=""),"",IFERROR(IF($K33="%",CO33-CN33,CO33/CN33-1),""))</f>
        <v/>
      </c>
      <c r="CQ33" s="5" t="str">
        <f aca="false">IF(OR(CN33="",CO33=""),"",IF($F33="Maior Melhor",IF(CO33&gt;=CN33,"Sim","Não"),IF(CO33&lt;=CN33,"Sim","Não")))</f>
        <v/>
      </c>
      <c r="CR33" s="2" t="s">
        <v>105</v>
      </c>
    </row>
    <row r="34" customFormat="false" ht="15" hidden="false" customHeight="false" outlineLevel="0" collapsed="false">
      <c r="A34" s="2" t="s">
        <v>96</v>
      </c>
      <c r="B34" s="2" t="s">
        <v>106</v>
      </c>
      <c r="C34" s="2" t="s">
        <v>127</v>
      </c>
      <c r="D34" s="2" t="s">
        <v>132</v>
      </c>
      <c r="E34" s="2" t="str">
        <f aca="false">C34&amp;D34</f>
        <v>UTD LUIS EDUARDO MAGALHAESAderência do medidor e ramal</v>
      </c>
      <c r="F34" s="2" t="s">
        <v>100</v>
      </c>
      <c r="G34" s="2" t="s">
        <v>133</v>
      </c>
      <c r="H34" s="2" t="s">
        <v>102</v>
      </c>
      <c r="I34" s="2" t="s">
        <v>103</v>
      </c>
      <c r="J34" s="2" t="n">
        <v>1</v>
      </c>
      <c r="K34" s="2" t="s">
        <v>104</v>
      </c>
      <c r="L34" s="3" t="n">
        <v>0.9</v>
      </c>
      <c r="M34" s="3" t="n">
        <v>1</v>
      </c>
      <c r="N34" s="4" t="n">
        <f aca="false">IF(OR(L34="",M34=""),"",IFERROR(IF($K34="%",M34-L34,M34/L34-1),""))</f>
        <v>0.1</v>
      </c>
      <c r="O34" s="5" t="str">
        <f aca="false">IF(OR(L34="",M34=""),"",IF($F34="Maior Melhor",IF(M34&gt;=L34,"Sim","Não"),IF(M34&lt;=L34,"Sim","Não")))</f>
        <v>Sim</v>
      </c>
      <c r="P34" s="3" t="n">
        <v>0.9</v>
      </c>
      <c r="Q34" s="3" t="n">
        <v>0.2843</v>
      </c>
      <c r="R34" s="4" t="n">
        <f aca="false">IF(OR(P34="",Q34=""),"",IFERROR(IF($K34="%",Q34-P34,Q34/P34-1),""))</f>
        <v>-0.6157</v>
      </c>
      <c r="S34" s="5" t="str">
        <f aca="false">IF(OR(P34="",Q34=""),"",IF($F34="Maior Melhor",IF(Q34&gt;=P34,"Sim","Não"),IF(Q34&lt;=P34,"Sim","Não")))</f>
        <v>Não</v>
      </c>
      <c r="T34" s="3" t="n">
        <v>0.9</v>
      </c>
      <c r="U34" s="3" t="n">
        <v>0.8628</v>
      </c>
      <c r="V34" s="4" t="n">
        <f aca="false">IF(OR(T34="",U34=""),"",IFERROR(IF($K34="%",U34-T34,U34/T34-1),""))</f>
        <v>-0.0372</v>
      </c>
      <c r="W34" s="5" t="str">
        <f aca="false">IF(OR(T34="",U34=""),"",IF($F34="Maior Melhor",IF(U34&gt;=T34,"Sim","Não"),IF(U34&lt;=T34,"Sim","Não")))</f>
        <v>Não</v>
      </c>
      <c r="X34" s="3" t="n">
        <v>0.9</v>
      </c>
      <c r="Y34" s="3" t="n">
        <v>0.9667</v>
      </c>
      <c r="Z34" s="4" t="n">
        <f aca="false">IF(OR(X34="",Y34=""),"",IFERROR(IF($K34="%",Y34-X34,Y34/X34-1),""))</f>
        <v>0.0667</v>
      </c>
      <c r="AA34" s="5" t="str">
        <f aca="false">IF(OR(X34="",Y34=""),"",IF($F34="Maior Melhor",IF(Y34&gt;=X34,"Sim","Não"),IF(Y34&lt;=X34,"Sim","Não")))</f>
        <v>Sim</v>
      </c>
      <c r="AB34" s="3" t="n">
        <v>0.9</v>
      </c>
      <c r="AC34" s="3" t="n">
        <v>0.9667</v>
      </c>
      <c r="AD34" s="4" t="n">
        <f aca="false">IF(OR(AB34="",AC34=""),"",IFERROR(IF($K34="%",AC34-AB34,AC34/AB34-1),""))</f>
        <v>0.0667</v>
      </c>
      <c r="AE34" s="5" t="str">
        <f aca="false">IF(OR(AB34="",AC34=""),"",IF($F34="Maior Melhor",IF(AC34&gt;=AB34,"Sim","Não"),IF(AC34&lt;=AB34,"Sim","Não")))</f>
        <v>Sim</v>
      </c>
      <c r="AF34" s="3" t="n">
        <v>0.9</v>
      </c>
      <c r="AG34" s="3" t="n">
        <v>0.93</v>
      </c>
      <c r="AH34" s="4" t="n">
        <f aca="false">IF(OR(AF34="",AG34=""),"",IFERROR(IF($K34="%",AG34-AF34,AG34/AF34-1),""))</f>
        <v>0.03</v>
      </c>
      <c r="AI34" s="5" t="str">
        <f aca="false">IF(OR(AF34="",AG34=""),"",IF($F34="Maior Melhor",IF(AG34&gt;=AF34,"Sim","Não"),IF(AG34&lt;=AF34,"Sim","Não")))</f>
        <v>Sim</v>
      </c>
      <c r="AJ34" s="3" t="n">
        <v>0.9</v>
      </c>
      <c r="AK34" s="3" t="n">
        <v>0.93</v>
      </c>
      <c r="AL34" s="4" t="n">
        <f aca="false">IF(OR(AJ34="",AK34=""),"",IFERROR(IF($K34="%",AK34-AJ34,AK34/AJ34-1),""))</f>
        <v>0.03</v>
      </c>
      <c r="AM34" s="5" t="str">
        <f aca="false">IF(OR(AJ34="",AK34=""),"",IF($F34="Maior Melhor",IF(AK34&gt;=AJ34,"Sim","Não"),IF(AK34&lt;=AJ34,"Sim","Não")))</f>
        <v>Sim</v>
      </c>
      <c r="AN34" s="3" t="n">
        <v>0.9</v>
      </c>
      <c r="AO34" s="3" t="n">
        <v>0.926070039</v>
      </c>
      <c r="AP34" s="4" t="n">
        <f aca="false">IF(OR(AN34="",AO34=""),"",IFERROR(IF($K34="%",AO34-AN34,AO34/AN34-1),""))</f>
        <v>0.0260700389999999</v>
      </c>
      <c r="AQ34" s="5" t="str">
        <f aca="false">IF(OR(AN34="",AO34=""),"",IF($F34="Maior Melhor",IF(AO34&gt;=AN34,"Sim","Não"),IF(AO34&lt;=AN34,"Sim","Não")))</f>
        <v>Sim</v>
      </c>
      <c r="AR34" s="3" t="n">
        <v>0.9</v>
      </c>
      <c r="AS34" s="3" t="n">
        <v>0.926070039</v>
      </c>
      <c r="AT34" s="4" t="n">
        <f aca="false">IF(OR(AR34="",AS34=""),"",IFERROR(IF($K34="%",AS34-AR34,AS34/AR34-1),""))</f>
        <v>0.0260700389999999</v>
      </c>
      <c r="AU34" s="5" t="str">
        <f aca="false">IF(OR(AR34="",AS34=""),"",IF($F34="Maior Melhor",IF(AS34&gt;=AR34,"Sim","Não"),IF(AS34&lt;=AR34,"Sim","Não")))</f>
        <v>Sim</v>
      </c>
      <c r="AV34" s="3" t="n">
        <v>0.9</v>
      </c>
      <c r="AW34" s="3" t="n">
        <v>0.937546468</v>
      </c>
      <c r="AX34" s="4" t="n">
        <f aca="false">IF(OR(AV34="",AW34=""),"",IFERROR(IF($K34="%",AW34-AV34,AW34/AV34-1),""))</f>
        <v>0.0375464679999999</v>
      </c>
      <c r="AY34" s="5" t="str">
        <f aca="false">IF(OR(AV34="",AW34=""),"",IF($F34="Maior Melhor",IF(AW34&gt;=AV34,"Sim","Não"),IF(AW34&lt;=AV34,"Sim","Não")))</f>
        <v>Sim</v>
      </c>
      <c r="AZ34" s="3" t="n">
        <v>0.9</v>
      </c>
      <c r="BA34" s="3" t="n">
        <v>0.937546468</v>
      </c>
      <c r="BB34" s="4" t="n">
        <f aca="false">IF(OR(AZ34="",BA34=""),"",IFERROR(IF($K34="%",BA34-AZ34,BA34/AZ34-1),""))</f>
        <v>0.0375464679999999</v>
      </c>
      <c r="BC34" s="5" t="str">
        <f aca="false">IF(OR(AZ34="",BA34=""),"",IF($F34="Maior Melhor",IF(BA34&gt;=AZ34,"Sim","Não"),IF(BA34&lt;=AZ34,"Sim","Não")))</f>
        <v>Sim</v>
      </c>
      <c r="BD34" s="3" t="n">
        <v>0.9</v>
      </c>
      <c r="BE34" s="3" t="n">
        <v>0.9932</v>
      </c>
      <c r="BF34" s="4" t="n">
        <f aca="false">IF(OR(BD34="",BE34=""),"",IFERROR(IF($K34="%",BE34-BD34,BE34/BD34-1),""))</f>
        <v>0.0932</v>
      </c>
      <c r="BG34" s="5" t="str">
        <f aca="false">IF(OR(BD34="",BE34=""),"",IF($F34="Maior Melhor",IF(BE34&gt;=BD34,"Sim","Não"),IF(BE34&lt;=BD34,"Sim","Não")))</f>
        <v>Sim</v>
      </c>
      <c r="BH34" s="3" t="n">
        <v>0.9</v>
      </c>
      <c r="BI34" s="3" t="n">
        <v>0.9932</v>
      </c>
      <c r="BJ34" s="4" t="n">
        <f aca="false">IF(OR(BH34="",BI34=""),"",IFERROR(IF($K34="%",BI34-BH34,BI34/BH34-1),""))</f>
        <v>0.0932</v>
      </c>
      <c r="BK34" s="5" t="str">
        <f aca="false">IF(OR(BH34="",BI34=""),"",IF($F34="Maior Melhor",IF(BI34&gt;=BH34,"Sim","Não"),IF(BI34&lt;=BH34,"Sim","Não")))</f>
        <v>Sim</v>
      </c>
      <c r="BL34" s="6"/>
      <c r="BM34" s="6"/>
      <c r="BN34" s="4" t="str">
        <f aca="false">IF(OR(BL34="",BM34=""),"",IFERROR(IF($K34="%",BM34-BL34,BM34/BL34-1),""))</f>
        <v/>
      </c>
      <c r="BO34" s="5" t="str">
        <f aca="false">IF(OR(BL34="",BM34=""),"",IF($F34="Maior Melhor",IF(BM34&gt;=BL34,"Sim","Não"),IF(BM34&lt;=BL34,"Sim","Não")))</f>
        <v/>
      </c>
      <c r="BP34" s="6"/>
      <c r="BQ34" s="6"/>
      <c r="BR34" s="4" t="str">
        <f aca="false">IF(OR(BP34="",BQ34=""),"",IFERROR(IF($K34="%",BQ34-BP34,BQ34/BP34-1),""))</f>
        <v/>
      </c>
      <c r="BS34" s="5" t="str">
        <f aca="false">IF(OR(BP34="",BQ34=""),"",IF($F34="Maior Melhor",IF(BQ34&gt;=BP34,"Sim","Não"),IF(BQ34&lt;=BP34,"Sim","Não")))</f>
        <v/>
      </c>
      <c r="BT34" s="6"/>
      <c r="BU34" s="6"/>
      <c r="BV34" s="4" t="str">
        <f aca="false">IF(OR(BT34="",BU34=""),"",IFERROR(IF($K34="%",BU34-BT34,BU34/BT34-1),""))</f>
        <v/>
      </c>
      <c r="BW34" s="5" t="str">
        <f aca="false">IF(OR(BT34="",BU34=""),"",IF($F34="Maior Melhor",IF(BU34&gt;=BT34,"Sim","Não"),IF(BU34&lt;=BT34,"Sim","Não")))</f>
        <v/>
      </c>
      <c r="BX34" s="6"/>
      <c r="BY34" s="6"/>
      <c r="BZ34" s="4" t="str">
        <f aca="false">IF(OR(BX34="",BY34=""),"",IFERROR(IF($K34="%",BY34-BX34,BY34/BX34-1),""))</f>
        <v/>
      </c>
      <c r="CA34" s="5" t="str">
        <f aca="false">IF(OR(BX34="",BY34=""),"",IF($F34="Maior Melhor",IF(BY34&gt;=BX34,"Sim","Não"),IF(BY34&lt;=BX34,"Sim","Não")))</f>
        <v/>
      </c>
      <c r="CB34" s="6"/>
      <c r="CC34" s="6"/>
      <c r="CD34" s="4" t="str">
        <f aca="false">IF(OR(CB34="",CC34=""),"",IFERROR(IF($K34="%",CC34-CB34,CC34/CB34-1),""))</f>
        <v/>
      </c>
      <c r="CE34" s="5" t="str">
        <f aca="false">IF(OR(CB34="",CC34=""),"",IF($F34="Maior Melhor",IF(CC34&gt;=CB34,"Sim","Não"),IF(CC34&lt;=CB34,"Sim","Não")))</f>
        <v/>
      </c>
      <c r="CF34" s="6"/>
      <c r="CG34" s="6"/>
      <c r="CH34" s="4" t="str">
        <f aca="false">IF(OR(CF34="",CG34=""),"",IFERROR(IF($K34="%",CG34-CF34,CG34/CF34-1),""))</f>
        <v/>
      </c>
      <c r="CI34" s="5" t="str">
        <f aca="false">IF(OR(CF34="",CG34=""),"",IF($F34="Maior Melhor",IF(CG34&gt;=CF34,"Sim","Não"),IF(CG34&lt;=CF34,"Sim","Não")))</f>
        <v/>
      </c>
      <c r="CJ34" s="6"/>
      <c r="CK34" s="6"/>
      <c r="CL34" s="4" t="str">
        <f aca="false">IF(OR(CJ34="",CK34=""),"",IFERROR(IF($K34="%",CK34-CJ34,CK34/CJ34-1),""))</f>
        <v/>
      </c>
      <c r="CM34" s="5" t="str">
        <f aca="false">IF(OR(CJ34="",CK34=""),"",IF($F34="Maior Melhor",IF(CK34&gt;=CJ34,"Sim","Não"),IF(CK34&lt;=CJ34,"Sim","Não")))</f>
        <v/>
      </c>
      <c r="CN34" s="6"/>
      <c r="CO34" s="6"/>
      <c r="CP34" s="4" t="str">
        <f aca="false">IF(OR(CN34="",CO34=""),"",IFERROR(IF($K34="%",CO34-CN34,CO34/CN34-1),""))</f>
        <v/>
      </c>
      <c r="CQ34" s="5" t="str">
        <f aca="false">IF(OR(CN34="",CO34=""),"",IF($F34="Maior Melhor",IF(CO34&gt;=CN34,"Sim","Não"),IF(CO34&lt;=CN34,"Sim","Não")))</f>
        <v/>
      </c>
      <c r="CR34" s="2" t="s">
        <v>105</v>
      </c>
    </row>
    <row r="35" customFormat="false" ht="15" hidden="false" customHeight="false" outlineLevel="0" collapsed="false">
      <c r="A35" s="2" t="s">
        <v>96</v>
      </c>
      <c r="B35" s="2" t="s">
        <v>106</v>
      </c>
      <c r="C35" s="2" t="s">
        <v>128</v>
      </c>
      <c r="D35" s="2" t="s">
        <v>132</v>
      </c>
      <c r="E35" s="2" t="str">
        <f aca="false">C35&amp;D35</f>
        <v>UTD SANTA MARIA DA VITORIAAderência do medidor e ramal</v>
      </c>
      <c r="F35" s="2" t="s">
        <v>100</v>
      </c>
      <c r="G35" s="2" t="s">
        <v>133</v>
      </c>
      <c r="H35" s="2" t="s">
        <v>102</v>
      </c>
      <c r="I35" s="2" t="s">
        <v>103</v>
      </c>
      <c r="J35" s="2" t="n">
        <v>1</v>
      </c>
      <c r="K35" s="2" t="s">
        <v>104</v>
      </c>
      <c r="L35" s="3" t="n">
        <v>0.9</v>
      </c>
      <c r="M35" s="3" t="n">
        <v>0.45</v>
      </c>
      <c r="N35" s="4" t="n">
        <f aca="false">IF(OR(L35="",M35=""),"",IFERROR(IF($K35="%",M35-L35,M35/L35-1),""))</f>
        <v>-0.45</v>
      </c>
      <c r="O35" s="5" t="str">
        <f aca="false">IF(OR(L35="",M35=""),"",IF($F35="Maior Melhor",IF(M35&gt;=L35,"Sim","Não"),IF(M35&lt;=L35,"Sim","Não")))</f>
        <v>Não</v>
      </c>
      <c r="P35" s="3" t="n">
        <v>0.9</v>
      </c>
      <c r="Q35" s="3" t="n">
        <v>0.0989</v>
      </c>
      <c r="R35" s="4" t="n">
        <f aca="false">IF(OR(P35="",Q35=""),"",IFERROR(IF($K35="%",Q35-P35,Q35/P35-1),""))</f>
        <v>-0.8011</v>
      </c>
      <c r="S35" s="5" t="str">
        <f aca="false">IF(OR(P35="",Q35=""),"",IF($F35="Maior Melhor",IF(Q35&gt;=P35,"Sim","Não"),IF(Q35&lt;=P35,"Sim","Não")))</f>
        <v>Não</v>
      </c>
      <c r="T35" s="3" t="n">
        <v>0.9</v>
      </c>
      <c r="U35" s="3" t="n">
        <v>0.9091</v>
      </c>
      <c r="V35" s="4" t="n">
        <f aca="false">IF(OR(T35="",U35=""),"",IFERROR(IF($K35="%",U35-T35,U35/T35-1),""))</f>
        <v>0.0091</v>
      </c>
      <c r="W35" s="5" t="str">
        <f aca="false">IF(OR(T35="",U35=""),"",IF($F35="Maior Melhor",IF(U35&gt;=T35,"Sim","Não"),IF(U35&lt;=T35,"Sim","Não")))</f>
        <v>Sim</v>
      </c>
      <c r="X35" s="3" t="n">
        <v>0.9</v>
      </c>
      <c r="Y35" s="3" t="n">
        <v>0.9194</v>
      </c>
      <c r="Z35" s="4" t="n">
        <f aca="false">IF(OR(X35="",Y35=""),"",IFERROR(IF($K35="%",Y35-X35,Y35/X35-1),""))</f>
        <v>0.0194</v>
      </c>
      <c r="AA35" s="5" t="str">
        <f aca="false">IF(OR(X35="",Y35=""),"",IF($F35="Maior Melhor",IF(Y35&gt;=X35,"Sim","Não"),IF(Y35&lt;=X35,"Sim","Não")))</f>
        <v>Sim</v>
      </c>
      <c r="AB35" s="3" t="n">
        <v>0.9</v>
      </c>
      <c r="AC35" s="3" t="n">
        <v>0.9194</v>
      </c>
      <c r="AD35" s="4" t="n">
        <f aca="false">IF(OR(AB35="",AC35=""),"",IFERROR(IF($K35="%",AC35-AB35,AC35/AB35-1),""))</f>
        <v>0.0194</v>
      </c>
      <c r="AE35" s="5" t="str">
        <f aca="false">IF(OR(AB35="",AC35=""),"",IF($F35="Maior Melhor",IF(AC35&gt;=AB35,"Sim","Não"),IF(AC35&lt;=AB35,"Sim","Não")))</f>
        <v>Sim</v>
      </c>
      <c r="AF35" s="3" t="n">
        <v>0.9</v>
      </c>
      <c r="AG35" s="3" t="n">
        <v>0.61</v>
      </c>
      <c r="AH35" s="4" t="n">
        <f aca="false">IF(OR(AF35="",AG35=""),"",IFERROR(IF($K35="%",AG35-AF35,AG35/AF35-1),""))</f>
        <v>-0.29</v>
      </c>
      <c r="AI35" s="5" t="str">
        <f aca="false">IF(OR(AF35="",AG35=""),"",IF($F35="Maior Melhor",IF(AG35&gt;=AF35,"Sim","Não"),IF(AG35&lt;=AF35,"Sim","Não")))</f>
        <v>Não</v>
      </c>
      <c r="AJ35" s="3" t="n">
        <v>0.9</v>
      </c>
      <c r="AK35" s="3" t="n">
        <v>0.61</v>
      </c>
      <c r="AL35" s="4" t="n">
        <f aca="false">IF(OR(AJ35="",AK35=""),"",IFERROR(IF($K35="%",AK35-AJ35,AK35/AJ35-1),""))</f>
        <v>-0.29</v>
      </c>
      <c r="AM35" s="5" t="str">
        <f aca="false">IF(OR(AJ35="",AK35=""),"",IF($F35="Maior Melhor",IF(AK35&gt;=AJ35,"Sim","Não"),IF(AK35&lt;=AJ35,"Sim","Não")))</f>
        <v>Não</v>
      </c>
      <c r="AN35" s="3" t="n">
        <v>0.9</v>
      </c>
      <c r="AO35" s="3" t="n">
        <v>0.990610329</v>
      </c>
      <c r="AP35" s="4" t="n">
        <f aca="false">IF(OR(AN35="",AO35=""),"",IFERROR(IF($K35="%",AO35-AN35,AO35/AN35-1),""))</f>
        <v>0.090610329</v>
      </c>
      <c r="AQ35" s="5" t="str">
        <f aca="false">IF(OR(AN35="",AO35=""),"",IF($F35="Maior Melhor",IF(AO35&gt;=AN35,"Sim","Não"),IF(AO35&lt;=AN35,"Sim","Não")))</f>
        <v>Sim</v>
      </c>
      <c r="AR35" s="3" t="n">
        <v>0.9</v>
      </c>
      <c r="AS35" s="3" t="n">
        <v>0.990610329</v>
      </c>
      <c r="AT35" s="4" t="n">
        <f aca="false">IF(OR(AR35="",AS35=""),"",IFERROR(IF($K35="%",AS35-AR35,AS35/AR35-1),""))</f>
        <v>0.090610329</v>
      </c>
      <c r="AU35" s="5" t="str">
        <f aca="false">IF(OR(AR35="",AS35=""),"",IF($F35="Maior Melhor",IF(AS35&gt;=AR35,"Sim","Não"),IF(AS35&lt;=AR35,"Sim","Não")))</f>
        <v>Sim</v>
      </c>
      <c r="AV35" s="3" t="n">
        <v>0.9</v>
      </c>
      <c r="AW35" s="3" t="n">
        <v>1</v>
      </c>
      <c r="AX35" s="4" t="n">
        <f aca="false">IF(OR(AV35="",AW35=""),"",IFERROR(IF($K35="%",AW35-AV35,AW35/AV35-1),""))</f>
        <v>0.1</v>
      </c>
      <c r="AY35" s="5" t="str">
        <f aca="false">IF(OR(AV35="",AW35=""),"",IF($F35="Maior Melhor",IF(AW35&gt;=AV35,"Sim","Não"),IF(AW35&lt;=AV35,"Sim","Não")))</f>
        <v>Sim</v>
      </c>
      <c r="AZ35" s="3" t="n">
        <v>0.9</v>
      </c>
      <c r="BA35" s="3" t="n">
        <v>1</v>
      </c>
      <c r="BB35" s="4" t="n">
        <f aca="false">IF(OR(AZ35="",BA35=""),"",IFERROR(IF($K35="%",BA35-AZ35,BA35/AZ35-1),""))</f>
        <v>0.1</v>
      </c>
      <c r="BC35" s="5" t="str">
        <f aca="false">IF(OR(AZ35="",BA35=""),"",IF($F35="Maior Melhor",IF(BA35&gt;=AZ35,"Sim","Não"),IF(BA35&lt;=AZ35,"Sim","Não")))</f>
        <v>Sim</v>
      </c>
      <c r="BD35" s="3" t="n">
        <v>0.9</v>
      </c>
      <c r="BE35" s="3" t="n">
        <v>0.9639</v>
      </c>
      <c r="BF35" s="4" t="n">
        <f aca="false">IF(OR(BD35="",BE35=""),"",IFERROR(IF($K35="%",BE35-BD35,BE35/BD35-1),""))</f>
        <v>0.0639</v>
      </c>
      <c r="BG35" s="5" t="str">
        <f aca="false">IF(OR(BD35="",BE35=""),"",IF($F35="Maior Melhor",IF(BE35&gt;=BD35,"Sim","Não"),IF(BE35&lt;=BD35,"Sim","Não")))</f>
        <v>Sim</v>
      </c>
      <c r="BH35" s="3" t="n">
        <v>0.9</v>
      </c>
      <c r="BI35" s="3" t="n">
        <v>0.9639</v>
      </c>
      <c r="BJ35" s="4" t="n">
        <f aca="false">IF(OR(BH35="",BI35=""),"",IFERROR(IF($K35="%",BI35-BH35,BI35/BH35-1),""))</f>
        <v>0.0639</v>
      </c>
      <c r="BK35" s="5" t="str">
        <f aca="false">IF(OR(BH35="",BI35=""),"",IF($F35="Maior Melhor",IF(BI35&gt;=BH35,"Sim","Não"),IF(BI35&lt;=BH35,"Sim","Não")))</f>
        <v>Sim</v>
      </c>
      <c r="BL35" s="6"/>
      <c r="BM35" s="6"/>
      <c r="BN35" s="4" t="str">
        <f aca="false">IF(OR(BL35="",BM35=""),"",IFERROR(IF($K35="%",BM35-BL35,BM35/BL35-1),""))</f>
        <v/>
      </c>
      <c r="BO35" s="5" t="str">
        <f aca="false">IF(OR(BL35="",BM35=""),"",IF($F35="Maior Melhor",IF(BM35&gt;=BL35,"Sim","Não"),IF(BM35&lt;=BL35,"Sim","Não")))</f>
        <v/>
      </c>
      <c r="BP35" s="6"/>
      <c r="BQ35" s="6"/>
      <c r="BR35" s="4" t="str">
        <f aca="false">IF(OR(BP35="",BQ35=""),"",IFERROR(IF($K35="%",BQ35-BP35,BQ35/BP35-1),""))</f>
        <v/>
      </c>
      <c r="BS35" s="5" t="str">
        <f aca="false">IF(OR(BP35="",BQ35=""),"",IF($F35="Maior Melhor",IF(BQ35&gt;=BP35,"Sim","Não"),IF(BQ35&lt;=BP35,"Sim","Não")))</f>
        <v/>
      </c>
      <c r="BT35" s="6"/>
      <c r="BU35" s="6"/>
      <c r="BV35" s="4" t="str">
        <f aca="false">IF(OR(BT35="",BU35=""),"",IFERROR(IF($K35="%",BU35-BT35,BU35/BT35-1),""))</f>
        <v/>
      </c>
      <c r="BW35" s="5" t="str">
        <f aca="false">IF(OR(BT35="",BU35=""),"",IF($F35="Maior Melhor",IF(BU35&gt;=BT35,"Sim","Não"),IF(BU35&lt;=BT35,"Sim","Não")))</f>
        <v/>
      </c>
      <c r="BX35" s="6"/>
      <c r="BY35" s="6"/>
      <c r="BZ35" s="4" t="str">
        <f aca="false">IF(OR(BX35="",BY35=""),"",IFERROR(IF($K35="%",BY35-BX35,BY35/BX35-1),""))</f>
        <v/>
      </c>
      <c r="CA35" s="5" t="str">
        <f aca="false">IF(OR(BX35="",BY35=""),"",IF($F35="Maior Melhor",IF(BY35&gt;=BX35,"Sim","Não"),IF(BY35&lt;=BX35,"Sim","Não")))</f>
        <v/>
      </c>
      <c r="CB35" s="6"/>
      <c r="CC35" s="6"/>
      <c r="CD35" s="4" t="str">
        <f aca="false">IF(OR(CB35="",CC35=""),"",IFERROR(IF($K35="%",CC35-CB35,CC35/CB35-1),""))</f>
        <v/>
      </c>
      <c r="CE35" s="5" t="str">
        <f aca="false">IF(OR(CB35="",CC35=""),"",IF($F35="Maior Melhor",IF(CC35&gt;=CB35,"Sim","Não"),IF(CC35&lt;=CB35,"Sim","Não")))</f>
        <v/>
      </c>
      <c r="CF35" s="6"/>
      <c r="CG35" s="6"/>
      <c r="CH35" s="4" t="str">
        <f aca="false">IF(OR(CF35="",CG35=""),"",IFERROR(IF($K35="%",CG35-CF35,CG35/CF35-1),""))</f>
        <v/>
      </c>
      <c r="CI35" s="5" t="str">
        <f aca="false">IF(OR(CF35="",CG35=""),"",IF($F35="Maior Melhor",IF(CG35&gt;=CF35,"Sim","Não"),IF(CG35&lt;=CF35,"Sim","Não")))</f>
        <v/>
      </c>
      <c r="CJ35" s="6"/>
      <c r="CK35" s="6"/>
      <c r="CL35" s="4" t="str">
        <f aca="false">IF(OR(CJ35="",CK35=""),"",IFERROR(IF($K35="%",CK35-CJ35,CK35/CJ35-1),""))</f>
        <v/>
      </c>
      <c r="CM35" s="5" t="str">
        <f aca="false">IF(OR(CJ35="",CK35=""),"",IF($F35="Maior Melhor",IF(CK35&gt;=CJ35,"Sim","Não"),IF(CK35&lt;=CJ35,"Sim","Não")))</f>
        <v/>
      </c>
      <c r="CN35" s="6"/>
      <c r="CO35" s="6"/>
      <c r="CP35" s="4" t="str">
        <f aca="false">IF(OR(CN35="",CO35=""),"",IFERROR(IF($K35="%",CO35-CN35,CO35/CN35-1),""))</f>
        <v/>
      </c>
      <c r="CQ35" s="5" t="str">
        <f aca="false">IF(OR(CN35="",CO35=""),"",IF($F35="Maior Melhor",IF(CO35&gt;=CN35,"Sim","Não"),IF(CO35&lt;=CN35,"Sim","Não")))</f>
        <v/>
      </c>
      <c r="CR35" s="2" t="s">
        <v>129</v>
      </c>
    </row>
    <row r="36" customFormat="false" ht="15" hidden="false" customHeight="false" outlineLevel="0" collapsed="false">
      <c r="A36" s="2" t="s">
        <v>96</v>
      </c>
      <c r="B36" s="2" t="s">
        <v>97</v>
      </c>
      <c r="C36" s="2" t="s">
        <v>130</v>
      </c>
      <c r="D36" s="2" t="s">
        <v>132</v>
      </c>
      <c r="E36" s="2" t="str">
        <f aca="false">C36&amp;D36</f>
        <v>UTD SEABRAAderência do medidor e ramal</v>
      </c>
      <c r="F36" s="2" t="s">
        <v>100</v>
      </c>
      <c r="G36" s="2" t="s">
        <v>133</v>
      </c>
      <c r="H36" s="2" t="s">
        <v>102</v>
      </c>
      <c r="I36" s="2" t="s">
        <v>103</v>
      </c>
      <c r="J36" s="2" t="n">
        <v>1</v>
      </c>
      <c r="K36" s="2" t="s">
        <v>104</v>
      </c>
      <c r="L36" s="3" t="n">
        <v>0.9</v>
      </c>
      <c r="M36" s="3" t="n">
        <v>0.0625</v>
      </c>
      <c r="N36" s="4" t="n">
        <f aca="false">IF(OR(L36="",M36=""),"",IFERROR(IF($K36="%",M36-L36,M36/L36-1),""))</f>
        <v>-0.8375</v>
      </c>
      <c r="O36" s="5" t="str">
        <f aca="false">IF(OR(L36="",M36=""),"",IF($F36="Maior Melhor",IF(M36&gt;=L36,"Sim","Não"),IF(M36&lt;=L36,"Sim","Não")))</f>
        <v>Não</v>
      </c>
      <c r="P36" s="3" t="n">
        <v>0.9</v>
      </c>
      <c r="Q36" s="3" t="n">
        <v>0.375</v>
      </c>
      <c r="R36" s="4" t="n">
        <f aca="false">IF(OR(P36="",Q36=""),"",IFERROR(IF($K36="%",Q36-P36,Q36/P36-1),""))</f>
        <v>-0.525</v>
      </c>
      <c r="S36" s="5" t="str">
        <f aca="false">IF(OR(P36="",Q36=""),"",IF($F36="Maior Melhor",IF(Q36&gt;=P36,"Sim","Não"),IF(Q36&lt;=P36,"Sim","Não")))</f>
        <v>Não</v>
      </c>
      <c r="T36" s="3" t="n">
        <v>0.9</v>
      </c>
      <c r="U36" s="3" t="n">
        <v>0.8562</v>
      </c>
      <c r="V36" s="4" t="n">
        <f aca="false">IF(OR(T36="",U36=""),"",IFERROR(IF($K36="%",U36-T36,U36/T36-1),""))</f>
        <v>-0.0438000000000001</v>
      </c>
      <c r="W36" s="5" t="str">
        <f aca="false">IF(OR(T36="",U36=""),"",IF($F36="Maior Melhor",IF(U36&gt;=T36,"Sim","Não"),IF(U36&lt;=T36,"Sim","Não")))</f>
        <v>Não</v>
      </c>
      <c r="X36" s="3" t="n">
        <v>0.9</v>
      </c>
      <c r="Y36" s="3" t="n">
        <v>0.9816</v>
      </c>
      <c r="Z36" s="4" t="n">
        <f aca="false">IF(OR(X36="",Y36=""),"",IFERROR(IF($K36="%",Y36-X36,Y36/X36-1),""))</f>
        <v>0.0816</v>
      </c>
      <c r="AA36" s="5" t="str">
        <f aca="false">IF(OR(X36="",Y36=""),"",IF($F36="Maior Melhor",IF(Y36&gt;=X36,"Sim","Não"),IF(Y36&lt;=X36,"Sim","Não")))</f>
        <v>Sim</v>
      </c>
      <c r="AB36" s="3" t="n">
        <v>0.9</v>
      </c>
      <c r="AC36" s="3" t="n">
        <v>0.9816</v>
      </c>
      <c r="AD36" s="4" t="n">
        <f aca="false">IF(OR(AB36="",AC36=""),"",IFERROR(IF($K36="%",AC36-AB36,AC36/AB36-1),""))</f>
        <v>0.0816</v>
      </c>
      <c r="AE36" s="5" t="str">
        <f aca="false">IF(OR(AB36="",AC36=""),"",IF($F36="Maior Melhor",IF(AC36&gt;=AB36,"Sim","Não"),IF(AC36&lt;=AB36,"Sim","Não")))</f>
        <v>Sim</v>
      </c>
      <c r="AF36" s="3" t="n">
        <v>0.9</v>
      </c>
      <c r="AG36" s="3" t="n">
        <v>0.9</v>
      </c>
      <c r="AH36" s="4" t="n">
        <f aca="false">IF(OR(AF36="",AG36=""),"",IFERROR(IF($K36="%",AG36-AF36,AG36/AF36-1),""))</f>
        <v>0</v>
      </c>
      <c r="AI36" s="5" t="str">
        <f aca="false">IF(OR(AF36="",AG36=""),"",IF($F36="Maior Melhor",IF(AG36&gt;=AF36,"Sim","Não"),IF(AG36&lt;=AF36,"Sim","Não")))</f>
        <v>Sim</v>
      </c>
      <c r="AJ36" s="3" t="n">
        <v>0.9</v>
      </c>
      <c r="AK36" s="3" t="n">
        <v>0.9</v>
      </c>
      <c r="AL36" s="4" t="n">
        <f aca="false">IF(OR(AJ36="",AK36=""),"",IFERROR(IF($K36="%",AK36-AJ36,AK36/AJ36-1),""))</f>
        <v>0</v>
      </c>
      <c r="AM36" s="5" t="str">
        <f aca="false">IF(OR(AJ36="",AK36=""),"",IF($F36="Maior Melhor",IF(AK36&gt;=AJ36,"Sim","Não"),IF(AK36&lt;=AJ36,"Sim","Não")))</f>
        <v>Sim</v>
      </c>
      <c r="AN36" s="3" t="n">
        <v>0.9</v>
      </c>
      <c r="AO36" s="3" t="n">
        <v>0.872807018</v>
      </c>
      <c r="AP36" s="4" t="n">
        <f aca="false">IF(OR(AN36="",AO36=""),"",IFERROR(IF($K36="%",AO36-AN36,AO36/AN36-1),""))</f>
        <v>-0.027192982</v>
      </c>
      <c r="AQ36" s="5" t="str">
        <f aca="false">IF(OR(AN36="",AO36=""),"",IF($F36="Maior Melhor",IF(AO36&gt;=AN36,"Sim","Não"),IF(AO36&lt;=AN36,"Sim","Não")))</f>
        <v>Não</v>
      </c>
      <c r="AR36" s="3" t="n">
        <v>0.9</v>
      </c>
      <c r="AS36" s="3" t="n">
        <v>0.872807018</v>
      </c>
      <c r="AT36" s="4" t="n">
        <f aca="false">IF(OR(AR36="",AS36=""),"",IFERROR(IF($K36="%",AS36-AR36,AS36/AR36-1),""))</f>
        <v>-0.027192982</v>
      </c>
      <c r="AU36" s="5" t="str">
        <f aca="false">IF(OR(AR36="",AS36=""),"",IF($F36="Maior Melhor",IF(AS36&gt;=AR36,"Sim","Não"),IF(AS36&lt;=AR36,"Sim","Não")))</f>
        <v>Não</v>
      </c>
      <c r="AV36" s="3" t="n">
        <v>0.9</v>
      </c>
      <c r="AW36" s="3" t="n">
        <v>0.94265233</v>
      </c>
      <c r="AX36" s="4" t="n">
        <f aca="false">IF(OR(AV36="",AW36=""),"",IFERROR(IF($K36="%",AW36-AV36,AW36/AV36-1),""))</f>
        <v>0.04265233</v>
      </c>
      <c r="AY36" s="5" t="str">
        <f aca="false">IF(OR(AV36="",AW36=""),"",IF($F36="Maior Melhor",IF(AW36&gt;=AV36,"Sim","Não"),IF(AW36&lt;=AV36,"Sim","Não")))</f>
        <v>Sim</v>
      </c>
      <c r="AZ36" s="3" t="n">
        <v>0.9</v>
      </c>
      <c r="BA36" s="3" t="n">
        <v>0.94265233</v>
      </c>
      <c r="BB36" s="4" t="n">
        <f aca="false">IF(OR(AZ36="",BA36=""),"",IFERROR(IF($K36="%",BA36-AZ36,BA36/AZ36-1),""))</f>
        <v>0.04265233</v>
      </c>
      <c r="BC36" s="5" t="str">
        <f aca="false">IF(OR(AZ36="",BA36=""),"",IF($F36="Maior Melhor",IF(BA36&gt;=AZ36,"Sim","Não"),IF(BA36&lt;=AZ36,"Sim","Não")))</f>
        <v>Sim</v>
      </c>
      <c r="BD36" s="3" t="n">
        <v>0.9</v>
      </c>
      <c r="BE36" s="3" t="n">
        <v>0.9063</v>
      </c>
      <c r="BF36" s="4" t="n">
        <f aca="false">IF(OR(BD36="",BE36=""),"",IFERROR(IF($K36="%",BE36-BD36,BE36/BD36-1),""))</f>
        <v>0.00629999999999997</v>
      </c>
      <c r="BG36" s="5" t="str">
        <f aca="false">IF(OR(BD36="",BE36=""),"",IF($F36="Maior Melhor",IF(BE36&gt;=BD36,"Sim","Não"),IF(BE36&lt;=BD36,"Sim","Não")))</f>
        <v>Sim</v>
      </c>
      <c r="BH36" s="3" t="n">
        <v>0.9</v>
      </c>
      <c r="BI36" s="3" t="n">
        <v>0.9063</v>
      </c>
      <c r="BJ36" s="4" t="n">
        <f aca="false">IF(OR(BH36="",BI36=""),"",IFERROR(IF($K36="%",BI36-BH36,BI36/BH36-1),""))</f>
        <v>0.00629999999999997</v>
      </c>
      <c r="BK36" s="5" t="str">
        <f aca="false">IF(OR(BH36="",BI36=""),"",IF($F36="Maior Melhor",IF(BI36&gt;=BH36,"Sim","Não"),IF(BI36&lt;=BH36,"Sim","Não")))</f>
        <v>Sim</v>
      </c>
      <c r="BL36" s="6"/>
      <c r="BM36" s="6"/>
      <c r="BN36" s="4" t="str">
        <f aca="false">IF(OR(BL36="",BM36=""),"",IFERROR(IF($K36="%",BM36-BL36,BM36/BL36-1),""))</f>
        <v/>
      </c>
      <c r="BO36" s="5" t="str">
        <f aca="false">IF(OR(BL36="",BM36=""),"",IF($F36="Maior Melhor",IF(BM36&gt;=BL36,"Sim","Não"),IF(BM36&lt;=BL36,"Sim","Não")))</f>
        <v/>
      </c>
      <c r="BP36" s="6"/>
      <c r="BQ36" s="6"/>
      <c r="BR36" s="4" t="str">
        <f aca="false">IF(OR(BP36="",BQ36=""),"",IFERROR(IF($K36="%",BQ36-BP36,BQ36/BP36-1),""))</f>
        <v/>
      </c>
      <c r="BS36" s="5" t="str">
        <f aca="false">IF(OR(BP36="",BQ36=""),"",IF($F36="Maior Melhor",IF(BQ36&gt;=BP36,"Sim","Não"),IF(BQ36&lt;=BP36,"Sim","Não")))</f>
        <v/>
      </c>
      <c r="BT36" s="6"/>
      <c r="BU36" s="6"/>
      <c r="BV36" s="4" t="str">
        <f aca="false">IF(OR(BT36="",BU36=""),"",IFERROR(IF($K36="%",BU36-BT36,BU36/BT36-1),""))</f>
        <v/>
      </c>
      <c r="BW36" s="5" t="str">
        <f aca="false">IF(OR(BT36="",BU36=""),"",IF($F36="Maior Melhor",IF(BU36&gt;=BT36,"Sim","Não"),IF(BU36&lt;=BT36,"Sim","Não")))</f>
        <v/>
      </c>
      <c r="BX36" s="6"/>
      <c r="BY36" s="6"/>
      <c r="BZ36" s="4" t="str">
        <f aca="false">IF(OR(BX36="",BY36=""),"",IFERROR(IF($K36="%",BY36-BX36,BY36/BX36-1),""))</f>
        <v/>
      </c>
      <c r="CA36" s="5" t="str">
        <f aca="false">IF(OR(BX36="",BY36=""),"",IF($F36="Maior Melhor",IF(BY36&gt;=BX36,"Sim","Não"),IF(BY36&lt;=BX36,"Sim","Não")))</f>
        <v/>
      </c>
      <c r="CB36" s="6"/>
      <c r="CC36" s="6"/>
      <c r="CD36" s="4" t="str">
        <f aca="false">IF(OR(CB36="",CC36=""),"",IFERROR(IF($K36="%",CC36-CB36,CC36/CB36-1),""))</f>
        <v/>
      </c>
      <c r="CE36" s="5" t="str">
        <f aca="false">IF(OR(CB36="",CC36=""),"",IF($F36="Maior Melhor",IF(CC36&gt;=CB36,"Sim","Não"),IF(CC36&lt;=CB36,"Sim","Não")))</f>
        <v/>
      </c>
      <c r="CF36" s="6"/>
      <c r="CG36" s="6"/>
      <c r="CH36" s="4" t="str">
        <f aca="false">IF(OR(CF36="",CG36=""),"",IFERROR(IF($K36="%",CG36-CF36,CG36/CF36-1),""))</f>
        <v/>
      </c>
      <c r="CI36" s="5" t="str">
        <f aca="false">IF(OR(CF36="",CG36=""),"",IF($F36="Maior Melhor",IF(CG36&gt;=CF36,"Sim","Não"),IF(CG36&lt;=CF36,"Sim","Não")))</f>
        <v/>
      </c>
      <c r="CJ36" s="6"/>
      <c r="CK36" s="6"/>
      <c r="CL36" s="4" t="str">
        <f aca="false">IF(OR(CJ36="",CK36=""),"",IFERROR(IF($K36="%",CK36-CJ36,CK36/CJ36-1),""))</f>
        <v/>
      </c>
      <c r="CM36" s="5" t="str">
        <f aca="false">IF(OR(CJ36="",CK36=""),"",IF($F36="Maior Melhor",IF(CK36&gt;=CJ36,"Sim","Não"),IF(CK36&lt;=CJ36,"Sim","Não")))</f>
        <v/>
      </c>
      <c r="CN36" s="6"/>
      <c r="CO36" s="6"/>
      <c r="CP36" s="4" t="str">
        <f aca="false">IF(OR(CN36="",CO36=""),"",IFERROR(IF($K36="%",CO36-CN36,CO36/CN36-1),""))</f>
        <v/>
      </c>
      <c r="CQ36" s="5" t="str">
        <f aca="false">IF(OR(CN36="",CO36=""),"",IF($F36="Maior Melhor",IF(CO36&gt;=CN36,"Sim","Não"),IF(CO36&lt;=CN36,"Sim","Não")))</f>
        <v/>
      </c>
      <c r="CR36" s="2" t="s">
        <v>105</v>
      </c>
    </row>
    <row r="37" customFormat="false" ht="15" hidden="false" customHeight="false" outlineLevel="0" collapsed="false">
      <c r="A37" s="2" t="s">
        <v>96</v>
      </c>
      <c r="B37" s="2" t="s">
        <v>108</v>
      </c>
      <c r="C37" s="2" t="s">
        <v>131</v>
      </c>
      <c r="D37" s="2" t="s">
        <v>132</v>
      </c>
      <c r="E37" s="2" t="str">
        <f aca="false">C37&amp;D37</f>
        <v>UTD VITORIA DA CONQUISTAAderência do medidor e ramal</v>
      </c>
      <c r="F37" s="2" t="s">
        <v>100</v>
      </c>
      <c r="G37" s="2" t="s">
        <v>133</v>
      </c>
      <c r="H37" s="2" t="s">
        <v>102</v>
      </c>
      <c r="I37" s="2" t="s">
        <v>103</v>
      </c>
      <c r="J37" s="2" t="n">
        <v>1</v>
      </c>
      <c r="K37" s="2" t="s">
        <v>104</v>
      </c>
      <c r="L37" s="3" t="n">
        <v>0.9</v>
      </c>
      <c r="M37" s="3" t="n">
        <v>1</v>
      </c>
      <c r="N37" s="4" t="n">
        <f aca="false">IF(OR(L37="",M37=""),"",IFERROR(IF($K37="%",M37-L37,M37/L37-1),""))</f>
        <v>0.1</v>
      </c>
      <c r="O37" s="5" t="str">
        <f aca="false">IF(OR(L37="",M37=""),"",IF($F37="Maior Melhor",IF(M37&gt;=L37,"Sim","Não"),IF(M37&lt;=L37,"Sim","Não")))</f>
        <v>Sim</v>
      </c>
      <c r="P37" s="3" t="n">
        <v>0.9</v>
      </c>
      <c r="Q37" s="3" t="n">
        <v>0.1988</v>
      </c>
      <c r="R37" s="4" t="n">
        <f aca="false">IF(OR(P37="",Q37=""),"",IFERROR(IF($K37="%",Q37-P37,Q37/P37-1),""))</f>
        <v>-0.7012</v>
      </c>
      <c r="S37" s="5" t="str">
        <f aca="false">IF(OR(P37="",Q37=""),"",IF($F37="Maior Melhor",IF(Q37&gt;=P37,"Sim","Não"),IF(Q37&lt;=P37,"Sim","Não")))</f>
        <v>Não</v>
      </c>
      <c r="T37" s="3" t="n">
        <v>0.9</v>
      </c>
      <c r="U37" s="3" t="n">
        <v>1</v>
      </c>
      <c r="V37" s="4" t="n">
        <f aca="false">IF(OR(T37="",U37=""),"",IFERROR(IF($K37="%",U37-T37,U37/T37-1),""))</f>
        <v>0.1</v>
      </c>
      <c r="W37" s="5" t="str">
        <f aca="false">IF(OR(T37="",U37=""),"",IF($F37="Maior Melhor",IF(U37&gt;=T37,"Sim","Não"),IF(U37&lt;=T37,"Sim","Não")))</f>
        <v>Sim</v>
      </c>
      <c r="X37" s="3" t="n">
        <v>0.9</v>
      </c>
      <c r="Y37" s="3" t="n">
        <v>1</v>
      </c>
      <c r="Z37" s="4" t="n">
        <f aca="false">IF(OR(X37="",Y37=""),"",IFERROR(IF($K37="%",Y37-X37,Y37/X37-1),""))</f>
        <v>0.1</v>
      </c>
      <c r="AA37" s="5" t="str">
        <f aca="false">IF(OR(X37="",Y37=""),"",IF($F37="Maior Melhor",IF(Y37&gt;=X37,"Sim","Não"),IF(Y37&lt;=X37,"Sim","Não")))</f>
        <v>Sim</v>
      </c>
      <c r="AB37" s="3" t="n">
        <v>0.9</v>
      </c>
      <c r="AC37" s="3" t="n">
        <v>1</v>
      </c>
      <c r="AD37" s="4" t="n">
        <f aca="false">IF(OR(AB37="",AC37=""),"",IFERROR(IF($K37="%",AC37-AB37,AC37/AB37-1),""))</f>
        <v>0.1</v>
      </c>
      <c r="AE37" s="5" t="str">
        <f aca="false">IF(OR(AB37="",AC37=""),"",IF($F37="Maior Melhor",IF(AC37&gt;=AB37,"Sim","Não"),IF(AC37&lt;=AB37,"Sim","Não")))</f>
        <v>Sim</v>
      </c>
      <c r="AF37" s="3" t="n">
        <v>0.9</v>
      </c>
      <c r="AG37" s="3" t="n">
        <v>1</v>
      </c>
      <c r="AH37" s="4" t="n">
        <f aca="false">IF(OR(AF37="",AG37=""),"",IFERROR(IF($K37="%",AG37-AF37,AG37/AF37-1),""))</f>
        <v>0.1</v>
      </c>
      <c r="AI37" s="5" t="str">
        <f aca="false">IF(OR(AF37="",AG37=""),"",IF($F37="Maior Melhor",IF(AG37&gt;=AF37,"Sim","Não"),IF(AG37&lt;=AF37,"Sim","Não")))</f>
        <v>Sim</v>
      </c>
      <c r="AJ37" s="3" t="n">
        <v>0.9</v>
      </c>
      <c r="AK37" s="3" t="n">
        <v>1</v>
      </c>
      <c r="AL37" s="4" t="n">
        <f aca="false">IF(OR(AJ37="",AK37=""),"",IFERROR(IF($K37="%",AK37-AJ37,AK37/AJ37-1),""))</f>
        <v>0.1</v>
      </c>
      <c r="AM37" s="5" t="str">
        <f aca="false">IF(OR(AJ37="",AK37=""),"",IF($F37="Maior Melhor",IF(AK37&gt;=AJ37,"Sim","Não"),IF(AK37&lt;=AJ37,"Sim","Não")))</f>
        <v>Sim</v>
      </c>
      <c r="AN37" s="3" t="n">
        <v>0.9</v>
      </c>
      <c r="AO37" s="3" t="n">
        <v>1</v>
      </c>
      <c r="AP37" s="4" t="n">
        <f aca="false">IF(OR(AN37="",AO37=""),"",IFERROR(IF($K37="%",AO37-AN37,AO37/AN37-1),""))</f>
        <v>0.1</v>
      </c>
      <c r="AQ37" s="5" t="str">
        <f aca="false">IF(OR(AN37="",AO37=""),"",IF($F37="Maior Melhor",IF(AO37&gt;=AN37,"Sim","Não"),IF(AO37&lt;=AN37,"Sim","Não")))</f>
        <v>Sim</v>
      </c>
      <c r="AR37" s="3" t="n">
        <v>0.9</v>
      </c>
      <c r="AS37" s="3" t="n">
        <v>1</v>
      </c>
      <c r="AT37" s="4" t="n">
        <f aca="false">IF(OR(AR37="",AS37=""),"",IFERROR(IF($K37="%",AS37-AR37,AS37/AR37-1),""))</f>
        <v>0.1</v>
      </c>
      <c r="AU37" s="5" t="str">
        <f aca="false">IF(OR(AR37="",AS37=""),"",IF($F37="Maior Melhor",IF(AS37&gt;=AR37,"Sim","Não"),IF(AS37&lt;=AR37,"Sim","Não")))</f>
        <v>Sim</v>
      </c>
      <c r="AV37" s="3" t="n">
        <v>0.9</v>
      </c>
      <c r="AW37" s="3" t="n">
        <v>1</v>
      </c>
      <c r="AX37" s="4" t="n">
        <f aca="false">IF(OR(AV37="",AW37=""),"",IFERROR(IF($K37="%",AW37-AV37,AW37/AV37-1),""))</f>
        <v>0.1</v>
      </c>
      <c r="AY37" s="5" t="str">
        <f aca="false">IF(OR(AV37="",AW37=""),"",IF($F37="Maior Melhor",IF(AW37&gt;=AV37,"Sim","Não"),IF(AW37&lt;=AV37,"Sim","Não")))</f>
        <v>Sim</v>
      </c>
      <c r="AZ37" s="3" t="n">
        <v>0.9</v>
      </c>
      <c r="BA37" s="3" t="n">
        <v>1</v>
      </c>
      <c r="BB37" s="4" t="n">
        <f aca="false">IF(OR(AZ37="",BA37=""),"",IFERROR(IF($K37="%",BA37-AZ37,BA37/AZ37-1),""))</f>
        <v>0.1</v>
      </c>
      <c r="BC37" s="5" t="str">
        <f aca="false">IF(OR(AZ37="",BA37=""),"",IF($F37="Maior Melhor",IF(BA37&gt;=AZ37,"Sim","Não"),IF(BA37&lt;=AZ37,"Sim","Não")))</f>
        <v>Sim</v>
      </c>
      <c r="BD37" s="3" t="n">
        <v>0.9</v>
      </c>
      <c r="BE37" s="3" t="n">
        <v>0.9958</v>
      </c>
      <c r="BF37" s="4" t="n">
        <f aca="false">IF(OR(BD37="",BE37=""),"",IFERROR(IF($K37="%",BE37-BD37,BE37/BD37-1),""))</f>
        <v>0.0958</v>
      </c>
      <c r="BG37" s="5" t="str">
        <f aca="false">IF(OR(BD37="",BE37=""),"",IF($F37="Maior Melhor",IF(BE37&gt;=BD37,"Sim","Não"),IF(BE37&lt;=BD37,"Sim","Não")))</f>
        <v>Sim</v>
      </c>
      <c r="BH37" s="3" t="n">
        <v>0.9</v>
      </c>
      <c r="BI37" s="3" t="n">
        <v>0.9958</v>
      </c>
      <c r="BJ37" s="4" t="n">
        <f aca="false">IF(OR(BH37="",BI37=""),"",IFERROR(IF($K37="%",BI37-BH37,BI37/BH37-1),""))</f>
        <v>0.0958</v>
      </c>
      <c r="BK37" s="5" t="str">
        <f aca="false">IF(OR(BH37="",BI37=""),"",IF($F37="Maior Melhor",IF(BI37&gt;=BH37,"Sim","Não"),IF(BI37&lt;=BH37,"Sim","Não")))</f>
        <v>Sim</v>
      </c>
      <c r="BL37" s="6"/>
      <c r="BM37" s="6"/>
      <c r="BN37" s="4" t="str">
        <f aca="false">IF(OR(BL37="",BM37=""),"",IFERROR(IF($K37="%",BM37-BL37,BM37/BL37-1),""))</f>
        <v/>
      </c>
      <c r="BO37" s="5" t="str">
        <f aca="false">IF(OR(BL37="",BM37=""),"",IF($F37="Maior Melhor",IF(BM37&gt;=BL37,"Sim","Não"),IF(BM37&lt;=BL37,"Sim","Não")))</f>
        <v/>
      </c>
      <c r="BP37" s="6"/>
      <c r="BQ37" s="6"/>
      <c r="BR37" s="4" t="str">
        <f aca="false">IF(OR(BP37="",BQ37=""),"",IFERROR(IF($K37="%",BQ37-BP37,BQ37/BP37-1),""))</f>
        <v/>
      </c>
      <c r="BS37" s="5" t="str">
        <f aca="false">IF(OR(BP37="",BQ37=""),"",IF($F37="Maior Melhor",IF(BQ37&gt;=BP37,"Sim","Não"),IF(BQ37&lt;=BP37,"Sim","Não")))</f>
        <v/>
      </c>
      <c r="BT37" s="6"/>
      <c r="BU37" s="6"/>
      <c r="BV37" s="4" t="str">
        <f aca="false">IF(OR(BT37="",BU37=""),"",IFERROR(IF($K37="%",BU37-BT37,BU37/BT37-1),""))</f>
        <v/>
      </c>
      <c r="BW37" s="5" t="str">
        <f aca="false">IF(OR(BT37="",BU37=""),"",IF($F37="Maior Melhor",IF(BU37&gt;=BT37,"Sim","Não"),IF(BU37&lt;=BT37,"Sim","Não")))</f>
        <v/>
      </c>
      <c r="BX37" s="6"/>
      <c r="BY37" s="6"/>
      <c r="BZ37" s="4" t="str">
        <f aca="false">IF(OR(BX37="",BY37=""),"",IFERROR(IF($K37="%",BY37-BX37,BY37/BX37-1),""))</f>
        <v/>
      </c>
      <c r="CA37" s="5" t="str">
        <f aca="false">IF(OR(BX37="",BY37=""),"",IF($F37="Maior Melhor",IF(BY37&gt;=BX37,"Sim","Não"),IF(BY37&lt;=BX37,"Sim","Não")))</f>
        <v/>
      </c>
      <c r="CB37" s="6"/>
      <c r="CC37" s="6"/>
      <c r="CD37" s="4" t="str">
        <f aca="false">IF(OR(CB37="",CC37=""),"",IFERROR(IF($K37="%",CC37-CB37,CC37/CB37-1),""))</f>
        <v/>
      </c>
      <c r="CE37" s="5" t="str">
        <f aca="false">IF(OR(CB37="",CC37=""),"",IF($F37="Maior Melhor",IF(CC37&gt;=CB37,"Sim","Não"),IF(CC37&lt;=CB37,"Sim","Não")))</f>
        <v/>
      </c>
      <c r="CF37" s="6"/>
      <c r="CG37" s="6"/>
      <c r="CH37" s="4" t="str">
        <f aca="false">IF(OR(CF37="",CG37=""),"",IFERROR(IF($K37="%",CG37-CF37,CG37/CF37-1),""))</f>
        <v/>
      </c>
      <c r="CI37" s="5" t="str">
        <f aca="false">IF(OR(CF37="",CG37=""),"",IF($F37="Maior Melhor",IF(CG37&gt;=CF37,"Sim","Não"),IF(CG37&lt;=CF37,"Sim","Não")))</f>
        <v/>
      </c>
      <c r="CJ37" s="6"/>
      <c r="CK37" s="6"/>
      <c r="CL37" s="4" t="str">
        <f aca="false">IF(OR(CJ37="",CK37=""),"",IFERROR(IF($K37="%",CK37-CJ37,CK37/CJ37-1),""))</f>
        <v/>
      </c>
      <c r="CM37" s="5" t="str">
        <f aca="false">IF(OR(CJ37="",CK37=""),"",IF($F37="Maior Melhor",IF(CK37&gt;=CJ37,"Sim","Não"),IF(CK37&lt;=CJ37,"Sim","Não")))</f>
        <v/>
      </c>
      <c r="CN37" s="6"/>
      <c r="CO37" s="6"/>
      <c r="CP37" s="4" t="str">
        <f aca="false">IF(OR(CN37="",CO37=""),"",IFERROR(IF($K37="%",CO37-CN37,CO37/CN37-1),""))</f>
        <v/>
      </c>
      <c r="CQ37" s="5" t="str">
        <f aca="false">IF(OR(CN37="",CO37=""),"",IF($F37="Maior Melhor",IF(CO37&gt;=CN37,"Sim","Não"),IF(CO37&lt;=CN37,"Sim","Não")))</f>
        <v/>
      </c>
      <c r="CR37" s="2" t="s">
        <v>105</v>
      </c>
    </row>
    <row r="38" customFormat="false" ht="15" hidden="false" customHeight="false" outlineLevel="0" collapsed="false">
      <c r="A38" s="2" t="s">
        <v>96</v>
      </c>
      <c r="B38" s="2" t="s">
        <v>97</v>
      </c>
      <c r="C38" s="2" t="s">
        <v>98</v>
      </c>
      <c r="D38" s="2" t="s">
        <v>136</v>
      </c>
      <c r="E38" s="2" t="str">
        <f aca="false">C38&amp;D38</f>
        <v>Gerência Centro OesteAvanço físico da carteira de manutenção</v>
      </c>
      <c r="F38" s="2" t="s">
        <v>100</v>
      </c>
      <c r="G38" s="2" t="s">
        <v>137</v>
      </c>
      <c r="H38" s="2" t="s">
        <v>102</v>
      </c>
      <c r="I38" s="2" t="s">
        <v>103</v>
      </c>
      <c r="J38" s="2" t="n">
        <v>2</v>
      </c>
      <c r="K38" s="2" t="s">
        <v>104</v>
      </c>
      <c r="L38" s="3" t="n">
        <v>0.9</v>
      </c>
      <c r="M38" s="3" t="n">
        <v>0.4019</v>
      </c>
      <c r="N38" s="4" t="n">
        <f aca="false">IF(OR(L38="",M38=""),"",IFERROR(IF($K38="%",M38-L38,M38/L38-1),""))</f>
        <v>-0.4981</v>
      </c>
      <c r="O38" s="5" t="str">
        <f aca="false">IF(OR(L38="",M38=""),"",IF($F38="Maior Melhor",IF(M38&gt;=L38,"Sim","Não"),IF(M38&lt;=L38,"Sim","Não")))</f>
        <v>Não</v>
      </c>
      <c r="P38" s="3" t="n">
        <v>0.9</v>
      </c>
      <c r="Q38" s="3" t="n">
        <v>0.3775</v>
      </c>
      <c r="R38" s="4" t="n">
        <f aca="false">IF(OR(P38="",Q38=""),"",IFERROR(IF($K38="%",Q38-P38,Q38/P38-1),""))</f>
        <v>-0.5225</v>
      </c>
      <c r="S38" s="5" t="str">
        <f aca="false">IF(OR(P38="",Q38=""),"",IF($F38="Maior Melhor",IF(Q38&gt;=P38,"Sim","Não"),IF(Q38&lt;=P38,"Sim","Não")))</f>
        <v>Não</v>
      </c>
      <c r="T38" s="3" t="n">
        <v>0.9</v>
      </c>
      <c r="U38" s="3" t="n">
        <v>0.75</v>
      </c>
      <c r="V38" s="4" t="n">
        <f aca="false">IF(OR(T38="",U38=""),"",IFERROR(IF($K38="%",U38-T38,U38/T38-1),""))</f>
        <v>-0.15</v>
      </c>
      <c r="W38" s="5" t="str">
        <f aca="false">IF(OR(T38="",U38=""),"",IF($F38="Maior Melhor",IF(U38&gt;=T38,"Sim","Não"),IF(U38&lt;=T38,"Sim","Não")))</f>
        <v>Não</v>
      </c>
      <c r="X38" s="3" t="n">
        <v>0.9</v>
      </c>
      <c r="Y38" s="3" t="n">
        <v>1.1</v>
      </c>
      <c r="Z38" s="4" t="n">
        <f aca="false">IF(OR(X38="",Y38=""),"",IFERROR(IF($K38="%",Y38-X38,Y38/X38-1),""))</f>
        <v>0.2</v>
      </c>
      <c r="AA38" s="5" t="str">
        <f aca="false">IF(OR(X38="",Y38=""),"",IF($F38="Maior Melhor",IF(Y38&gt;=X38,"Sim","Não"),IF(Y38&lt;=X38,"Sim","Não")))</f>
        <v>Sim</v>
      </c>
      <c r="AB38" s="3" t="n">
        <v>0.9</v>
      </c>
      <c r="AC38" s="3" t="n">
        <v>0.73</v>
      </c>
      <c r="AD38" s="4" t="n">
        <f aca="false">IF(OR(AB38="",AC38=""),"",IFERROR(IF($K38="%",AC38-AB38,AC38/AB38-1),""))</f>
        <v>-0.17</v>
      </c>
      <c r="AE38" s="5" t="str">
        <f aca="false">IF(OR(AB38="",AC38=""),"",IF($F38="Maior Melhor",IF(AC38&gt;=AB38,"Sim","Não"),IF(AC38&lt;=AB38,"Sim","Não")))</f>
        <v>Não</v>
      </c>
      <c r="AF38" s="3" t="n">
        <v>0.9</v>
      </c>
      <c r="AG38" s="3" t="n">
        <v>0.82</v>
      </c>
      <c r="AH38" s="4" t="n">
        <f aca="false">IF(OR(AF38="",AG38=""),"",IFERROR(IF($K38="%",AG38-AF38,AG38/AF38-1),""))</f>
        <v>-0.0800000000000001</v>
      </c>
      <c r="AI38" s="5" t="str">
        <f aca="false">IF(OR(AF38="",AG38=""),"",IF($F38="Maior Melhor",IF(AG38&gt;=AF38,"Sim","Não"),IF(AG38&lt;=AF38,"Sim","Não")))</f>
        <v>Não</v>
      </c>
      <c r="AJ38" s="3" t="n">
        <v>0.9</v>
      </c>
      <c r="AK38" s="3" t="n">
        <v>0.75</v>
      </c>
      <c r="AL38" s="4" t="n">
        <f aca="false">IF(OR(AJ38="",AK38=""),"",IFERROR(IF($K38="%",AK38-AJ38,AK38/AJ38-1),""))</f>
        <v>-0.15</v>
      </c>
      <c r="AM38" s="5" t="str">
        <f aca="false">IF(OR(AJ38="",AK38=""),"",IF($F38="Maior Melhor",IF(AK38&gt;=AJ38,"Sim","Não"),IF(AK38&lt;=AJ38,"Sim","Não")))</f>
        <v>Não</v>
      </c>
      <c r="AN38" s="3" t="n">
        <v>0.9</v>
      </c>
      <c r="AO38" s="3" t="n">
        <v>0.93</v>
      </c>
      <c r="AP38" s="4" t="n">
        <f aca="false">IF(OR(AN38="",AO38=""),"",IFERROR(IF($K38="%",AO38-AN38,AO38/AN38-1),""))</f>
        <v>0.03</v>
      </c>
      <c r="AQ38" s="5" t="str">
        <f aca="false">IF(OR(AN38="",AO38=""),"",IF($F38="Maior Melhor",IF(AO38&gt;=AN38,"Sim","Não"),IF(AO38&lt;=AN38,"Sim","Não")))</f>
        <v>Sim</v>
      </c>
      <c r="AR38" s="3" t="n">
        <v>0.9</v>
      </c>
      <c r="AS38" s="3" t="n">
        <v>0.82</v>
      </c>
      <c r="AT38" s="4" t="n">
        <f aca="false">IF(OR(AR38="",AS38=""),"",IFERROR(IF($K38="%",AS38-AR38,AS38/AR38-1),""))</f>
        <v>-0.0800000000000001</v>
      </c>
      <c r="AU38" s="5" t="str">
        <f aca="false">IF(OR(AR38="",AS38=""),"",IF($F38="Maior Melhor",IF(AS38&gt;=AR38,"Sim","Não"),IF(AS38&lt;=AR38,"Sim","Não")))</f>
        <v>Não</v>
      </c>
      <c r="AV38" s="3" t="n">
        <v>0.9</v>
      </c>
      <c r="AW38" s="3" t="n">
        <v>0.89</v>
      </c>
      <c r="AX38" s="4" t="n">
        <f aca="false">IF(OR(AV38="",AW38=""),"",IFERROR(IF($K38="%",AW38-AV38,AW38/AV38-1),""))</f>
        <v>-0.01</v>
      </c>
      <c r="AY38" s="5" t="str">
        <f aca="false">IF(OR(AV38="",AW38=""),"",IF($F38="Maior Melhor",IF(AW38&gt;=AV38,"Sim","Não"),IF(AW38&lt;=AV38,"Sim","Não")))</f>
        <v>Não</v>
      </c>
      <c r="AZ38" s="3" t="n">
        <v>0.9</v>
      </c>
      <c r="BA38" s="3" t="n">
        <v>0.91</v>
      </c>
      <c r="BB38" s="4" t="n">
        <f aca="false">IF(OR(AZ38="",BA38=""),"",IFERROR(IF($K38="%",BA38-AZ38,BA38/AZ38-1),""))</f>
        <v>0.01</v>
      </c>
      <c r="BC38" s="5" t="str">
        <f aca="false">IF(OR(AZ38="",BA38=""),"",IF($F38="Maior Melhor",IF(BA38&gt;=AZ38,"Sim","Não"),IF(BA38&lt;=AZ38,"Sim","Não")))</f>
        <v>Sim</v>
      </c>
      <c r="BD38" s="3" t="n">
        <v>0.9</v>
      </c>
      <c r="BE38" s="3" t="n">
        <v>1.01</v>
      </c>
      <c r="BF38" s="4" t="n">
        <f aca="false">IF(OR(BD38="",BE38=""),"",IFERROR(IF($K38="%",BE38-BD38,BE38/BD38-1),""))</f>
        <v>0.11</v>
      </c>
      <c r="BG38" s="5" t="str">
        <f aca="false">IF(OR(BD38="",BE38=""),"",IF($F38="Maior Melhor",IF(BE38&gt;=BD38,"Sim","Não"),IF(BE38&lt;=BD38,"Sim","Não")))</f>
        <v>Sim</v>
      </c>
      <c r="BH38" s="3" t="n">
        <v>0.9</v>
      </c>
      <c r="BI38" s="3" t="n">
        <v>0.93</v>
      </c>
      <c r="BJ38" s="4" t="n">
        <f aca="false">IF(OR(BH38="",BI38=""),"",IFERROR(IF($K38="%",BI38-BH38,BI38/BH38-1),""))</f>
        <v>0.03</v>
      </c>
      <c r="BK38" s="5" t="str">
        <f aca="false">IF(OR(BH38="",BI38=""),"",IF($F38="Maior Melhor",IF(BI38&gt;=BH38,"Sim","Não"),IF(BI38&lt;=BH38,"Sim","Não")))</f>
        <v>Sim</v>
      </c>
      <c r="BL38" s="6"/>
      <c r="BM38" s="6"/>
      <c r="BN38" s="4" t="str">
        <f aca="false">IF(OR(BL38="",BM38=""),"",IFERROR(IF($K38="%",BM38-BL38,BM38/BL38-1),""))</f>
        <v/>
      </c>
      <c r="BO38" s="5" t="str">
        <f aca="false">IF(OR(BL38="",BM38=""),"",IF($F38="Maior Melhor",IF(BM38&gt;=BL38,"Sim","Não"),IF(BM38&lt;=BL38,"Sim","Não")))</f>
        <v/>
      </c>
      <c r="BP38" s="6"/>
      <c r="BQ38" s="6"/>
      <c r="BR38" s="4" t="str">
        <f aca="false">IF(OR(BP38="",BQ38=""),"",IFERROR(IF($K38="%",BQ38-BP38,BQ38/BP38-1),""))</f>
        <v/>
      </c>
      <c r="BS38" s="5" t="str">
        <f aca="false">IF(OR(BP38="",BQ38=""),"",IF($F38="Maior Melhor",IF(BQ38&gt;=BP38,"Sim","Não"),IF(BQ38&lt;=BP38,"Sim","Não")))</f>
        <v/>
      </c>
      <c r="BT38" s="6"/>
      <c r="BU38" s="6"/>
      <c r="BV38" s="4" t="str">
        <f aca="false">IF(OR(BT38="",BU38=""),"",IFERROR(IF($K38="%",BU38-BT38,BU38/BT38-1),""))</f>
        <v/>
      </c>
      <c r="BW38" s="5" t="str">
        <f aca="false">IF(OR(BT38="",BU38=""),"",IF($F38="Maior Melhor",IF(BU38&gt;=BT38,"Sim","Não"),IF(BU38&lt;=BT38,"Sim","Não")))</f>
        <v/>
      </c>
      <c r="BX38" s="6"/>
      <c r="BY38" s="6"/>
      <c r="BZ38" s="4" t="str">
        <f aca="false">IF(OR(BX38="",BY38=""),"",IFERROR(IF($K38="%",BY38-BX38,BY38/BX38-1),""))</f>
        <v/>
      </c>
      <c r="CA38" s="5" t="str">
        <f aca="false">IF(OR(BX38="",BY38=""),"",IF($F38="Maior Melhor",IF(BY38&gt;=BX38,"Sim","Não"),IF(BY38&lt;=BX38,"Sim","Não")))</f>
        <v/>
      </c>
      <c r="CB38" s="6"/>
      <c r="CC38" s="6"/>
      <c r="CD38" s="4" t="str">
        <f aca="false">IF(OR(CB38="",CC38=""),"",IFERROR(IF($K38="%",CC38-CB38,CC38/CB38-1),""))</f>
        <v/>
      </c>
      <c r="CE38" s="5" t="str">
        <f aca="false">IF(OR(CB38="",CC38=""),"",IF($F38="Maior Melhor",IF(CC38&gt;=CB38,"Sim","Não"),IF(CC38&lt;=CB38,"Sim","Não")))</f>
        <v/>
      </c>
      <c r="CF38" s="6"/>
      <c r="CG38" s="6"/>
      <c r="CH38" s="4" t="str">
        <f aca="false">IF(OR(CF38="",CG38=""),"",IFERROR(IF($K38="%",CG38-CF38,CG38/CF38-1),""))</f>
        <v/>
      </c>
      <c r="CI38" s="5" t="str">
        <f aca="false">IF(OR(CF38="",CG38=""),"",IF($F38="Maior Melhor",IF(CG38&gt;=CF38,"Sim","Não"),IF(CG38&lt;=CF38,"Sim","Não")))</f>
        <v/>
      </c>
      <c r="CJ38" s="6"/>
      <c r="CK38" s="6"/>
      <c r="CL38" s="4" t="str">
        <f aca="false">IF(OR(CJ38="",CK38=""),"",IFERROR(IF($K38="%",CK38-CJ38,CK38/CJ38-1),""))</f>
        <v/>
      </c>
      <c r="CM38" s="5" t="str">
        <f aca="false">IF(OR(CJ38="",CK38=""),"",IF($F38="Maior Melhor",IF(CK38&gt;=CJ38,"Sim","Não"),IF(CK38&lt;=CJ38,"Sim","Não")))</f>
        <v/>
      </c>
      <c r="CN38" s="6"/>
      <c r="CO38" s="6"/>
      <c r="CP38" s="4" t="str">
        <f aca="false">IF(OR(CN38="",CO38=""),"",IFERROR(IF($K38="%",CO38-CN38,CO38/CN38-1),""))</f>
        <v/>
      </c>
      <c r="CQ38" s="5" t="str">
        <f aca="false">IF(OR(CN38="",CO38=""),"",IF($F38="Maior Melhor",IF(CO38&gt;=CN38,"Sim","Não"),IF(CO38&lt;=CN38,"Sim","Não")))</f>
        <v/>
      </c>
      <c r="CR38" s="2" t="s">
        <v>105</v>
      </c>
    </row>
    <row r="39" customFormat="false" ht="15" hidden="false" customHeight="false" outlineLevel="0" collapsed="false">
      <c r="A39" s="2" t="s">
        <v>96</v>
      </c>
      <c r="B39" s="2" t="s">
        <v>106</v>
      </c>
      <c r="C39" s="2" t="s">
        <v>107</v>
      </c>
      <c r="D39" s="2" t="s">
        <v>136</v>
      </c>
      <c r="E39" s="2" t="str">
        <f aca="false">C39&amp;D39</f>
        <v>Gerência OesteAvanço físico da carteira de manutenção</v>
      </c>
      <c r="F39" s="2" t="s">
        <v>100</v>
      </c>
      <c r="G39" s="2" t="s">
        <v>137</v>
      </c>
      <c r="H39" s="2" t="s">
        <v>102</v>
      </c>
      <c r="I39" s="2" t="s">
        <v>103</v>
      </c>
      <c r="J39" s="2" t="n">
        <v>2</v>
      </c>
      <c r="K39" s="2" t="s">
        <v>104</v>
      </c>
      <c r="L39" s="3" t="n">
        <v>0.9</v>
      </c>
      <c r="M39" s="3" t="n">
        <v>1.3588</v>
      </c>
      <c r="N39" s="4" t="n">
        <f aca="false">IF(OR(L39="",M39=""),"",IFERROR(IF($K39="%",M39-L39,M39/L39-1),""))</f>
        <v>0.4588</v>
      </c>
      <c r="O39" s="5" t="str">
        <f aca="false">IF(OR(L39="",M39=""),"",IF($F39="Maior Melhor",IF(M39&gt;=L39,"Sim","Não"),IF(M39&lt;=L39,"Sim","Não")))</f>
        <v>Sim</v>
      </c>
      <c r="P39" s="3" t="n">
        <v>0.9</v>
      </c>
      <c r="Q39" s="3" t="n">
        <v>1.0385</v>
      </c>
      <c r="R39" s="4" t="n">
        <f aca="false">IF(OR(P39="",Q39=""),"",IFERROR(IF($K39="%",Q39-P39,Q39/P39-1),""))</f>
        <v>0.1385</v>
      </c>
      <c r="S39" s="5" t="str">
        <f aca="false">IF(OR(P39="",Q39=""),"",IF($F39="Maior Melhor",IF(Q39&gt;=P39,"Sim","Não"),IF(Q39&lt;=P39,"Sim","Não")))</f>
        <v>Sim</v>
      </c>
      <c r="T39" s="3" t="n">
        <v>0.9</v>
      </c>
      <c r="U39" s="3" t="n">
        <v>1.1</v>
      </c>
      <c r="V39" s="4" t="n">
        <f aca="false">IF(OR(T39="",U39=""),"",IFERROR(IF($K39="%",U39-T39,U39/T39-1),""))</f>
        <v>0.2</v>
      </c>
      <c r="W39" s="5" t="str">
        <f aca="false">IF(OR(T39="",U39=""),"",IF($F39="Maior Melhor",IF(U39&gt;=T39,"Sim","Não"),IF(U39&lt;=T39,"Sim","Não")))</f>
        <v>Sim</v>
      </c>
      <c r="X39" s="3" t="n">
        <v>0.9</v>
      </c>
      <c r="Y39" s="3" t="n">
        <v>1.1</v>
      </c>
      <c r="Z39" s="4" t="n">
        <f aca="false">IF(OR(X39="",Y39=""),"",IFERROR(IF($K39="%",Y39-X39,Y39/X39-1),""))</f>
        <v>0.2</v>
      </c>
      <c r="AA39" s="5" t="str">
        <f aca="false">IF(OR(X39="",Y39=""),"",IF($F39="Maior Melhor",IF(Y39&gt;=X39,"Sim","Não"),IF(Y39&lt;=X39,"Sim","Não")))</f>
        <v>Sim</v>
      </c>
      <c r="AB39" s="3" t="n">
        <v>0.9</v>
      </c>
      <c r="AC39" s="3" t="n">
        <v>1.04</v>
      </c>
      <c r="AD39" s="4" t="n">
        <f aca="false">IF(OR(AB39="",AC39=""),"",IFERROR(IF($K39="%",AC39-AB39,AC39/AB39-1),""))</f>
        <v>0.14</v>
      </c>
      <c r="AE39" s="5" t="str">
        <f aca="false">IF(OR(AB39="",AC39=""),"",IF($F39="Maior Melhor",IF(AC39&gt;=AB39,"Sim","Não"),IF(AC39&lt;=AB39,"Sim","Não")))</f>
        <v>Sim</v>
      </c>
      <c r="AF39" s="3" t="n">
        <v>0.9</v>
      </c>
      <c r="AG39" s="3" t="n">
        <v>1.1</v>
      </c>
      <c r="AH39" s="4" t="n">
        <f aca="false">IF(OR(AF39="",AG39=""),"",IFERROR(IF($K39="%",AG39-AF39,AG39/AF39-1),""))</f>
        <v>0.2</v>
      </c>
      <c r="AI39" s="5" t="str">
        <f aca="false">IF(OR(AF39="",AG39=""),"",IF($F39="Maior Melhor",IF(AG39&gt;=AF39,"Sim","Não"),IF(AG39&lt;=AF39,"Sim","Não")))</f>
        <v>Sim</v>
      </c>
      <c r="AJ39" s="3" t="n">
        <v>0.9</v>
      </c>
      <c r="AK39" s="3" t="n">
        <v>1.1</v>
      </c>
      <c r="AL39" s="4" t="n">
        <f aca="false">IF(OR(AJ39="",AK39=""),"",IFERROR(IF($K39="%",AK39-AJ39,AK39/AJ39-1),""))</f>
        <v>0.2</v>
      </c>
      <c r="AM39" s="5" t="str">
        <f aca="false">IF(OR(AJ39="",AK39=""),"",IF($F39="Maior Melhor",IF(AK39&gt;=AJ39,"Sim","Não"),IF(AK39&lt;=AJ39,"Sim","Não")))</f>
        <v>Sim</v>
      </c>
      <c r="AN39" s="3" t="n">
        <v>0.9</v>
      </c>
      <c r="AO39" s="3" t="n">
        <v>1.1</v>
      </c>
      <c r="AP39" s="4" t="n">
        <f aca="false">IF(OR(AN39="",AO39=""),"",IFERROR(IF($K39="%",AO39-AN39,AO39/AN39-1),""))</f>
        <v>0.2</v>
      </c>
      <c r="AQ39" s="5" t="str">
        <f aca="false">IF(OR(AN39="",AO39=""),"",IF($F39="Maior Melhor",IF(AO39&gt;=AN39,"Sim","Não"),IF(AO39&lt;=AN39,"Sim","Não")))</f>
        <v>Sim</v>
      </c>
      <c r="AR39" s="3" t="n">
        <v>0.9</v>
      </c>
      <c r="AS39" s="3" t="n">
        <v>1.1</v>
      </c>
      <c r="AT39" s="4" t="n">
        <f aca="false">IF(OR(AR39="",AS39=""),"",IFERROR(IF($K39="%",AS39-AR39,AS39/AR39-1),""))</f>
        <v>0.2</v>
      </c>
      <c r="AU39" s="5" t="str">
        <f aca="false">IF(OR(AR39="",AS39=""),"",IF($F39="Maior Melhor",IF(AS39&gt;=AR39,"Sim","Não"),IF(AS39&lt;=AR39,"Sim","Não")))</f>
        <v>Sim</v>
      </c>
      <c r="AV39" s="3" t="n">
        <v>0.9</v>
      </c>
      <c r="AW39" s="3" t="n">
        <v>0.94</v>
      </c>
      <c r="AX39" s="4" t="n">
        <f aca="false">IF(OR(AV39="",AW39=""),"",IFERROR(IF($K39="%",AW39-AV39,AW39/AV39-1),""))</f>
        <v>0.0399999999999999</v>
      </c>
      <c r="AY39" s="5" t="str">
        <f aca="false">IF(OR(AV39="",AW39=""),"",IF($F39="Maior Melhor",IF(AW39&gt;=AV39,"Sim","Não"),IF(AW39&lt;=AV39,"Sim","Não")))</f>
        <v>Sim</v>
      </c>
      <c r="AZ39" s="3" t="n">
        <v>0.9</v>
      </c>
      <c r="BA39" s="3" t="n">
        <v>1.1</v>
      </c>
      <c r="BB39" s="4" t="n">
        <f aca="false">IF(OR(AZ39="",BA39=""),"",IFERROR(IF($K39="%",BA39-AZ39,BA39/AZ39-1),""))</f>
        <v>0.2</v>
      </c>
      <c r="BC39" s="5" t="str">
        <f aca="false">IF(OR(AZ39="",BA39=""),"",IF($F39="Maior Melhor",IF(BA39&gt;=AZ39,"Sim","Não"),IF(BA39&lt;=AZ39,"Sim","Não")))</f>
        <v>Sim</v>
      </c>
      <c r="BD39" s="3" t="n">
        <v>0.9</v>
      </c>
      <c r="BE39" s="3" t="n">
        <v>0.86</v>
      </c>
      <c r="BF39" s="4" t="n">
        <f aca="false">IF(OR(BD39="",BE39=""),"",IFERROR(IF($K39="%",BE39-BD39,BE39/BD39-1),""))</f>
        <v>-0.04</v>
      </c>
      <c r="BG39" s="5" t="str">
        <f aca="false">IF(OR(BD39="",BE39=""),"",IF($F39="Maior Melhor",IF(BE39&gt;=BD39,"Sim","Não"),IF(BE39&lt;=BD39,"Sim","Não")))</f>
        <v>Não</v>
      </c>
      <c r="BH39" s="3" t="n">
        <v>0.9</v>
      </c>
      <c r="BI39" s="3" t="n">
        <v>1.07</v>
      </c>
      <c r="BJ39" s="4" t="n">
        <f aca="false">IF(OR(BH39="",BI39=""),"",IFERROR(IF($K39="%",BI39-BH39,BI39/BH39-1),""))</f>
        <v>0.17</v>
      </c>
      <c r="BK39" s="5" t="str">
        <f aca="false">IF(OR(BH39="",BI39=""),"",IF($F39="Maior Melhor",IF(BI39&gt;=BH39,"Sim","Não"),IF(BI39&lt;=BH39,"Sim","Não")))</f>
        <v>Sim</v>
      </c>
      <c r="BL39" s="6"/>
      <c r="BM39" s="6"/>
      <c r="BN39" s="4" t="str">
        <f aca="false">IF(OR(BL39="",BM39=""),"",IFERROR(IF($K39="%",BM39-BL39,BM39/BL39-1),""))</f>
        <v/>
      </c>
      <c r="BO39" s="5" t="str">
        <f aca="false">IF(OR(BL39="",BM39=""),"",IF($F39="Maior Melhor",IF(BM39&gt;=BL39,"Sim","Não"),IF(BM39&lt;=BL39,"Sim","Não")))</f>
        <v/>
      </c>
      <c r="BP39" s="6"/>
      <c r="BQ39" s="6"/>
      <c r="BR39" s="4" t="str">
        <f aca="false">IF(OR(BP39="",BQ39=""),"",IFERROR(IF($K39="%",BQ39-BP39,BQ39/BP39-1),""))</f>
        <v/>
      </c>
      <c r="BS39" s="5" t="str">
        <f aca="false">IF(OR(BP39="",BQ39=""),"",IF($F39="Maior Melhor",IF(BQ39&gt;=BP39,"Sim","Não"),IF(BQ39&lt;=BP39,"Sim","Não")))</f>
        <v/>
      </c>
      <c r="BT39" s="6"/>
      <c r="BU39" s="6"/>
      <c r="BV39" s="4" t="str">
        <f aca="false">IF(OR(BT39="",BU39=""),"",IFERROR(IF($K39="%",BU39-BT39,BU39/BT39-1),""))</f>
        <v/>
      </c>
      <c r="BW39" s="5" t="str">
        <f aca="false">IF(OR(BT39="",BU39=""),"",IF($F39="Maior Melhor",IF(BU39&gt;=BT39,"Sim","Não"),IF(BU39&lt;=BT39,"Sim","Não")))</f>
        <v/>
      </c>
      <c r="BX39" s="6"/>
      <c r="BY39" s="6"/>
      <c r="BZ39" s="4" t="str">
        <f aca="false">IF(OR(BX39="",BY39=""),"",IFERROR(IF($K39="%",BY39-BX39,BY39/BX39-1),""))</f>
        <v/>
      </c>
      <c r="CA39" s="5" t="str">
        <f aca="false">IF(OR(BX39="",BY39=""),"",IF($F39="Maior Melhor",IF(BY39&gt;=BX39,"Sim","Não"),IF(BY39&lt;=BX39,"Sim","Não")))</f>
        <v/>
      </c>
      <c r="CB39" s="6"/>
      <c r="CC39" s="6"/>
      <c r="CD39" s="4" t="str">
        <f aca="false">IF(OR(CB39="",CC39=""),"",IFERROR(IF($K39="%",CC39-CB39,CC39/CB39-1),""))</f>
        <v/>
      </c>
      <c r="CE39" s="5" t="str">
        <f aca="false">IF(OR(CB39="",CC39=""),"",IF($F39="Maior Melhor",IF(CC39&gt;=CB39,"Sim","Não"),IF(CC39&lt;=CB39,"Sim","Não")))</f>
        <v/>
      </c>
      <c r="CF39" s="6"/>
      <c r="CG39" s="6"/>
      <c r="CH39" s="4" t="str">
        <f aca="false">IF(OR(CF39="",CG39=""),"",IFERROR(IF($K39="%",CG39-CF39,CG39/CF39-1),""))</f>
        <v/>
      </c>
      <c r="CI39" s="5" t="str">
        <f aca="false">IF(OR(CF39="",CG39=""),"",IF($F39="Maior Melhor",IF(CG39&gt;=CF39,"Sim","Não"),IF(CG39&lt;=CF39,"Sim","Não")))</f>
        <v/>
      </c>
      <c r="CJ39" s="6"/>
      <c r="CK39" s="6"/>
      <c r="CL39" s="4" t="str">
        <f aca="false">IF(OR(CJ39="",CK39=""),"",IFERROR(IF($K39="%",CK39-CJ39,CK39/CJ39-1),""))</f>
        <v/>
      </c>
      <c r="CM39" s="5" t="str">
        <f aca="false">IF(OR(CJ39="",CK39=""),"",IF($F39="Maior Melhor",IF(CK39&gt;=CJ39,"Sim","Não"),IF(CK39&lt;=CJ39,"Sim","Não")))</f>
        <v/>
      </c>
      <c r="CN39" s="6"/>
      <c r="CO39" s="6"/>
      <c r="CP39" s="4" t="str">
        <f aca="false">IF(OR(CN39="",CO39=""),"",IFERROR(IF($K39="%",CO39-CN39,CO39/CN39-1),""))</f>
        <v/>
      </c>
      <c r="CQ39" s="5" t="str">
        <f aca="false">IF(OR(CN39="",CO39=""),"",IF($F39="Maior Melhor",IF(CO39&gt;=CN39,"Sim","Não"),IF(CO39&lt;=CN39,"Sim","Não")))</f>
        <v/>
      </c>
      <c r="CR39" s="2" t="s">
        <v>105</v>
      </c>
    </row>
    <row r="40" customFormat="false" ht="15" hidden="false" customHeight="false" outlineLevel="0" collapsed="false">
      <c r="A40" s="2" t="s">
        <v>96</v>
      </c>
      <c r="B40" s="2" t="s">
        <v>108</v>
      </c>
      <c r="C40" s="2" t="s">
        <v>109</v>
      </c>
      <c r="D40" s="2" t="s">
        <v>136</v>
      </c>
      <c r="E40" s="2" t="str">
        <f aca="false">C40&amp;D40</f>
        <v>Gerência SudoesteAvanço físico da carteira de manutenção</v>
      </c>
      <c r="F40" s="2" t="s">
        <v>100</v>
      </c>
      <c r="G40" s="2" t="s">
        <v>137</v>
      </c>
      <c r="H40" s="2" t="s">
        <v>102</v>
      </c>
      <c r="I40" s="2" t="s">
        <v>103</v>
      </c>
      <c r="J40" s="2" t="n">
        <v>2</v>
      </c>
      <c r="K40" s="2" t="s">
        <v>104</v>
      </c>
      <c r="L40" s="3" t="n">
        <v>0.9</v>
      </c>
      <c r="M40" s="3" t="n">
        <v>0.1995</v>
      </c>
      <c r="N40" s="4" t="n">
        <f aca="false">IF(OR(L40="",M40=""),"",IFERROR(IF($K40="%",M40-L40,M40/L40-1),""))</f>
        <v>-0.7005</v>
      </c>
      <c r="O40" s="5" t="str">
        <f aca="false">IF(OR(L40="",M40=""),"",IF($F40="Maior Melhor",IF(M40&gt;=L40,"Sim","Não"),IF(M40&lt;=L40,"Sim","Não")))</f>
        <v>Não</v>
      </c>
      <c r="P40" s="3" t="n">
        <v>0.9</v>
      </c>
      <c r="Q40" s="3" t="n">
        <v>0.3206</v>
      </c>
      <c r="R40" s="4" t="n">
        <f aca="false">IF(OR(P40="",Q40=""),"",IFERROR(IF($K40="%",Q40-P40,Q40/P40-1),""))</f>
        <v>-0.5794</v>
      </c>
      <c r="S40" s="5" t="str">
        <f aca="false">IF(OR(P40="",Q40=""),"",IF($F40="Maior Melhor",IF(Q40&gt;=P40,"Sim","Não"),IF(Q40&lt;=P40,"Sim","Não")))</f>
        <v>Não</v>
      </c>
      <c r="T40" s="3" t="n">
        <v>0.9</v>
      </c>
      <c r="U40" s="3" t="n">
        <v>0.8</v>
      </c>
      <c r="V40" s="4" t="n">
        <f aca="false">IF(OR(T40="",U40=""),"",IFERROR(IF($K40="%",U40-T40,U40/T40-1),""))</f>
        <v>-0.1</v>
      </c>
      <c r="W40" s="5" t="str">
        <f aca="false">IF(OR(T40="",U40=""),"",IF($F40="Maior Melhor",IF(U40&gt;=T40,"Sim","Não"),IF(U40&lt;=T40,"Sim","Não")))</f>
        <v>Não</v>
      </c>
      <c r="X40" s="3" t="n">
        <v>0.9</v>
      </c>
      <c r="Y40" s="3" t="n">
        <v>1.1</v>
      </c>
      <c r="Z40" s="4" t="n">
        <f aca="false">IF(OR(X40="",Y40=""),"",IFERROR(IF($K40="%",Y40-X40,Y40/X40-1),""))</f>
        <v>0.2</v>
      </c>
      <c r="AA40" s="5" t="str">
        <f aca="false">IF(OR(X40="",Y40=""),"",IF($F40="Maior Melhor",IF(Y40&gt;=X40,"Sim","Não"),IF(Y40&lt;=X40,"Sim","Não")))</f>
        <v>Sim</v>
      </c>
      <c r="AB40" s="3" t="n">
        <v>0.9</v>
      </c>
      <c r="AC40" s="3" t="n">
        <v>0.74</v>
      </c>
      <c r="AD40" s="4" t="n">
        <f aca="false">IF(OR(AB40="",AC40=""),"",IFERROR(IF($K40="%",AC40-AB40,AC40/AB40-1),""))</f>
        <v>-0.16</v>
      </c>
      <c r="AE40" s="5" t="str">
        <f aca="false">IF(OR(AB40="",AC40=""),"",IF($F40="Maior Melhor",IF(AC40&gt;=AB40,"Sim","Não"),IF(AC40&lt;=AB40,"Sim","Não")))</f>
        <v>Não</v>
      </c>
      <c r="AF40" s="3" t="n">
        <v>0.9</v>
      </c>
      <c r="AG40" s="3" t="n">
        <v>1.1</v>
      </c>
      <c r="AH40" s="4" t="n">
        <f aca="false">IF(OR(AF40="",AG40=""),"",IFERROR(IF($K40="%",AG40-AF40,AG40/AF40-1),""))</f>
        <v>0.2</v>
      </c>
      <c r="AI40" s="5" t="str">
        <f aca="false">IF(OR(AF40="",AG40=""),"",IF($F40="Maior Melhor",IF(AG40&gt;=AF40,"Sim","Não"),IF(AG40&lt;=AF40,"Sim","Não")))</f>
        <v>Sim</v>
      </c>
      <c r="AJ40" s="3" t="n">
        <v>0.9</v>
      </c>
      <c r="AK40" s="3" t="n">
        <v>0.89</v>
      </c>
      <c r="AL40" s="4" t="n">
        <f aca="false">IF(OR(AJ40="",AK40=""),"",IFERROR(IF($K40="%",AK40-AJ40,AK40/AJ40-1),""))</f>
        <v>-0.01</v>
      </c>
      <c r="AM40" s="5" t="str">
        <f aca="false">IF(OR(AJ40="",AK40=""),"",IF($F40="Maior Melhor",IF(AK40&gt;=AJ40,"Sim","Não"),IF(AK40&lt;=AJ40,"Sim","Não")))</f>
        <v>Não</v>
      </c>
      <c r="AN40" s="3" t="n">
        <v>0.9</v>
      </c>
      <c r="AO40" s="3" t="n">
        <v>0.86</v>
      </c>
      <c r="AP40" s="4" t="n">
        <f aca="false">IF(OR(AN40="",AO40=""),"",IFERROR(IF($K40="%",AO40-AN40,AO40/AN40-1),""))</f>
        <v>-0.04</v>
      </c>
      <c r="AQ40" s="5" t="str">
        <f aca="false">IF(OR(AN40="",AO40=""),"",IF($F40="Maior Melhor",IF(AO40&gt;=AN40,"Sim","Não"),IF(AO40&lt;=AN40,"Sim","Não")))</f>
        <v>Não</v>
      </c>
      <c r="AR40" s="3" t="n">
        <v>0.9</v>
      </c>
      <c r="AS40" s="3" t="n">
        <v>0.89</v>
      </c>
      <c r="AT40" s="4" t="n">
        <f aca="false">IF(OR(AR40="",AS40=""),"",IFERROR(IF($K40="%",AS40-AR40,AS40/AR40-1),""))</f>
        <v>-0.01</v>
      </c>
      <c r="AU40" s="5" t="str">
        <f aca="false">IF(OR(AR40="",AS40=""),"",IF($F40="Maior Melhor",IF(AS40&gt;=AR40,"Sim","Não"),IF(AS40&lt;=AR40,"Sim","Não")))</f>
        <v>Não</v>
      </c>
      <c r="AV40" s="3" t="n">
        <v>0.9</v>
      </c>
      <c r="AW40" s="3" t="n">
        <v>1</v>
      </c>
      <c r="AX40" s="4" t="n">
        <f aca="false">IF(OR(AV40="",AW40=""),"",IFERROR(IF($K40="%",AW40-AV40,AW40/AV40-1),""))</f>
        <v>0.1</v>
      </c>
      <c r="AY40" s="5" t="str">
        <f aca="false">IF(OR(AV40="",AW40=""),"",IF($F40="Maior Melhor",IF(AW40&gt;=AV40,"Sim","Não"),IF(AW40&lt;=AV40,"Sim","Não")))</f>
        <v>Sim</v>
      </c>
      <c r="AZ40" s="3" t="n">
        <v>0.9</v>
      </c>
      <c r="BA40" s="3" t="n">
        <v>0.92</v>
      </c>
      <c r="BB40" s="4" t="n">
        <f aca="false">IF(OR(AZ40="",BA40=""),"",IFERROR(IF($K40="%",BA40-AZ40,BA40/AZ40-1),""))</f>
        <v>0.02</v>
      </c>
      <c r="BC40" s="5" t="str">
        <f aca="false">IF(OR(AZ40="",BA40=""),"",IF($F40="Maior Melhor",IF(BA40&gt;=AZ40,"Sim","Não"),IF(BA40&lt;=AZ40,"Sim","Não")))</f>
        <v>Sim</v>
      </c>
      <c r="BD40" s="3" t="n">
        <v>0.9</v>
      </c>
      <c r="BE40" s="3" t="n">
        <v>1.03</v>
      </c>
      <c r="BF40" s="4" t="n">
        <f aca="false">IF(OR(BD40="",BE40=""),"",IFERROR(IF($K40="%",BE40-BD40,BE40/BD40-1),""))</f>
        <v>0.13</v>
      </c>
      <c r="BG40" s="5" t="str">
        <f aca="false">IF(OR(BD40="",BE40=""),"",IF($F40="Maior Melhor",IF(BE40&gt;=BD40,"Sim","Não"),IF(BE40&lt;=BD40,"Sim","Não")))</f>
        <v>Sim</v>
      </c>
      <c r="BH40" s="3" t="n">
        <v>0.9</v>
      </c>
      <c r="BI40" s="3" t="n">
        <v>0.95</v>
      </c>
      <c r="BJ40" s="4" t="n">
        <f aca="false">IF(OR(BH40="",BI40=""),"",IFERROR(IF($K40="%",BI40-BH40,BI40/BH40-1),""))</f>
        <v>0.0499999999999999</v>
      </c>
      <c r="BK40" s="5" t="str">
        <f aca="false">IF(OR(BH40="",BI40=""),"",IF($F40="Maior Melhor",IF(BI40&gt;=BH40,"Sim","Não"),IF(BI40&lt;=BH40,"Sim","Não")))</f>
        <v>Sim</v>
      </c>
      <c r="BL40" s="6"/>
      <c r="BM40" s="6"/>
      <c r="BN40" s="4" t="str">
        <f aca="false">IF(OR(BL40="",BM40=""),"",IFERROR(IF($K40="%",BM40-BL40,BM40/BL40-1),""))</f>
        <v/>
      </c>
      <c r="BO40" s="5" t="str">
        <f aca="false">IF(OR(BL40="",BM40=""),"",IF($F40="Maior Melhor",IF(BM40&gt;=BL40,"Sim","Não"),IF(BM40&lt;=BL40,"Sim","Não")))</f>
        <v/>
      </c>
      <c r="BP40" s="6"/>
      <c r="BQ40" s="6"/>
      <c r="BR40" s="4" t="str">
        <f aca="false">IF(OR(BP40="",BQ40=""),"",IFERROR(IF($K40="%",BQ40-BP40,BQ40/BP40-1),""))</f>
        <v/>
      </c>
      <c r="BS40" s="5" t="str">
        <f aca="false">IF(OR(BP40="",BQ40=""),"",IF($F40="Maior Melhor",IF(BQ40&gt;=BP40,"Sim","Não"),IF(BQ40&lt;=BP40,"Sim","Não")))</f>
        <v/>
      </c>
      <c r="BT40" s="6"/>
      <c r="BU40" s="6"/>
      <c r="BV40" s="4" t="str">
        <f aca="false">IF(OR(BT40="",BU40=""),"",IFERROR(IF($K40="%",BU40-BT40,BU40/BT40-1),""))</f>
        <v/>
      </c>
      <c r="BW40" s="5" t="str">
        <f aca="false">IF(OR(BT40="",BU40=""),"",IF($F40="Maior Melhor",IF(BU40&gt;=BT40,"Sim","Não"),IF(BU40&lt;=BT40,"Sim","Não")))</f>
        <v/>
      </c>
      <c r="BX40" s="6"/>
      <c r="BY40" s="6"/>
      <c r="BZ40" s="4" t="str">
        <f aca="false">IF(OR(BX40="",BY40=""),"",IFERROR(IF($K40="%",BY40-BX40,BY40/BX40-1),""))</f>
        <v/>
      </c>
      <c r="CA40" s="5" t="str">
        <f aca="false">IF(OR(BX40="",BY40=""),"",IF($F40="Maior Melhor",IF(BY40&gt;=BX40,"Sim","Não"),IF(BY40&lt;=BX40,"Sim","Não")))</f>
        <v/>
      </c>
      <c r="CB40" s="6"/>
      <c r="CC40" s="6"/>
      <c r="CD40" s="4" t="str">
        <f aca="false">IF(OR(CB40="",CC40=""),"",IFERROR(IF($K40="%",CC40-CB40,CC40/CB40-1),""))</f>
        <v/>
      </c>
      <c r="CE40" s="5" t="str">
        <f aca="false">IF(OR(CB40="",CC40=""),"",IF($F40="Maior Melhor",IF(CC40&gt;=CB40,"Sim","Não"),IF(CC40&lt;=CB40,"Sim","Não")))</f>
        <v/>
      </c>
      <c r="CF40" s="6"/>
      <c r="CG40" s="6"/>
      <c r="CH40" s="4" t="str">
        <f aca="false">IF(OR(CF40="",CG40=""),"",IFERROR(IF($K40="%",CG40-CF40,CG40/CF40-1),""))</f>
        <v/>
      </c>
      <c r="CI40" s="5" t="str">
        <f aca="false">IF(OR(CF40="",CG40=""),"",IF($F40="Maior Melhor",IF(CG40&gt;=CF40,"Sim","Não"),IF(CG40&lt;=CF40,"Sim","Não")))</f>
        <v/>
      </c>
      <c r="CJ40" s="6"/>
      <c r="CK40" s="6"/>
      <c r="CL40" s="4" t="str">
        <f aca="false">IF(OR(CJ40="",CK40=""),"",IFERROR(IF($K40="%",CK40-CJ40,CK40/CJ40-1),""))</f>
        <v/>
      </c>
      <c r="CM40" s="5" t="str">
        <f aca="false">IF(OR(CJ40="",CK40=""),"",IF($F40="Maior Melhor",IF(CK40&gt;=CJ40,"Sim","Não"),IF(CK40&lt;=CJ40,"Sim","Não")))</f>
        <v/>
      </c>
      <c r="CN40" s="6"/>
      <c r="CO40" s="6"/>
      <c r="CP40" s="4" t="str">
        <f aca="false">IF(OR(CN40="",CO40=""),"",IFERROR(IF($K40="%",CO40-CN40,CO40/CN40-1),""))</f>
        <v/>
      </c>
      <c r="CQ40" s="5" t="str">
        <f aca="false">IF(OR(CN40="",CO40=""),"",IF($F40="Maior Melhor",IF(CO40&gt;=CN40,"Sim","Não"),IF(CO40&lt;=CN40,"Sim","Não")))</f>
        <v/>
      </c>
      <c r="CR40" s="2" t="s">
        <v>105</v>
      </c>
    </row>
    <row r="41" customFormat="false" ht="15" hidden="false" customHeight="false" outlineLevel="0" collapsed="false">
      <c r="A41" s="2" t="s">
        <v>96</v>
      </c>
      <c r="B41" s="2" t="s">
        <v>110</v>
      </c>
      <c r="C41" s="2" t="s">
        <v>110</v>
      </c>
      <c r="D41" s="2" t="s">
        <v>136</v>
      </c>
      <c r="E41" s="2" t="str">
        <f aca="false">C41&amp;D41</f>
        <v>Sup OesteAvanço físico da carteira de manutenção</v>
      </c>
      <c r="F41" s="2" t="s">
        <v>100</v>
      </c>
      <c r="G41" s="2" t="s">
        <v>137</v>
      </c>
      <c r="H41" s="2" t="s">
        <v>102</v>
      </c>
      <c r="I41" s="2" t="s">
        <v>103</v>
      </c>
      <c r="J41" s="2" t="n">
        <v>2</v>
      </c>
      <c r="K41" s="2" t="s">
        <v>104</v>
      </c>
      <c r="L41" s="3" t="n">
        <v>0.9</v>
      </c>
      <c r="M41" s="3" t="n">
        <v>0.6157</v>
      </c>
      <c r="N41" s="4" t="n">
        <f aca="false">IF(OR(L41="",M41=""),"",IFERROR(IF($K41="%",M41-L41,M41/L41-1),""))</f>
        <v>-0.2843</v>
      </c>
      <c r="O41" s="5" t="str">
        <f aca="false">IF(OR(L41="",M41=""),"",IF($F41="Maior Melhor",IF(M41&gt;=L41,"Sim","Não"),IF(M41&lt;=L41,"Sim","Não")))</f>
        <v>Não</v>
      </c>
      <c r="P41" s="3" t="n">
        <v>0.9</v>
      </c>
      <c r="Q41" s="3" t="n">
        <v>0.5785</v>
      </c>
      <c r="R41" s="4" t="n">
        <f aca="false">IF(OR(P41="",Q41=""),"",IFERROR(IF($K41="%",Q41-P41,Q41/P41-1),""))</f>
        <v>-0.3215</v>
      </c>
      <c r="S41" s="5" t="str">
        <f aca="false">IF(OR(P41="",Q41=""),"",IF($F41="Maior Melhor",IF(Q41&gt;=P41,"Sim","Não"),IF(Q41&lt;=P41,"Sim","Não")))</f>
        <v>Não</v>
      </c>
      <c r="T41" s="3" t="n">
        <v>0.9</v>
      </c>
      <c r="U41" s="3" t="n">
        <v>0.97</v>
      </c>
      <c r="V41" s="4" t="n">
        <f aca="false">IF(OR(T41="",U41=""),"",IFERROR(IF($K41="%",U41-T41,U41/T41-1),""))</f>
        <v>0.07</v>
      </c>
      <c r="W41" s="5" t="str">
        <f aca="false">IF(OR(T41="",U41=""),"",IF($F41="Maior Melhor",IF(U41&gt;=T41,"Sim","Não"),IF(U41&lt;=T41,"Sim","Não")))</f>
        <v>Sim</v>
      </c>
      <c r="X41" s="3" t="n">
        <v>0.9</v>
      </c>
      <c r="Y41" s="3" t="n">
        <v>1.1</v>
      </c>
      <c r="Z41" s="4" t="n">
        <f aca="false">IF(OR(X41="",Y41=""),"",IFERROR(IF($K41="%",Y41-X41,Y41/X41-1),""))</f>
        <v>0.2</v>
      </c>
      <c r="AA41" s="5" t="str">
        <f aca="false">IF(OR(X41="",Y41=""),"",IF($F41="Maior Melhor",IF(Y41&gt;=X41,"Sim","Não"),IF(Y41&lt;=X41,"Sim","Não")))</f>
        <v>Sim</v>
      </c>
      <c r="AB41" s="3" t="n">
        <v>0.9</v>
      </c>
      <c r="AC41" s="3" t="n">
        <v>0.93</v>
      </c>
      <c r="AD41" s="4" t="n">
        <f aca="false">IF(OR(AB41="",AC41=""),"",IFERROR(IF($K41="%",AC41-AB41,AC41/AB41-1),""))</f>
        <v>0.03</v>
      </c>
      <c r="AE41" s="5" t="str">
        <f aca="false">IF(OR(AB41="",AC41=""),"",IF($F41="Maior Melhor",IF(AC41&gt;=AB41,"Sim","Não"),IF(AC41&lt;=AB41,"Sim","Não")))</f>
        <v>Sim</v>
      </c>
      <c r="AF41" s="3" t="n">
        <v>0.9</v>
      </c>
      <c r="AG41" s="3" t="n">
        <v>1.1</v>
      </c>
      <c r="AH41" s="4" t="n">
        <f aca="false">IF(OR(AF41="",AG41=""),"",IFERROR(IF($K41="%",AG41-AF41,AG41/AF41-1),""))</f>
        <v>0.2</v>
      </c>
      <c r="AI41" s="5" t="str">
        <f aca="false">IF(OR(AF41="",AG41=""),"",IF($F41="Maior Melhor",IF(AG41&gt;=AF41,"Sim","Não"),IF(AG41&lt;=AF41,"Sim","Não")))</f>
        <v>Sim</v>
      </c>
      <c r="AJ41" s="3" t="n">
        <v>0.9</v>
      </c>
      <c r="AK41" s="3" t="n">
        <v>0.99</v>
      </c>
      <c r="AL41" s="4" t="n">
        <f aca="false">IF(OR(AJ41="",AK41=""),"",IFERROR(IF($K41="%",AK41-AJ41,AK41/AJ41-1),""))</f>
        <v>0.09</v>
      </c>
      <c r="AM41" s="5" t="str">
        <f aca="false">IF(OR(AJ41="",AK41=""),"",IF($F41="Maior Melhor",IF(AK41&gt;=AJ41,"Sim","Não"),IF(AK41&lt;=AJ41,"Sim","Não")))</f>
        <v>Sim</v>
      </c>
      <c r="AN41" s="3" t="n">
        <v>0.9</v>
      </c>
      <c r="AO41" s="3" t="n">
        <v>0.97</v>
      </c>
      <c r="AP41" s="4" t="n">
        <f aca="false">IF(OR(AN41="",AO41=""),"",IFERROR(IF($K41="%",AO41-AN41,AO41/AN41-1),""))</f>
        <v>0.07</v>
      </c>
      <c r="AQ41" s="5" t="str">
        <f aca="false">IF(OR(AN41="",AO41=""),"",IF($F41="Maior Melhor",IF(AO41&gt;=AN41,"Sim","Não"),IF(AO41&lt;=AN41,"Sim","Não")))</f>
        <v>Sim</v>
      </c>
      <c r="AR41" s="3" t="n">
        <v>0.9</v>
      </c>
      <c r="AS41" s="3" t="n">
        <v>0.99</v>
      </c>
      <c r="AT41" s="4" t="n">
        <f aca="false">IF(OR(AR41="",AS41=""),"",IFERROR(IF($K41="%",AS41-AR41,AS41/AR41-1),""))</f>
        <v>0.09</v>
      </c>
      <c r="AU41" s="5" t="str">
        <f aca="false">IF(OR(AR41="",AS41=""),"",IF($F41="Maior Melhor",IF(AS41&gt;=AR41,"Sim","Não"),IF(AS41&lt;=AR41,"Sim","Não")))</f>
        <v>Sim</v>
      </c>
      <c r="AV41" s="3" t="n">
        <v>0.9</v>
      </c>
      <c r="AW41" s="3" t="n">
        <v>0.88</v>
      </c>
      <c r="AX41" s="4" t="n">
        <f aca="false">IF(OR(AV41="",AW41=""),"",IFERROR(IF($K41="%",AW41-AV41,AW41/AV41-1),""))</f>
        <v>-0.02</v>
      </c>
      <c r="AY41" s="5" t="str">
        <f aca="false">IF(OR(AV41="",AW41=""),"",IF($F41="Maior Melhor",IF(AW41&gt;=AV41,"Sim","Não"),IF(AW41&lt;=AV41,"Sim","Não")))</f>
        <v>Não</v>
      </c>
      <c r="AZ41" s="3" t="n">
        <v>0.9</v>
      </c>
      <c r="BA41" s="3" t="n">
        <v>0.99</v>
      </c>
      <c r="BB41" s="4" t="n">
        <f aca="false">IF(OR(AZ41="",BA41=""),"",IFERROR(IF($K41="%",BA41-AZ41,BA41/AZ41-1),""))</f>
        <v>0.09</v>
      </c>
      <c r="BC41" s="5" t="str">
        <f aca="false">IF(OR(AZ41="",BA41=""),"",IF($F41="Maior Melhor",IF(BA41&gt;=AZ41,"Sim","Não"),IF(BA41&lt;=AZ41,"Sim","Não")))</f>
        <v>Sim</v>
      </c>
      <c r="BD41" s="3" t="n">
        <v>0.9</v>
      </c>
      <c r="BE41" s="3" t="n">
        <v>0.98</v>
      </c>
      <c r="BF41" s="4" t="n">
        <f aca="false">IF(OR(BD41="",BE41=""),"",IFERROR(IF($K41="%",BE41-BD41,BE41/BD41-1),""))</f>
        <v>0.08</v>
      </c>
      <c r="BG41" s="5" t="str">
        <f aca="false">IF(OR(BD41="",BE41=""),"",IF($F41="Maior Melhor",IF(BE41&gt;=BD41,"Sim","Não"),IF(BE41&lt;=BD41,"Sim","Não")))</f>
        <v>Sim</v>
      </c>
      <c r="BH41" s="3" t="n">
        <v>0.9</v>
      </c>
      <c r="BI41" s="3" t="n">
        <v>0.99</v>
      </c>
      <c r="BJ41" s="4" t="n">
        <f aca="false">IF(OR(BH41="",BI41=""),"",IFERROR(IF($K41="%",BI41-BH41,BI41/BH41-1),""))</f>
        <v>0.09</v>
      </c>
      <c r="BK41" s="5" t="str">
        <f aca="false">IF(OR(BH41="",BI41=""),"",IF($F41="Maior Melhor",IF(BI41&gt;=BH41,"Sim","Não"),IF(BI41&lt;=BH41,"Sim","Não")))</f>
        <v>Sim</v>
      </c>
      <c r="BL41" s="6"/>
      <c r="BM41" s="6"/>
      <c r="BN41" s="4" t="str">
        <f aca="false">IF(OR(BL41="",BM41=""),"",IFERROR(IF($K41="%",BM41-BL41,BM41/BL41-1),""))</f>
        <v/>
      </c>
      <c r="BO41" s="5" t="str">
        <f aca="false">IF(OR(BL41="",BM41=""),"",IF($F41="Maior Melhor",IF(BM41&gt;=BL41,"Sim","Não"),IF(BM41&lt;=BL41,"Sim","Não")))</f>
        <v/>
      </c>
      <c r="BP41" s="6"/>
      <c r="BQ41" s="6"/>
      <c r="BR41" s="4" t="str">
        <f aca="false">IF(OR(BP41="",BQ41=""),"",IFERROR(IF($K41="%",BQ41-BP41,BQ41/BP41-1),""))</f>
        <v/>
      </c>
      <c r="BS41" s="5" t="str">
        <f aca="false">IF(OR(BP41="",BQ41=""),"",IF($F41="Maior Melhor",IF(BQ41&gt;=BP41,"Sim","Não"),IF(BQ41&lt;=BP41,"Sim","Não")))</f>
        <v/>
      </c>
      <c r="BT41" s="6"/>
      <c r="BU41" s="6"/>
      <c r="BV41" s="4" t="str">
        <f aca="false">IF(OR(BT41="",BU41=""),"",IFERROR(IF($K41="%",BU41-BT41,BU41/BT41-1),""))</f>
        <v/>
      </c>
      <c r="BW41" s="5" t="str">
        <f aca="false">IF(OR(BT41="",BU41=""),"",IF($F41="Maior Melhor",IF(BU41&gt;=BT41,"Sim","Não"),IF(BU41&lt;=BT41,"Sim","Não")))</f>
        <v/>
      </c>
      <c r="BX41" s="6"/>
      <c r="BY41" s="6"/>
      <c r="BZ41" s="4" t="str">
        <f aca="false">IF(OR(BX41="",BY41=""),"",IFERROR(IF($K41="%",BY41-BX41,BY41/BX41-1),""))</f>
        <v/>
      </c>
      <c r="CA41" s="5" t="str">
        <f aca="false">IF(OR(BX41="",BY41=""),"",IF($F41="Maior Melhor",IF(BY41&gt;=BX41,"Sim","Não"),IF(BY41&lt;=BX41,"Sim","Não")))</f>
        <v/>
      </c>
      <c r="CB41" s="6"/>
      <c r="CC41" s="6"/>
      <c r="CD41" s="4" t="str">
        <f aca="false">IF(OR(CB41="",CC41=""),"",IFERROR(IF($K41="%",CC41-CB41,CC41/CB41-1),""))</f>
        <v/>
      </c>
      <c r="CE41" s="5" t="str">
        <f aca="false">IF(OR(CB41="",CC41=""),"",IF($F41="Maior Melhor",IF(CC41&gt;=CB41,"Sim","Não"),IF(CC41&lt;=CB41,"Sim","Não")))</f>
        <v/>
      </c>
      <c r="CF41" s="6"/>
      <c r="CG41" s="6"/>
      <c r="CH41" s="4" t="str">
        <f aca="false">IF(OR(CF41="",CG41=""),"",IFERROR(IF($K41="%",CG41-CF41,CG41/CF41-1),""))</f>
        <v/>
      </c>
      <c r="CI41" s="5" t="str">
        <f aca="false">IF(OR(CF41="",CG41=""),"",IF($F41="Maior Melhor",IF(CG41&gt;=CF41,"Sim","Não"),IF(CG41&lt;=CF41,"Sim","Não")))</f>
        <v/>
      </c>
      <c r="CJ41" s="6"/>
      <c r="CK41" s="6"/>
      <c r="CL41" s="4" t="str">
        <f aca="false">IF(OR(CJ41="",CK41=""),"",IFERROR(IF($K41="%",CK41-CJ41,CK41/CJ41-1),""))</f>
        <v/>
      </c>
      <c r="CM41" s="5" t="str">
        <f aca="false">IF(OR(CJ41="",CK41=""),"",IF($F41="Maior Melhor",IF(CK41&gt;=CJ41,"Sim","Não"),IF(CK41&lt;=CJ41,"Sim","Não")))</f>
        <v/>
      </c>
      <c r="CN41" s="6"/>
      <c r="CO41" s="6"/>
      <c r="CP41" s="4" t="str">
        <f aca="false">IF(OR(CN41="",CO41=""),"",IFERROR(IF($K41="%",CO41-CN41,CO41/CN41-1),""))</f>
        <v/>
      </c>
      <c r="CQ41" s="5" t="str">
        <f aca="false">IF(OR(CN41="",CO41=""),"",IF($F41="Maior Melhor",IF(CO41&gt;=CN41,"Sim","Não"),IF(CO41&lt;=CN41,"Sim","Não")))</f>
        <v/>
      </c>
      <c r="CR41" s="2" t="s">
        <v>105</v>
      </c>
    </row>
    <row r="42" customFormat="false" ht="15" hidden="false" customHeight="false" outlineLevel="0" collapsed="false">
      <c r="A42" s="2" t="s">
        <v>96</v>
      </c>
      <c r="B42" s="2" t="s">
        <v>106</v>
      </c>
      <c r="C42" s="2" t="s">
        <v>111</v>
      </c>
      <c r="D42" s="2" t="s">
        <v>136</v>
      </c>
      <c r="E42" s="2" t="str">
        <f aca="false">C42&amp;D42</f>
        <v>UTD BARREIRASAvanço físico da carteira de manutenção</v>
      </c>
      <c r="F42" s="2" t="s">
        <v>100</v>
      </c>
      <c r="G42" s="2" t="s">
        <v>137</v>
      </c>
      <c r="H42" s="2" t="s">
        <v>102</v>
      </c>
      <c r="I42" s="2" t="s">
        <v>103</v>
      </c>
      <c r="J42" s="2" t="n">
        <v>2</v>
      </c>
      <c r="K42" s="2" t="s">
        <v>104</v>
      </c>
      <c r="L42" s="3" t="n">
        <v>0.9</v>
      </c>
      <c r="M42" s="3" t="n">
        <v>2.1516</v>
      </c>
      <c r="N42" s="4" t="n">
        <f aca="false">IF(OR(L42="",M42=""),"",IFERROR(IF($K42="%",M42-L42,M42/L42-1),""))</f>
        <v>1.2516</v>
      </c>
      <c r="O42" s="5" t="str">
        <f aca="false">IF(OR(L42="",M42=""),"",IF($F42="Maior Melhor",IF(M42&gt;=L42,"Sim","Não"),IF(M42&lt;=L42,"Sim","Não")))</f>
        <v>Sim</v>
      </c>
      <c r="P42" s="3" t="n">
        <v>0.9</v>
      </c>
      <c r="Q42" s="3" t="n">
        <v>1.2206</v>
      </c>
      <c r="R42" s="4" t="n">
        <f aca="false">IF(OR(P42="",Q42=""),"",IFERROR(IF($K42="%",Q42-P42,Q42/P42-1),""))</f>
        <v>0.3206</v>
      </c>
      <c r="S42" s="5" t="str">
        <f aca="false">IF(OR(P42="",Q42=""),"",IF($F42="Maior Melhor",IF(Q42&gt;=P42,"Sim","Não"),IF(Q42&lt;=P42,"Sim","Não")))</f>
        <v>Sim</v>
      </c>
      <c r="T42" s="3" t="n">
        <v>0.9</v>
      </c>
      <c r="U42" s="3" t="n">
        <v>0.6527</v>
      </c>
      <c r="V42" s="4" t="n">
        <f aca="false">IF(OR(T42="",U42=""),"",IFERROR(IF($K42="%",U42-T42,U42/T42-1),""))</f>
        <v>-0.2473</v>
      </c>
      <c r="W42" s="5" t="str">
        <f aca="false">IF(OR(T42="",U42=""),"",IF($F42="Maior Melhor",IF(U42&gt;=T42,"Sim","Não"),IF(U42&lt;=T42,"Sim","Não")))</f>
        <v>Não</v>
      </c>
      <c r="X42" s="3" t="n">
        <v>0.9</v>
      </c>
      <c r="Y42" s="3" t="n">
        <v>0.99</v>
      </c>
      <c r="Z42" s="4" t="n">
        <f aca="false">IF(OR(X42="",Y42=""),"",IFERROR(IF($K42="%",Y42-X42,Y42/X42-1),""))</f>
        <v>0.09</v>
      </c>
      <c r="AA42" s="5" t="str">
        <f aca="false">IF(OR(X42="",Y42=""),"",IF($F42="Maior Melhor",IF(Y42&gt;=X42,"Sim","Não"),IF(Y42&lt;=X42,"Sim","Não")))</f>
        <v>Sim</v>
      </c>
      <c r="AB42" s="3" t="n">
        <v>0.9</v>
      </c>
      <c r="AC42" s="3" t="n">
        <v>1.04</v>
      </c>
      <c r="AD42" s="4" t="n">
        <f aca="false">IF(OR(AB42="",AC42=""),"",IFERROR(IF($K42="%",AC42-AB42,AC42/AB42-1),""))</f>
        <v>0.14</v>
      </c>
      <c r="AE42" s="5" t="str">
        <f aca="false">IF(OR(AB42="",AC42=""),"",IF($F42="Maior Melhor",IF(AC42&gt;=AB42,"Sim","Não"),IF(AC42&lt;=AB42,"Sim","Não")))</f>
        <v>Sim</v>
      </c>
      <c r="AF42" s="3" t="n">
        <v>0.9</v>
      </c>
      <c r="AG42" s="3" t="n">
        <v>1.02</v>
      </c>
      <c r="AH42" s="4" t="n">
        <f aca="false">IF(OR(AF42="",AG42=""),"",IFERROR(IF($K42="%",AG42-AF42,AG42/AF42-1),""))</f>
        <v>0.12</v>
      </c>
      <c r="AI42" s="5" t="str">
        <f aca="false">IF(OR(AF42="",AG42=""),"",IF($F42="Maior Melhor",IF(AG42&gt;=AF42,"Sim","Não"),IF(AG42&lt;=AF42,"Sim","Não")))</f>
        <v>Sim</v>
      </c>
      <c r="AJ42" s="3" t="n">
        <v>0.9</v>
      </c>
      <c r="AK42" s="3" t="n">
        <v>1.1</v>
      </c>
      <c r="AL42" s="4" t="n">
        <f aca="false">IF(OR(AJ42="",AK42=""),"",IFERROR(IF($K42="%",AK42-AJ42,AK42/AJ42-1),""))</f>
        <v>0.2</v>
      </c>
      <c r="AM42" s="5" t="str">
        <f aca="false">IF(OR(AJ42="",AK42=""),"",IF($F42="Maior Melhor",IF(AK42&gt;=AJ42,"Sim","Não"),IF(AK42&lt;=AJ42,"Sim","Não")))</f>
        <v>Sim</v>
      </c>
      <c r="AN42" s="3" t="n">
        <v>0.9</v>
      </c>
      <c r="AO42" s="3" t="n">
        <v>0.92</v>
      </c>
      <c r="AP42" s="4" t="n">
        <f aca="false">IF(OR(AN42="",AO42=""),"",IFERROR(IF($K42="%",AO42-AN42,AO42/AN42-1),""))</f>
        <v>0.02</v>
      </c>
      <c r="AQ42" s="5" t="str">
        <f aca="false">IF(OR(AN42="",AO42=""),"",IF($F42="Maior Melhor",IF(AO42&gt;=AN42,"Sim","Não"),IF(AO42&lt;=AN42,"Sim","Não")))</f>
        <v>Sim</v>
      </c>
      <c r="AR42" s="3" t="n">
        <v>0.9</v>
      </c>
      <c r="AS42" s="3" t="n">
        <v>1.1</v>
      </c>
      <c r="AT42" s="4" t="n">
        <f aca="false">IF(OR(AR42="",AS42=""),"",IFERROR(IF($K42="%",AS42-AR42,AS42/AR42-1),""))</f>
        <v>0.2</v>
      </c>
      <c r="AU42" s="5" t="str">
        <f aca="false">IF(OR(AR42="",AS42=""),"",IF($F42="Maior Melhor",IF(AS42&gt;=AR42,"Sim","Não"),IF(AS42&lt;=AR42,"Sim","Não")))</f>
        <v>Sim</v>
      </c>
      <c r="AV42" s="3" t="n">
        <v>0.9</v>
      </c>
      <c r="AW42" s="3" t="n">
        <v>0.77</v>
      </c>
      <c r="AX42" s="4" t="n">
        <f aca="false">IF(OR(AV42="",AW42=""),"",IFERROR(IF($K42="%",AW42-AV42,AW42/AV42-1),""))</f>
        <v>-0.13</v>
      </c>
      <c r="AY42" s="5" t="str">
        <f aca="false">IF(OR(AV42="",AW42=""),"",IF($F42="Maior Melhor",IF(AW42&gt;=AV42,"Sim","Não"),IF(AW42&lt;=AV42,"Sim","Não")))</f>
        <v>Não</v>
      </c>
      <c r="AZ42" s="3" t="n">
        <v>0.9</v>
      </c>
      <c r="BA42" s="3" t="n">
        <v>1.1</v>
      </c>
      <c r="BB42" s="4" t="n">
        <f aca="false">IF(OR(AZ42="",BA42=""),"",IFERROR(IF($K42="%",BA42-AZ42,BA42/AZ42-1),""))</f>
        <v>0.2</v>
      </c>
      <c r="BC42" s="5" t="str">
        <f aca="false">IF(OR(AZ42="",BA42=""),"",IF($F42="Maior Melhor",IF(BA42&gt;=AZ42,"Sim","Não"),IF(BA42&lt;=AZ42,"Sim","Não")))</f>
        <v>Sim</v>
      </c>
      <c r="BD42" s="3" t="n">
        <v>0.9</v>
      </c>
      <c r="BE42" s="3" t="n">
        <v>0.78</v>
      </c>
      <c r="BF42" s="4" t="n">
        <f aca="false">IF(OR(BD42="",BE42=""),"",IFERROR(IF($K42="%",BE42-BD42,BE42/BD42-1),""))</f>
        <v>-0.12</v>
      </c>
      <c r="BG42" s="5" t="str">
        <f aca="false">IF(OR(BD42="",BE42=""),"",IF($F42="Maior Melhor",IF(BE42&gt;=BD42,"Sim","Não"),IF(BE42&lt;=BD42,"Sim","Não")))</f>
        <v>Não</v>
      </c>
      <c r="BH42" s="3" t="n">
        <v>0.9</v>
      </c>
      <c r="BI42" s="3" t="n">
        <v>1.1</v>
      </c>
      <c r="BJ42" s="4" t="n">
        <f aca="false">IF(OR(BH42="",BI42=""),"",IFERROR(IF($K42="%",BI42-BH42,BI42/BH42-1),""))</f>
        <v>0.2</v>
      </c>
      <c r="BK42" s="5" t="str">
        <f aca="false">IF(OR(BH42="",BI42=""),"",IF($F42="Maior Melhor",IF(BI42&gt;=BH42,"Sim","Não"),IF(BI42&lt;=BH42,"Sim","Não")))</f>
        <v>Sim</v>
      </c>
      <c r="BL42" s="6"/>
      <c r="BM42" s="6"/>
      <c r="BN42" s="4" t="str">
        <f aca="false">IF(OR(BL42="",BM42=""),"",IFERROR(IF($K42="%",BM42-BL42,BM42/BL42-1),""))</f>
        <v/>
      </c>
      <c r="BO42" s="5" t="str">
        <f aca="false">IF(OR(BL42="",BM42=""),"",IF($F42="Maior Melhor",IF(BM42&gt;=BL42,"Sim","Não"),IF(BM42&lt;=BL42,"Sim","Não")))</f>
        <v/>
      </c>
      <c r="BP42" s="6"/>
      <c r="BQ42" s="6"/>
      <c r="BR42" s="4" t="str">
        <f aca="false">IF(OR(BP42="",BQ42=""),"",IFERROR(IF($K42="%",BQ42-BP42,BQ42/BP42-1),""))</f>
        <v/>
      </c>
      <c r="BS42" s="5" t="str">
        <f aca="false">IF(OR(BP42="",BQ42=""),"",IF($F42="Maior Melhor",IF(BQ42&gt;=BP42,"Sim","Não"),IF(BQ42&lt;=BP42,"Sim","Não")))</f>
        <v/>
      </c>
      <c r="BT42" s="6"/>
      <c r="BU42" s="6"/>
      <c r="BV42" s="4" t="str">
        <f aca="false">IF(OR(BT42="",BU42=""),"",IFERROR(IF($K42="%",BU42-BT42,BU42/BT42-1),""))</f>
        <v/>
      </c>
      <c r="BW42" s="5" t="str">
        <f aca="false">IF(OR(BT42="",BU42=""),"",IF($F42="Maior Melhor",IF(BU42&gt;=BT42,"Sim","Não"),IF(BU42&lt;=BT42,"Sim","Não")))</f>
        <v/>
      </c>
      <c r="BX42" s="6"/>
      <c r="BY42" s="6"/>
      <c r="BZ42" s="4" t="str">
        <f aca="false">IF(OR(BX42="",BY42=""),"",IFERROR(IF($K42="%",BY42-BX42,BY42/BX42-1),""))</f>
        <v/>
      </c>
      <c r="CA42" s="5" t="str">
        <f aca="false">IF(OR(BX42="",BY42=""),"",IF($F42="Maior Melhor",IF(BY42&gt;=BX42,"Sim","Não"),IF(BY42&lt;=BX42,"Sim","Não")))</f>
        <v/>
      </c>
      <c r="CB42" s="6"/>
      <c r="CC42" s="6"/>
      <c r="CD42" s="4" t="str">
        <f aca="false">IF(OR(CB42="",CC42=""),"",IFERROR(IF($K42="%",CC42-CB42,CC42/CB42-1),""))</f>
        <v/>
      </c>
      <c r="CE42" s="5" t="str">
        <f aca="false">IF(OR(CB42="",CC42=""),"",IF($F42="Maior Melhor",IF(CC42&gt;=CB42,"Sim","Não"),IF(CC42&lt;=CB42,"Sim","Não")))</f>
        <v/>
      </c>
      <c r="CF42" s="6"/>
      <c r="CG42" s="6"/>
      <c r="CH42" s="4" t="str">
        <f aca="false">IF(OR(CF42="",CG42=""),"",IFERROR(IF($K42="%",CG42-CF42,CG42/CF42-1),""))</f>
        <v/>
      </c>
      <c r="CI42" s="5" t="str">
        <f aca="false">IF(OR(CF42="",CG42=""),"",IF($F42="Maior Melhor",IF(CG42&gt;=CF42,"Sim","Não"),IF(CG42&lt;=CF42,"Sim","Não")))</f>
        <v/>
      </c>
      <c r="CJ42" s="6"/>
      <c r="CK42" s="6"/>
      <c r="CL42" s="4" t="str">
        <f aca="false">IF(OR(CJ42="",CK42=""),"",IFERROR(IF($K42="%",CK42-CJ42,CK42/CJ42-1),""))</f>
        <v/>
      </c>
      <c r="CM42" s="5" t="str">
        <f aca="false">IF(OR(CJ42="",CK42=""),"",IF($F42="Maior Melhor",IF(CK42&gt;=CJ42,"Sim","Não"),IF(CK42&lt;=CJ42,"Sim","Não")))</f>
        <v/>
      </c>
      <c r="CN42" s="6"/>
      <c r="CO42" s="6"/>
      <c r="CP42" s="4" t="str">
        <f aca="false">IF(OR(CN42="",CO42=""),"",IFERROR(IF($K42="%",CO42-CN42,CO42/CN42-1),""))</f>
        <v/>
      </c>
      <c r="CQ42" s="5" t="str">
        <f aca="false">IF(OR(CN42="",CO42=""),"",IF($F42="Maior Melhor",IF(CO42&gt;=CN42,"Sim","Não"),IF(CO42&lt;=CN42,"Sim","Não")))</f>
        <v/>
      </c>
      <c r="CR42" s="2" t="s">
        <v>138</v>
      </c>
    </row>
    <row r="43" customFormat="false" ht="15" hidden="false" customHeight="false" outlineLevel="0" collapsed="false">
      <c r="A43" s="2" t="s">
        <v>96</v>
      </c>
      <c r="B43" s="2" t="s">
        <v>106</v>
      </c>
      <c r="C43" s="2" t="s">
        <v>113</v>
      </c>
      <c r="D43" s="2" t="s">
        <v>136</v>
      </c>
      <c r="E43" s="2" t="str">
        <f aca="false">C43&amp;D43</f>
        <v>UTD BOM JESUS DA LAPAAvanço físico da carteira de manutenção</v>
      </c>
      <c r="F43" s="2" t="s">
        <v>100</v>
      </c>
      <c r="G43" s="2" t="s">
        <v>137</v>
      </c>
      <c r="H43" s="2" t="s">
        <v>102</v>
      </c>
      <c r="I43" s="2" t="s">
        <v>103</v>
      </c>
      <c r="J43" s="2" t="n">
        <v>2</v>
      </c>
      <c r="K43" s="2" t="s">
        <v>104</v>
      </c>
      <c r="L43" s="3" t="n">
        <v>0.9</v>
      </c>
      <c r="M43" s="3" t="n">
        <v>0.7333</v>
      </c>
      <c r="N43" s="4" t="n">
        <f aca="false">IF(OR(L43="",M43=""),"",IFERROR(IF($K43="%",M43-L43,M43/L43-1),""))</f>
        <v>-0.1667</v>
      </c>
      <c r="O43" s="5" t="str">
        <f aca="false">IF(OR(L43="",M43=""),"",IF($F43="Maior Melhor",IF(M43&gt;=L43,"Sim","Não"),IF(M43&lt;=L43,"Sim","Não")))</f>
        <v>Não</v>
      </c>
      <c r="P43" s="3" t="n">
        <v>0.9</v>
      </c>
      <c r="Q43" s="3" t="n">
        <v>0.3903</v>
      </c>
      <c r="R43" s="4" t="n">
        <f aca="false">IF(OR(P43="",Q43=""),"",IFERROR(IF($K43="%",Q43-P43,Q43/P43-1),""))</f>
        <v>-0.5097</v>
      </c>
      <c r="S43" s="5" t="str">
        <f aca="false">IF(OR(P43="",Q43=""),"",IF($F43="Maior Melhor",IF(Q43&gt;=P43,"Sim","Não"),IF(Q43&lt;=P43,"Sim","Não")))</f>
        <v>Não</v>
      </c>
      <c r="T43" s="3" t="n">
        <v>0.9</v>
      </c>
      <c r="U43" s="3" t="n">
        <v>1.1</v>
      </c>
      <c r="V43" s="4" t="n">
        <f aca="false">IF(OR(T43="",U43=""),"",IFERROR(IF($K43="%",U43-T43,U43/T43-1),""))</f>
        <v>0.2</v>
      </c>
      <c r="W43" s="5" t="str">
        <f aca="false">IF(OR(T43="",U43=""),"",IF($F43="Maior Melhor",IF(U43&gt;=T43,"Sim","Não"),IF(U43&lt;=T43,"Sim","Não")))</f>
        <v>Sim</v>
      </c>
      <c r="X43" s="3" t="n">
        <v>0.9</v>
      </c>
      <c r="Y43" s="3" t="n">
        <v>1.08</v>
      </c>
      <c r="Z43" s="4" t="n">
        <f aca="false">IF(OR(X43="",Y43=""),"",IFERROR(IF($K43="%",Y43-X43,Y43/X43-1),""))</f>
        <v>0.18</v>
      </c>
      <c r="AA43" s="5" t="str">
        <f aca="false">IF(OR(X43="",Y43=""),"",IF($F43="Maior Melhor",IF(Y43&gt;=X43,"Sim","Não"),IF(Y43&lt;=X43,"Sim","Não")))</f>
        <v>Sim</v>
      </c>
      <c r="AB43" s="3" t="n">
        <v>0.9</v>
      </c>
      <c r="AC43" s="3" t="n">
        <v>1.04</v>
      </c>
      <c r="AD43" s="4" t="n">
        <f aca="false">IF(OR(AB43="",AC43=""),"",IFERROR(IF($K43="%",AC43-AB43,AC43/AB43-1),""))</f>
        <v>0.14</v>
      </c>
      <c r="AE43" s="5" t="str">
        <f aca="false">IF(OR(AB43="",AC43=""),"",IF($F43="Maior Melhor",IF(AC43&gt;=AB43,"Sim","Não"),IF(AC43&lt;=AB43,"Sim","Não")))</f>
        <v>Sim</v>
      </c>
      <c r="AF43" s="3" t="n">
        <v>0.9</v>
      </c>
      <c r="AG43" s="3" t="n">
        <v>1.06</v>
      </c>
      <c r="AH43" s="4" t="n">
        <f aca="false">IF(OR(AF43="",AG43=""),"",IFERROR(IF($K43="%",AG43-AF43,AG43/AF43-1),""))</f>
        <v>0.16</v>
      </c>
      <c r="AI43" s="5" t="str">
        <f aca="false">IF(OR(AF43="",AG43=""),"",IF($F43="Maior Melhor",IF(AG43&gt;=AF43,"Sim","Não"),IF(AG43&lt;=AF43,"Sim","Não")))</f>
        <v>Sim</v>
      </c>
      <c r="AJ43" s="3" t="n">
        <v>0.9</v>
      </c>
      <c r="AK43" s="3" t="n">
        <v>1.05</v>
      </c>
      <c r="AL43" s="4" t="n">
        <f aca="false">IF(OR(AJ43="",AK43=""),"",IFERROR(IF($K43="%",AK43-AJ43,AK43/AJ43-1),""))</f>
        <v>0.15</v>
      </c>
      <c r="AM43" s="5" t="str">
        <f aca="false">IF(OR(AJ43="",AK43=""),"",IF($F43="Maior Melhor",IF(AK43&gt;=AJ43,"Sim","Não"),IF(AK43&lt;=AJ43,"Sim","Não")))</f>
        <v>Sim</v>
      </c>
      <c r="AN43" s="3" t="n">
        <v>0.9</v>
      </c>
      <c r="AO43" s="3" t="n">
        <v>0.68</v>
      </c>
      <c r="AP43" s="4" t="n">
        <f aca="false">IF(OR(AN43="",AO43=""),"",IFERROR(IF($K43="%",AO43-AN43,AO43/AN43-1),""))</f>
        <v>-0.22</v>
      </c>
      <c r="AQ43" s="5" t="str">
        <f aca="false">IF(OR(AN43="",AO43=""),"",IF($F43="Maior Melhor",IF(AO43&gt;=AN43,"Sim","Não"),IF(AO43&lt;=AN43,"Sim","Não")))</f>
        <v>Não</v>
      </c>
      <c r="AR43" s="3" t="n">
        <v>0.9</v>
      </c>
      <c r="AS43" s="3" t="n">
        <v>1</v>
      </c>
      <c r="AT43" s="4" t="n">
        <f aca="false">IF(OR(AR43="",AS43=""),"",IFERROR(IF($K43="%",AS43-AR43,AS43/AR43-1),""))</f>
        <v>0.1</v>
      </c>
      <c r="AU43" s="5" t="str">
        <f aca="false">IF(OR(AR43="",AS43=""),"",IF($F43="Maior Melhor",IF(AS43&gt;=AR43,"Sim","Não"),IF(AS43&lt;=AR43,"Sim","Não")))</f>
        <v>Sim</v>
      </c>
      <c r="AV43" s="3" t="n">
        <v>0.9</v>
      </c>
      <c r="AW43" s="3" t="n">
        <v>0.95</v>
      </c>
      <c r="AX43" s="4" t="n">
        <f aca="false">IF(OR(AV43="",AW43=""),"",IFERROR(IF($K43="%",AW43-AV43,AW43/AV43-1),""))</f>
        <v>0.0499999999999999</v>
      </c>
      <c r="AY43" s="5" t="str">
        <f aca="false">IF(OR(AV43="",AW43=""),"",IF($F43="Maior Melhor",IF(AW43&gt;=AV43,"Sim","Não"),IF(AW43&lt;=AV43,"Sim","Não")))</f>
        <v>Sim</v>
      </c>
      <c r="AZ43" s="3" t="n">
        <v>0.9</v>
      </c>
      <c r="BA43" s="3" t="n">
        <v>1</v>
      </c>
      <c r="BB43" s="4" t="n">
        <f aca="false">IF(OR(AZ43="",BA43=""),"",IFERROR(IF($K43="%",BA43-AZ43,BA43/AZ43-1),""))</f>
        <v>0.1</v>
      </c>
      <c r="BC43" s="5" t="str">
        <f aca="false">IF(OR(AZ43="",BA43=""),"",IF($F43="Maior Melhor",IF(BA43&gt;=AZ43,"Sim","Não"),IF(BA43&lt;=AZ43,"Sim","Não")))</f>
        <v>Sim</v>
      </c>
      <c r="BD43" s="3" t="n">
        <v>0.9</v>
      </c>
      <c r="BE43" s="3" t="n">
        <v>0.65</v>
      </c>
      <c r="BF43" s="4" t="n">
        <f aca="false">IF(OR(BD43="",BE43=""),"",IFERROR(IF($K43="%",BE43-BD43,BE43/BD43-1),""))</f>
        <v>-0.25</v>
      </c>
      <c r="BG43" s="5" t="str">
        <f aca="false">IF(OR(BD43="",BE43=""),"",IF($F43="Maior Melhor",IF(BE43&gt;=BD43,"Sim","Não"),IF(BE43&lt;=BD43,"Sim","Não")))</f>
        <v>Não</v>
      </c>
      <c r="BH43" s="3" t="n">
        <v>0.9</v>
      </c>
      <c r="BI43" s="3" t="n">
        <v>0.96</v>
      </c>
      <c r="BJ43" s="4" t="n">
        <f aca="false">IF(OR(BH43="",BI43=""),"",IFERROR(IF($K43="%",BI43-BH43,BI43/BH43-1),""))</f>
        <v>0.0599999999999999</v>
      </c>
      <c r="BK43" s="5" t="str">
        <f aca="false">IF(OR(BH43="",BI43=""),"",IF($F43="Maior Melhor",IF(BI43&gt;=BH43,"Sim","Não"),IF(BI43&lt;=BH43,"Sim","Não")))</f>
        <v>Sim</v>
      </c>
      <c r="BL43" s="6"/>
      <c r="BM43" s="6"/>
      <c r="BN43" s="4" t="str">
        <f aca="false">IF(OR(BL43="",BM43=""),"",IFERROR(IF($K43="%",BM43-BL43,BM43/BL43-1),""))</f>
        <v/>
      </c>
      <c r="BO43" s="5" t="str">
        <f aca="false">IF(OR(BL43="",BM43=""),"",IF($F43="Maior Melhor",IF(BM43&gt;=BL43,"Sim","Não"),IF(BM43&lt;=BL43,"Sim","Não")))</f>
        <v/>
      </c>
      <c r="BP43" s="6"/>
      <c r="BQ43" s="6"/>
      <c r="BR43" s="4" t="str">
        <f aca="false">IF(OR(BP43="",BQ43=""),"",IFERROR(IF($K43="%",BQ43-BP43,BQ43/BP43-1),""))</f>
        <v/>
      </c>
      <c r="BS43" s="5" t="str">
        <f aca="false">IF(OR(BP43="",BQ43=""),"",IF($F43="Maior Melhor",IF(BQ43&gt;=BP43,"Sim","Não"),IF(BQ43&lt;=BP43,"Sim","Não")))</f>
        <v/>
      </c>
      <c r="BT43" s="6"/>
      <c r="BU43" s="6"/>
      <c r="BV43" s="4" t="str">
        <f aca="false">IF(OR(BT43="",BU43=""),"",IFERROR(IF($K43="%",BU43-BT43,BU43/BT43-1),""))</f>
        <v/>
      </c>
      <c r="BW43" s="5" t="str">
        <f aca="false">IF(OR(BT43="",BU43=""),"",IF($F43="Maior Melhor",IF(BU43&gt;=BT43,"Sim","Não"),IF(BU43&lt;=BT43,"Sim","Não")))</f>
        <v/>
      </c>
      <c r="BX43" s="6"/>
      <c r="BY43" s="6"/>
      <c r="BZ43" s="4" t="str">
        <f aca="false">IF(OR(BX43="",BY43=""),"",IFERROR(IF($K43="%",BY43-BX43,BY43/BX43-1),""))</f>
        <v/>
      </c>
      <c r="CA43" s="5" t="str">
        <f aca="false">IF(OR(BX43="",BY43=""),"",IF($F43="Maior Melhor",IF(BY43&gt;=BX43,"Sim","Não"),IF(BY43&lt;=BX43,"Sim","Não")))</f>
        <v/>
      </c>
      <c r="CB43" s="6"/>
      <c r="CC43" s="6"/>
      <c r="CD43" s="4" t="str">
        <f aca="false">IF(OR(CB43="",CC43=""),"",IFERROR(IF($K43="%",CC43-CB43,CC43/CB43-1),""))</f>
        <v/>
      </c>
      <c r="CE43" s="5" t="str">
        <f aca="false">IF(OR(CB43="",CC43=""),"",IF($F43="Maior Melhor",IF(CC43&gt;=CB43,"Sim","Não"),IF(CC43&lt;=CB43,"Sim","Não")))</f>
        <v/>
      </c>
      <c r="CF43" s="6"/>
      <c r="CG43" s="6"/>
      <c r="CH43" s="4" t="str">
        <f aca="false">IF(OR(CF43="",CG43=""),"",IFERROR(IF($K43="%",CG43-CF43,CG43/CF43-1),""))</f>
        <v/>
      </c>
      <c r="CI43" s="5" t="str">
        <f aca="false">IF(OR(CF43="",CG43=""),"",IF($F43="Maior Melhor",IF(CG43&gt;=CF43,"Sim","Não"),IF(CG43&lt;=CF43,"Sim","Não")))</f>
        <v/>
      </c>
      <c r="CJ43" s="6"/>
      <c r="CK43" s="6"/>
      <c r="CL43" s="4" t="str">
        <f aca="false">IF(OR(CJ43="",CK43=""),"",IFERROR(IF($K43="%",CK43-CJ43,CK43/CJ43-1),""))</f>
        <v/>
      </c>
      <c r="CM43" s="5" t="str">
        <f aca="false">IF(OR(CJ43="",CK43=""),"",IF($F43="Maior Melhor",IF(CK43&gt;=CJ43,"Sim","Não"),IF(CK43&lt;=CJ43,"Sim","Não")))</f>
        <v/>
      </c>
      <c r="CN43" s="6"/>
      <c r="CO43" s="6"/>
      <c r="CP43" s="4" t="str">
        <f aca="false">IF(OR(CN43="",CO43=""),"",IFERROR(IF($K43="%",CO43-CN43,CO43/CN43-1),""))</f>
        <v/>
      </c>
      <c r="CQ43" s="5" t="str">
        <f aca="false">IF(OR(CN43="",CO43=""),"",IF($F43="Maior Melhor",IF(CO43&gt;=CN43,"Sim","Não"),IF(CO43&lt;=CN43,"Sim","Não")))</f>
        <v/>
      </c>
      <c r="CR43" s="2" t="s">
        <v>139</v>
      </c>
    </row>
    <row r="44" customFormat="false" ht="15" hidden="false" customHeight="false" outlineLevel="0" collapsed="false">
      <c r="A44" s="2" t="s">
        <v>96</v>
      </c>
      <c r="B44" s="2" t="s">
        <v>108</v>
      </c>
      <c r="C44" s="2" t="s">
        <v>115</v>
      </c>
      <c r="D44" s="2" t="s">
        <v>136</v>
      </c>
      <c r="E44" s="2" t="str">
        <f aca="false">C44&amp;D44</f>
        <v>UTD BRUMADOAvanço físico da carteira de manutenção</v>
      </c>
      <c r="F44" s="2" t="s">
        <v>100</v>
      </c>
      <c r="G44" s="2" t="s">
        <v>137</v>
      </c>
      <c r="H44" s="2" t="s">
        <v>102</v>
      </c>
      <c r="I44" s="2" t="s">
        <v>103</v>
      </c>
      <c r="J44" s="2" t="n">
        <v>2</v>
      </c>
      <c r="K44" s="2" t="s">
        <v>104</v>
      </c>
      <c r="L44" s="3" t="n">
        <v>0.9</v>
      </c>
      <c r="M44" s="3" t="n">
        <v>0.5078</v>
      </c>
      <c r="N44" s="4" t="n">
        <f aca="false">IF(OR(L44="",M44=""),"",IFERROR(IF($K44="%",M44-L44,M44/L44-1),""))</f>
        <v>-0.3922</v>
      </c>
      <c r="O44" s="5" t="str">
        <f aca="false">IF(OR(L44="",M44=""),"",IF($F44="Maior Melhor",IF(M44&gt;=L44,"Sim","Não"),IF(M44&lt;=L44,"Sim","Não")))</f>
        <v>Não</v>
      </c>
      <c r="P44" s="3" t="n">
        <v>0.9</v>
      </c>
      <c r="Q44" s="3" t="n">
        <v>0.4663</v>
      </c>
      <c r="R44" s="4" t="n">
        <f aca="false">IF(OR(P44="",Q44=""),"",IFERROR(IF($K44="%",Q44-P44,Q44/P44-1),""))</f>
        <v>-0.4337</v>
      </c>
      <c r="S44" s="5" t="str">
        <f aca="false">IF(OR(P44="",Q44=""),"",IF($F44="Maior Melhor",IF(Q44&gt;=P44,"Sim","Não"),IF(Q44&lt;=P44,"Sim","Não")))</f>
        <v>Não</v>
      </c>
      <c r="T44" s="3" t="n">
        <v>0.9</v>
      </c>
      <c r="U44" s="3" t="n">
        <v>0.2039</v>
      </c>
      <c r="V44" s="4" t="n">
        <f aca="false">IF(OR(T44="",U44=""),"",IFERROR(IF($K44="%",U44-T44,U44/T44-1),""))</f>
        <v>-0.6961</v>
      </c>
      <c r="W44" s="5" t="str">
        <f aca="false">IF(OR(T44="",U44=""),"",IF($F44="Maior Melhor",IF(U44&gt;=T44,"Sim","Não"),IF(U44&lt;=T44,"Sim","Não")))</f>
        <v>Não</v>
      </c>
      <c r="X44" s="3" t="n">
        <v>0.9</v>
      </c>
      <c r="Y44" s="3" t="n">
        <v>1.07</v>
      </c>
      <c r="Z44" s="4" t="n">
        <f aca="false">IF(OR(X44="",Y44=""),"",IFERROR(IF($K44="%",Y44-X44,Y44/X44-1),""))</f>
        <v>0.17</v>
      </c>
      <c r="AA44" s="5" t="str">
        <f aca="false">IF(OR(X44="",Y44=""),"",IF($F44="Maior Melhor",IF(Y44&gt;=X44,"Sim","Não"),IF(Y44&lt;=X44,"Sim","Não")))</f>
        <v>Sim</v>
      </c>
      <c r="AB44" s="3" t="n">
        <v>0.9</v>
      </c>
      <c r="AC44" s="3" t="n">
        <v>0.83</v>
      </c>
      <c r="AD44" s="4" t="n">
        <f aca="false">IF(OR(AB44="",AC44=""),"",IFERROR(IF($K44="%",AC44-AB44,AC44/AB44-1),""))</f>
        <v>-0.0700000000000001</v>
      </c>
      <c r="AE44" s="5" t="str">
        <f aca="false">IF(OR(AB44="",AC44=""),"",IF($F44="Maior Melhor",IF(AC44&gt;=AB44,"Sim","Não"),IF(AC44&lt;=AB44,"Sim","Não")))</f>
        <v>Não</v>
      </c>
      <c r="AF44" s="3" t="n">
        <v>0.9</v>
      </c>
      <c r="AG44" s="3" t="n">
        <v>1.06</v>
      </c>
      <c r="AH44" s="4" t="n">
        <f aca="false">IF(OR(AF44="",AG44=""),"",IFERROR(IF($K44="%",AG44-AF44,AG44/AF44-1),""))</f>
        <v>0.16</v>
      </c>
      <c r="AI44" s="5" t="str">
        <f aca="false">IF(OR(AF44="",AG44=""),"",IF($F44="Maior Melhor",IF(AG44&gt;=AF44,"Sim","Não"),IF(AG44&lt;=AF44,"Sim","Não")))</f>
        <v>Sim</v>
      </c>
      <c r="AJ44" s="3" t="n">
        <v>0.9</v>
      </c>
      <c r="AK44" s="3" t="n">
        <v>0.92</v>
      </c>
      <c r="AL44" s="4" t="n">
        <f aca="false">IF(OR(AJ44="",AK44=""),"",IFERROR(IF($K44="%",AK44-AJ44,AK44/AJ44-1),""))</f>
        <v>0.02</v>
      </c>
      <c r="AM44" s="5" t="str">
        <f aca="false">IF(OR(AJ44="",AK44=""),"",IF($F44="Maior Melhor",IF(AK44&gt;=AJ44,"Sim","Não"),IF(AK44&lt;=AJ44,"Sim","Não")))</f>
        <v>Sim</v>
      </c>
      <c r="AN44" s="3" t="n">
        <v>0.9</v>
      </c>
      <c r="AO44" s="3" t="n">
        <v>1.1</v>
      </c>
      <c r="AP44" s="4" t="n">
        <f aca="false">IF(OR(AN44="",AO44=""),"",IFERROR(IF($K44="%",AO44-AN44,AO44/AN44-1),""))</f>
        <v>0.2</v>
      </c>
      <c r="AQ44" s="5" t="str">
        <f aca="false">IF(OR(AN44="",AO44=""),"",IF($F44="Maior Melhor",IF(AO44&gt;=AN44,"Sim","Não"),IF(AO44&lt;=AN44,"Sim","Não")))</f>
        <v>Sim</v>
      </c>
      <c r="AR44" s="3" t="n">
        <v>0.9</v>
      </c>
      <c r="AS44" s="3" t="n">
        <v>0.96</v>
      </c>
      <c r="AT44" s="4" t="n">
        <f aca="false">IF(OR(AR44="",AS44=""),"",IFERROR(IF($K44="%",AS44-AR44,AS44/AR44-1),""))</f>
        <v>0.0599999999999999</v>
      </c>
      <c r="AU44" s="5" t="str">
        <f aca="false">IF(OR(AR44="",AS44=""),"",IF($F44="Maior Melhor",IF(AS44&gt;=AR44,"Sim","Não"),IF(AS44&lt;=AR44,"Sim","Não")))</f>
        <v>Sim</v>
      </c>
      <c r="AV44" s="3" t="n">
        <v>0.9</v>
      </c>
      <c r="AW44" s="3" t="n">
        <v>0.89</v>
      </c>
      <c r="AX44" s="4" t="n">
        <f aca="false">IF(OR(AV44="",AW44=""),"",IFERROR(IF($K44="%",AW44-AV44,AW44/AV44-1),""))</f>
        <v>-0.01</v>
      </c>
      <c r="AY44" s="5" t="str">
        <f aca="false">IF(OR(AV44="",AW44=""),"",IF($F44="Maior Melhor",IF(AW44&gt;=AV44,"Sim","Não"),IF(AW44&lt;=AV44,"Sim","Não")))</f>
        <v>Não</v>
      </c>
      <c r="AZ44" s="3" t="n">
        <v>0.9</v>
      </c>
      <c r="BA44" s="3" t="n">
        <v>0.98</v>
      </c>
      <c r="BB44" s="4" t="n">
        <f aca="false">IF(OR(AZ44="",BA44=""),"",IFERROR(IF($K44="%",BA44-AZ44,BA44/AZ44-1),""))</f>
        <v>0.08</v>
      </c>
      <c r="BC44" s="5" t="str">
        <f aca="false">IF(OR(AZ44="",BA44=""),"",IF($F44="Maior Melhor",IF(BA44&gt;=AZ44,"Sim","Não"),IF(BA44&lt;=AZ44,"Sim","Não")))</f>
        <v>Sim</v>
      </c>
      <c r="BD44" s="3" t="n">
        <v>0.9</v>
      </c>
      <c r="BE44" s="3" t="n">
        <v>0.49</v>
      </c>
      <c r="BF44" s="4" t="n">
        <f aca="false">IF(OR(BD44="",BE44=""),"",IFERROR(IF($K44="%",BE44-BD44,BE44/BD44-1),""))</f>
        <v>-0.41</v>
      </c>
      <c r="BG44" s="5" t="str">
        <f aca="false">IF(OR(BD44="",BE44=""),"",IF($F44="Maior Melhor",IF(BE44&gt;=BD44,"Sim","Não"),IF(BE44&lt;=BD44,"Sim","Não")))</f>
        <v>Não</v>
      </c>
      <c r="BH44" s="3" t="n">
        <v>0.9</v>
      </c>
      <c r="BI44" s="3" t="n">
        <v>0.92</v>
      </c>
      <c r="BJ44" s="4" t="n">
        <f aca="false">IF(OR(BH44="",BI44=""),"",IFERROR(IF($K44="%",BI44-BH44,BI44/BH44-1),""))</f>
        <v>0.02</v>
      </c>
      <c r="BK44" s="5" t="str">
        <f aca="false">IF(OR(BH44="",BI44=""),"",IF($F44="Maior Melhor",IF(BI44&gt;=BH44,"Sim","Não"),IF(BI44&lt;=BH44,"Sim","Não")))</f>
        <v>Sim</v>
      </c>
      <c r="BL44" s="6"/>
      <c r="BM44" s="6"/>
      <c r="BN44" s="4" t="str">
        <f aca="false">IF(OR(BL44="",BM44=""),"",IFERROR(IF($K44="%",BM44-BL44,BM44/BL44-1),""))</f>
        <v/>
      </c>
      <c r="BO44" s="5" t="str">
        <f aca="false">IF(OR(BL44="",BM44=""),"",IF($F44="Maior Melhor",IF(BM44&gt;=BL44,"Sim","Não"),IF(BM44&lt;=BL44,"Sim","Não")))</f>
        <v/>
      </c>
      <c r="BP44" s="6"/>
      <c r="BQ44" s="6"/>
      <c r="BR44" s="4" t="str">
        <f aca="false">IF(OR(BP44="",BQ44=""),"",IFERROR(IF($K44="%",BQ44-BP44,BQ44/BP44-1),""))</f>
        <v/>
      </c>
      <c r="BS44" s="5" t="str">
        <f aca="false">IF(OR(BP44="",BQ44=""),"",IF($F44="Maior Melhor",IF(BQ44&gt;=BP44,"Sim","Não"),IF(BQ44&lt;=BP44,"Sim","Não")))</f>
        <v/>
      </c>
      <c r="BT44" s="6"/>
      <c r="BU44" s="6"/>
      <c r="BV44" s="4" t="str">
        <f aca="false">IF(OR(BT44="",BU44=""),"",IFERROR(IF($K44="%",BU44-BT44,BU44/BT44-1),""))</f>
        <v/>
      </c>
      <c r="BW44" s="5" t="str">
        <f aca="false">IF(OR(BT44="",BU44=""),"",IF($F44="Maior Melhor",IF(BU44&gt;=BT44,"Sim","Não"),IF(BU44&lt;=BT44,"Sim","Não")))</f>
        <v/>
      </c>
      <c r="BX44" s="6"/>
      <c r="BY44" s="6"/>
      <c r="BZ44" s="4" t="str">
        <f aca="false">IF(OR(BX44="",BY44=""),"",IFERROR(IF($K44="%",BY44-BX44,BY44/BX44-1),""))</f>
        <v/>
      </c>
      <c r="CA44" s="5" t="str">
        <f aca="false">IF(OR(BX44="",BY44=""),"",IF($F44="Maior Melhor",IF(BY44&gt;=BX44,"Sim","Não"),IF(BY44&lt;=BX44,"Sim","Não")))</f>
        <v/>
      </c>
      <c r="CB44" s="6"/>
      <c r="CC44" s="6"/>
      <c r="CD44" s="4" t="str">
        <f aca="false">IF(OR(CB44="",CC44=""),"",IFERROR(IF($K44="%",CC44-CB44,CC44/CB44-1),""))</f>
        <v/>
      </c>
      <c r="CE44" s="5" t="str">
        <f aca="false">IF(OR(CB44="",CC44=""),"",IF($F44="Maior Melhor",IF(CC44&gt;=CB44,"Sim","Não"),IF(CC44&lt;=CB44,"Sim","Não")))</f>
        <v/>
      </c>
      <c r="CF44" s="6"/>
      <c r="CG44" s="6"/>
      <c r="CH44" s="4" t="str">
        <f aca="false">IF(OR(CF44="",CG44=""),"",IFERROR(IF($K44="%",CG44-CF44,CG44/CF44-1),""))</f>
        <v/>
      </c>
      <c r="CI44" s="5" t="str">
        <f aca="false">IF(OR(CF44="",CG44=""),"",IF($F44="Maior Melhor",IF(CG44&gt;=CF44,"Sim","Não"),IF(CG44&lt;=CF44,"Sim","Não")))</f>
        <v/>
      </c>
      <c r="CJ44" s="6"/>
      <c r="CK44" s="6"/>
      <c r="CL44" s="4" t="str">
        <f aca="false">IF(OR(CJ44="",CK44=""),"",IFERROR(IF($K44="%",CK44-CJ44,CK44/CJ44-1),""))</f>
        <v/>
      </c>
      <c r="CM44" s="5" t="str">
        <f aca="false">IF(OR(CJ44="",CK44=""),"",IF($F44="Maior Melhor",IF(CK44&gt;=CJ44,"Sim","Não"),IF(CK44&lt;=CJ44,"Sim","Não")))</f>
        <v/>
      </c>
      <c r="CN44" s="6"/>
      <c r="CO44" s="6"/>
      <c r="CP44" s="4" t="str">
        <f aca="false">IF(OR(CN44="",CO44=""),"",IFERROR(IF($K44="%",CO44-CN44,CO44/CN44-1),""))</f>
        <v/>
      </c>
      <c r="CQ44" s="5" t="str">
        <f aca="false">IF(OR(CN44="",CO44=""),"",IF($F44="Maior Melhor",IF(CO44&gt;=CN44,"Sim","Não"),IF(CO44&lt;=CN44,"Sim","Não")))</f>
        <v/>
      </c>
      <c r="CR44" s="2" t="s">
        <v>140</v>
      </c>
    </row>
    <row r="45" customFormat="false" ht="15" hidden="false" customHeight="false" outlineLevel="0" collapsed="false">
      <c r="A45" s="2" t="s">
        <v>96</v>
      </c>
      <c r="B45" s="2" t="s">
        <v>108</v>
      </c>
      <c r="C45" s="2" t="s">
        <v>117</v>
      </c>
      <c r="D45" s="2" t="s">
        <v>136</v>
      </c>
      <c r="E45" s="2" t="str">
        <f aca="false">C45&amp;D45</f>
        <v>UTD GUANAMBIAvanço físico da carteira de manutenção</v>
      </c>
      <c r="F45" s="2" t="s">
        <v>100</v>
      </c>
      <c r="G45" s="2" t="s">
        <v>137</v>
      </c>
      <c r="H45" s="2" t="s">
        <v>102</v>
      </c>
      <c r="I45" s="2" t="s">
        <v>103</v>
      </c>
      <c r="J45" s="2" t="n">
        <v>2</v>
      </c>
      <c r="K45" s="2" t="s">
        <v>104</v>
      </c>
      <c r="L45" s="3" t="n">
        <v>0.9</v>
      </c>
      <c r="M45" s="3" t="n">
        <v>0.1882</v>
      </c>
      <c r="N45" s="4" t="n">
        <f aca="false">IF(OR(L45="",M45=""),"",IFERROR(IF($K45="%",M45-L45,M45/L45-1),""))</f>
        <v>-0.7118</v>
      </c>
      <c r="O45" s="5" t="str">
        <f aca="false">IF(OR(L45="",M45=""),"",IF($F45="Maior Melhor",IF(M45&gt;=L45,"Sim","Não"),IF(M45&lt;=L45,"Sim","Não")))</f>
        <v>Não</v>
      </c>
      <c r="P45" s="3" t="n">
        <v>0.9</v>
      </c>
      <c r="Q45" s="3" t="n">
        <v>0.531</v>
      </c>
      <c r="R45" s="4" t="n">
        <f aca="false">IF(OR(P45="",Q45=""),"",IFERROR(IF($K45="%",Q45-P45,Q45/P45-1),""))</f>
        <v>-0.369</v>
      </c>
      <c r="S45" s="5" t="str">
        <f aca="false">IF(OR(P45="",Q45=""),"",IF($F45="Maior Melhor",IF(Q45&gt;=P45,"Sim","Não"),IF(Q45&lt;=P45,"Sim","Não")))</f>
        <v>Não</v>
      </c>
      <c r="T45" s="3" t="n">
        <v>0.9</v>
      </c>
      <c r="U45" s="3" t="n">
        <v>1.1</v>
      </c>
      <c r="V45" s="4" t="n">
        <f aca="false">IF(OR(T45="",U45=""),"",IFERROR(IF($K45="%",U45-T45,U45/T45-1),""))</f>
        <v>0.2</v>
      </c>
      <c r="W45" s="5" t="str">
        <f aca="false">IF(OR(T45="",U45=""),"",IF($F45="Maior Melhor",IF(U45&gt;=T45,"Sim","Não"),IF(U45&lt;=T45,"Sim","Não")))</f>
        <v>Sim</v>
      </c>
      <c r="X45" s="3" t="n">
        <v>0.9</v>
      </c>
      <c r="Y45" s="3" t="n">
        <v>1.1</v>
      </c>
      <c r="Z45" s="4" t="n">
        <f aca="false">IF(OR(X45="",Y45=""),"",IFERROR(IF($K45="%",Y45-X45,Y45/X45-1),""))</f>
        <v>0.2</v>
      </c>
      <c r="AA45" s="5" t="str">
        <f aca="false">IF(OR(X45="",Y45=""),"",IF($F45="Maior Melhor",IF(Y45&gt;=X45,"Sim","Não"),IF(Y45&lt;=X45,"Sim","Não")))</f>
        <v>Sim</v>
      </c>
      <c r="AB45" s="3" t="n">
        <v>0.9</v>
      </c>
      <c r="AC45" s="3" t="n">
        <v>1.1</v>
      </c>
      <c r="AD45" s="4" t="n">
        <f aca="false">IF(OR(AB45="",AC45=""),"",IFERROR(IF($K45="%",AC45-AB45,AC45/AB45-1),""))</f>
        <v>0.2</v>
      </c>
      <c r="AE45" s="5" t="str">
        <f aca="false">IF(OR(AB45="",AC45=""),"",IF($F45="Maior Melhor",IF(AC45&gt;=AB45,"Sim","Não"),IF(AC45&lt;=AB45,"Sim","Não")))</f>
        <v>Sim</v>
      </c>
      <c r="AF45" s="3" t="n">
        <v>0.9</v>
      </c>
      <c r="AG45" s="3" t="n">
        <v>1.1</v>
      </c>
      <c r="AH45" s="4" t="n">
        <f aca="false">IF(OR(AF45="",AG45=""),"",IFERROR(IF($K45="%",AG45-AF45,AG45/AF45-1),""))</f>
        <v>0.2</v>
      </c>
      <c r="AI45" s="5" t="str">
        <f aca="false">IF(OR(AF45="",AG45=""),"",IF($F45="Maior Melhor",IF(AG45&gt;=AF45,"Sim","Não"),IF(AG45&lt;=AF45,"Sim","Não")))</f>
        <v>Sim</v>
      </c>
      <c r="AJ45" s="3" t="n">
        <v>0.9</v>
      </c>
      <c r="AK45" s="3" t="n">
        <v>1.1</v>
      </c>
      <c r="AL45" s="4" t="n">
        <f aca="false">IF(OR(AJ45="",AK45=""),"",IFERROR(IF($K45="%",AK45-AJ45,AK45/AJ45-1),""))</f>
        <v>0.2</v>
      </c>
      <c r="AM45" s="5" t="str">
        <f aca="false">IF(OR(AJ45="",AK45=""),"",IF($F45="Maior Melhor",IF(AK45&gt;=AJ45,"Sim","Não"),IF(AK45&lt;=AJ45,"Sim","Não")))</f>
        <v>Sim</v>
      </c>
      <c r="AN45" s="3" t="n">
        <v>0.9</v>
      </c>
      <c r="AO45" s="3" t="n">
        <v>0.81</v>
      </c>
      <c r="AP45" s="4" t="n">
        <f aca="false">IF(OR(AN45="",AO45=""),"",IFERROR(IF($K45="%",AO45-AN45,AO45/AN45-1),""))</f>
        <v>-0.09</v>
      </c>
      <c r="AQ45" s="5" t="str">
        <f aca="false">IF(OR(AN45="",AO45=""),"",IF($F45="Maior Melhor",IF(AO45&gt;=AN45,"Sim","Não"),IF(AO45&lt;=AN45,"Sim","Não")))</f>
        <v>Não</v>
      </c>
      <c r="AR45" s="3" t="n">
        <v>0.9</v>
      </c>
      <c r="AS45" s="3" t="n">
        <v>1.1</v>
      </c>
      <c r="AT45" s="4" t="n">
        <f aca="false">IF(OR(AR45="",AS45=""),"",IFERROR(IF($K45="%",AS45-AR45,AS45/AR45-1),""))</f>
        <v>0.2</v>
      </c>
      <c r="AU45" s="5" t="str">
        <f aca="false">IF(OR(AR45="",AS45=""),"",IF($F45="Maior Melhor",IF(AS45&gt;=AR45,"Sim","Não"),IF(AS45&lt;=AR45,"Sim","Não")))</f>
        <v>Sim</v>
      </c>
      <c r="AV45" s="3" t="n">
        <v>0.9</v>
      </c>
      <c r="AW45" s="3" t="n">
        <v>0.99</v>
      </c>
      <c r="AX45" s="4" t="n">
        <f aca="false">IF(OR(AV45="",AW45=""),"",IFERROR(IF($K45="%",AW45-AV45,AW45/AV45-1),""))</f>
        <v>0.09</v>
      </c>
      <c r="AY45" s="5" t="str">
        <f aca="false">IF(OR(AV45="",AW45=""),"",IF($F45="Maior Melhor",IF(AW45&gt;=AV45,"Sim","Não"),IF(AW45&lt;=AV45,"Sim","Não")))</f>
        <v>Sim</v>
      </c>
      <c r="AZ45" s="3" t="n">
        <v>0.9</v>
      </c>
      <c r="BA45" s="3" t="n">
        <v>1.1</v>
      </c>
      <c r="BB45" s="4" t="n">
        <f aca="false">IF(OR(AZ45="",BA45=""),"",IFERROR(IF($K45="%",BA45-AZ45,BA45/AZ45-1),""))</f>
        <v>0.2</v>
      </c>
      <c r="BC45" s="5" t="str">
        <f aca="false">IF(OR(AZ45="",BA45=""),"",IF($F45="Maior Melhor",IF(BA45&gt;=AZ45,"Sim","Não"),IF(BA45&lt;=AZ45,"Sim","Não")))</f>
        <v>Sim</v>
      </c>
      <c r="BD45" s="3" t="n">
        <v>0.9</v>
      </c>
      <c r="BE45" s="3" t="n">
        <v>1.1</v>
      </c>
      <c r="BF45" s="4" t="n">
        <f aca="false">IF(OR(BD45="",BE45=""),"",IFERROR(IF($K45="%",BE45-BD45,BE45/BD45-1),""))</f>
        <v>0.2</v>
      </c>
      <c r="BG45" s="5" t="str">
        <f aca="false">IF(OR(BD45="",BE45=""),"",IF($F45="Maior Melhor",IF(BE45&gt;=BD45,"Sim","Não"),IF(BE45&lt;=BD45,"Sim","Não")))</f>
        <v>Sim</v>
      </c>
      <c r="BH45" s="3" t="n">
        <v>0.9</v>
      </c>
      <c r="BI45" s="3" t="n">
        <v>1.1</v>
      </c>
      <c r="BJ45" s="4" t="n">
        <f aca="false">IF(OR(BH45="",BI45=""),"",IFERROR(IF($K45="%",BI45-BH45,BI45/BH45-1),""))</f>
        <v>0.2</v>
      </c>
      <c r="BK45" s="5" t="str">
        <f aca="false">IF(OR(BH45="",BI45=""),"",IF($F45="Maior Melhor",IF(BI45&gt;=BH45,"Sim","Não"),IF(BI45&lt;=BH45,"Sim","Não")))</f>
        <v>Sim</v>
      </c>
      <c r="BL45" s="6"/>
      <c r="BM45" s="6"/>
      <c r="BN45" s="4" t="str">
        <f aca="false">IF(OR(BL45="",BM45=""),"",IFERROR(IF($K45="%",BM45-BL45,BM45/BL45-1),""))</f>
        <v/>
      </c>
      <c r="BO45" s="5" t="str">
        <f aca="false">IF(OR(BL45="",BM45=""),"",IF($F45="Maior Melhor",IF(BM45&gt;=BL45,"Sim","Não"),IF(BM45&lt;=BL45,"Sim","Não")))</f>
        <v/>
      </c>
      <c r="BP45" s="6"/>
      <c r="BQ45" s="6"/>
      <c r="BR45" s="4" t="str">
        <f aca="false">IF(OR(BP45="",BQ45=""),"",IFERROR(IF($K45="%",BQ45-BP45,BQ45/BP45-1),""))</f>
        <v/>
      </c>
      <c r="BS45" s="5" t="str">
        <f aca="false">IF(OR(BP45="",BQ45=""),"",IF($F45="Maior Melhor",IF(BQ45&gt;=BP45,"Sim","Não"),IF(BQ45&lt;=BP45,"Sim","Não")))</f>
        <v/>
      </c>
      <c r="BT45" s="6"/>
      <c r="BU45" s="6"/>
      <c r="BV45" s="4" t="str">
        <f aca="false">IF(OR(BT45="",BU45=""),"",IFERROR(IF($K45="%",BU45-BT45,BU45/BT45-1),""))</f>
        <v/>
      </c>
      <c r="BW45" s="5" t="str">
        <f aca="false">IF(OR(BT45="",BU45=""),"",IF($F45="Maior Melhor",IF(BU45&gt;=BT45,"Sim","Não"),IF(BU45&lt;=BT45,"Sim","Não")))</f>
        <v/>
      </c>
      <c r="BX45" s="6"/>
      <c r="BY45" s="6"/>
      <c r="BZ45" s="4" t="str">
        <f aca="false">IF(OR(BX45="",BY45=""),"",IFERROR(IF($K45="%",BY45-BX45,BY45/BX45-1),""))</f>
        <v/>
      </c>
      <c r="CA45" s="5" t="str">
        <f aca="false">IF(OR(BX45="",BY45=""),"",IF($F45="Maior Melhor",IF(BY45&gt;=BX45,"Sim","Não"),IF(BY45&lt;=BX45,"Sim","Não")))</f>
        <v/>
      </c>
      <c r="CB45" s="6"/>
      <c r="CC45" s="6"/>
      <c r="CD45" s="4" t="str">
        <f aca="false">IF(OR(CB45="",CC45=""),"",IFERROR(IF($K45="%",CC45-CB45,CC45/CB45-1),""))</f>
        <v/>
      </c>
      <c r="CE45" s="5" t="str">
        <f aca="false">IF(OR(CB45="",CC45=""),"",IF($F45="Maior Melhor",IF(CC45&gt;=CB45,"Sim","Não"),IF(CC45&lt;=CB45,"Sim","Não")))</f>
        <v/>
      </c>
      <c r="CF45" s="6"/>
      <c r="CG45" s="6"/>
      <c r="CH45" s="4" t="str">
        <f aca="false">IF(OR(CF45="",CG45=""),"",IFERROR(IF($K45="%",CG45-CF45,CG45/CF45-1),""))</f>
        <v/>
      </c>
      <c r="CI45" s="5" t="str">
        <f aca="false">IF(OR(CF45="",CG45=""),"",IF($F45="Maior Melhor",IF(CG45&gt;=CF45,"Sim","Não"),IF(CG45&lt;=CF45,"Sim","Não")))</f>
        <v/>
      </c>
      <c r="CJ45" s="6"/>
      <c r="CK45" s="6"/>
      <c r="CL45" s="4" t="str">
        <f aca="false">IF(OR(CJ45="",CK45=""),"",IFERROR(IF($K45="%",CK45-CJ45,CK45/CJ45-1),""))</f>
        <v/>
      </c>
      <c r="CM45" s="5" t="str">
        <f aca="false">IF(OR(CJ45="",CK45=""),"",IF($F45="Maior Melhor",IF(CK45&gt;=CJ45,"Sim","Não"),IF(CK45&lt;=CJ45,"Sim","Não")))</f>
        <v/>
      </c>
      <c r="CN45" s="6"/>
      <c r="CO45" s="6"/>
      <c r="CP45" s="4" t="str">
        <f aca="false">IF(OR(CN45="",CO45=""),"",IFERROR(IF($K45="%",CO45-CN45,CO45/CN45-1),""))</f>
        <v/>
      </c>
      <c r="CQ45" s="5" t="str">
        <f aca="false">IF(OR(CN45="",CO45=""),"",IF($F45="Maior Melhor",IF(CO45&gt;=CN45,"Sim","Não"),IF(CO45&lt;=CN45,"Sim","Não")))</f>
        <v/>
      </c>
      <c r="CR45" s="2" t="s">
        <v>105</v>
      </c>
    </row>
    <row r="46" customFormat="false" ht="15" hidden="false" customHeight="false" outlineLevel="0" collapsed="false">
      <c r="A46" s="2" t="s">
        <v>96</v>
      </c>
      <c r="B46" s="2" t="s">
        <v>106</v>
      </c>
      <c r="C46" s="2" t="s">
        <v>118</v>
      </c>
      <c r="D46" s="2" t="s">
        <v>136</v>
      </c>
      <c r="E46" s="2" t="str">
        <f aca="false">C46&amp;D46</f>
        <v>UTD IBOTIRAMAAvanço físico da carteira de manutenção</v>
      </c>
      <c r="F46" s="2" t="s">
        <v>100</v>
      </c>
      <c r="G46" s="2" t="s">
        <v>137</v>
      </c>
      <c r="H46" s="2" t="s">
        <v>119</v>
      </c>
      <c r="I46" s="2" t="s">
        <v>103</v>
      </c>
      <c r="J46" s="2" t="n">
        <v>2</v>
      </c>
      <c r="K46" s="2" t="s">
        <v>104</v>
      </c>
      <c r="L46" s="3" t="n">
        <v>0.9</v>
      </c>
      <c r="M46" s="3" t="n">
        <v>0.8262</v>
      </c>
      <c r="N46" s="4" t="n">
        <f aca="false">IF(OR(L46="",M46=""),"",IFERROR(IF($K46="%",M46-L46,M46/L46-1),""))</f>
        <v>-0.0738</v>
      </c>
      <c r="O46" s="5" t="str">
        <f aca="false">IF(OR(L46="",M46=""),"",IF($F46="Maior Melhor",IF(M46&gt;=L46,"Sim","Não"),IF(M46&lt;=L46,"Sim","Não")))</f>
        <v>Não</v>
      </c>
      <c r="P46" s="3" t="n">
        <v>0.9</v>
      </c>
      <c r="Q46" s="3" t="n">
        <v>3.0351</v>
      </c>
      <c r="R46" s="4" t="n">
        <f aca="false">IF(OR(P46="",Q46=""),"",IFERROR(IF($K46="%",Q46-P46,Q46/P46-1),""))</f>
        <v>2.1351</v>
      </c>
      <c r="S46" s="5" t="str">
        <f aca="false">IF(OR(P46="",Q46=""),"",IF($F46="Maior Melhor",IF(Q46&gt;=P46,"Sim","Não"),IF(Q46&lt;=P46,"Sim","Não")))</f>
        <v>Sim</v>
      </c>
      <c r="T46" s="3" t="n">
        <v>0.9</v>
      </c>
      <c r="U46" s="3" t="n">
        <v>0.7991</v>
      </c>
      <c r="V46" s="4" t="n">
        <f aca="false">IF(OR(T46="",U46=""),"",IFERROR(IF($K46="%",U46-T46,U46/T46-1),""))</f>
        <v>-0.1009</v>
      </c>
      <c r="W46" s="5" t="str">
        <f aca="false">IF(OR(T46="",U46=""),"",IF($F46="Maior Melhor",IF(U46&gt;=T46,"Sim","Não"),IF(U46&lt;=T46,"Sim","Não")))</f>
        <v>Não</v>
      </c>
      <c r="X46" s="3" t="n">
        <v>0.9</v>
      </c>
      <c r="Y46" s="3" t="n">
        <v>1.1</v>
      </c>
      <c r="Z46" s="4" t="n">
        <f aca="false">IF(OR(X46="",Y46=""),"",IFERROR(IF($K46="%",Y46-X46,Y46/X46-1),""))</f>
        <v>0.2</v>
      </c>
      <c r="AA46" s="5" t="str">
        <f aca="false">IF(OR(X46="",Y46=""),"",IF($F46="Maior Melhor",IF(Y46&gt;=X46,"Sim","Não"),IF(Y46&lt;=X46,"Sim","Não")))</f>
        <v>Sim</v>
      </c>
      <c r="AB46" s="3" t="n">
        <v>0.9</v>
      </c>
      <c r="AC46" s="3" t="n">
        <v>0.93</v>
      </c>
      <c r="AD46" s="4" t="n">
        <f aca="false">IF(OR(AB46="",AC46=""),"",IFERROR(IF($K46="%",AC46-AB46,AC46/AB46-1),""))</f>
        <v>0.03</v>
      </c>
      <c r="AE46" s="5" t="str">
        <f aca="false">IF(OR(AB46="",AC46=""),"",IF($F46="Maior Melhor",IF(AC46&gt;=AB46,"Sim","Não"),IF(AC46&lt;=AB46,"Sim","Não")))</f>
        <v>Sim</v>
      </c>
      <c r="AF46" s="3" t="n">
        <v>0.9</v>
      </c>
      <c r="AG46" s="3" t="n">
        <v>1.05</v>
      </c>
      <c r="AH46" s="4" t="n">
        <f aca="false">IF(OR(AF46="",AG46=""),"",IFERROR(IF($K46="%",AG46-AF46,AG46/AF46-1),""))</f>
        <v>0.15</v>
      </c>
      <c r="AI46" s="5" t="str">
        <f aca="false">IF(OR(AF46="",AG46=""),"",IF($F46="Maior Melhor",IF(AG46&gt;=AF46,"Sim","Não"),IF(AG46&lt;=AF46,"Sim","Não")))</f>
        <v>Sim</v>
      </c>
      <c r="AJ46" s="3" t="n">
        <v>0.9</v>
      </c>
      <c r="AK46" s="3" t="n">
        <v>0.97</v>
      </c>
      <c r="AL46" s="4" t="n">
        <f aca="false">IF(OR(AJ46="",AK46=""),"",IFERROR(IF($K46="%",AK46-AJ46,AK46/AJ46-1),""))</f>
        <v>0.07</v>
      </c>
      <c r="AM46" s="5" t="str">
        <f aca="false">IF(OR(AJ46="",AK46=""),"",IF($F46="Maior Melhor",IF(AK46&gt;=AJ46,"Sim","Não"),IF(AK46&lt;=AJ46,"Sim","Não")))</f>
        <v>Sim</v>
      </c>
      <c r="AN46" s="3" t="n">
        <v>0.9</v>
      </c>
      <c r="AO46" s="3" t="n">
        <v>0.9</v>
      </c>
      <c r="AP46" s="4" t="n">
        <f aca="false">IF(OR(AN46="",AO46=""),"",IFERROR(IF($K46="%",AO46-AN46,AO46/AN46-1),""))</f>
        <v>0</v>
      </c>
      <c r="AQ46" s="5" t="str">
        <f aca="false">IF(OR(AN46="",AO46=""),"",IF($F46="Maior Melhor",IF(AO46&gt;=AN46,"Sim","Não"),IF(AO46&lt;=AN46,"Sim","Não")))</f>
        <v>Sim</v>
      </c>
      <c r="AR46" s="3" t="n">
        <v>0.9</v>
      </c>
      <c r="AS46" s="3" t="n">
        <v>0.96</v>
      </c>
      <c r="AT46" s="4" t="n">
        <f aca="false">IF(OR(AR46="",AS46=""),"",IFERROR(IF($K46="%",AS46-AR46,AS46/AR46-1),""))</f>
        <v>0.0599999999999999</v>
      </c>
      <c r="AU46" s="5" t="str">
        <f aca="false">IF(OR(AR46="",AS46=""),"",IF($F46="Maior Melhor",IF(AS46&gt;=AR46,"Sim","Não"),IF(AS46&lt;=AR46,"Sim","Não")))</f>
        <v>Sim</v>
      </c>
      <c r="AV46" s="3" t="n">
        <v>0.9</v>
      </c>
      <c r="AW46" s="3" t="n">
        <v>0.86</v>
      </c>
      <c r="AX46" s="4" t="n">
        <f aca="false">IF(OR(AV46="",AW46=""),"",IFERROR(IF($K46="%",AW46-AV46,AW46/AV46-1),""))</f>
        <v>-0.04</v>
      </c>
      <c r="AY46" s="5" t="str">
        <f aca="false">IF(OR(AV46="",AW46=""),"",IF($F46="Maior Melhor",IF(AW46&gt;=AV46,"Sim","Não"),IF(AW46&lt;=AV46,"Sim","Não")))</f>
        <v>Não</v>
      </c>
      <c r="AZ46" s="3" t="n">
        <v>0.9</v>
      </c>
      <c r="BA46" s="3" t="n">
        <v>0.94</v>
      </c>
      <c r="BB46" s="4" t="n">
        <f aca="false">IF(OR(AZ46="",BA46=""),"",IFERROR(IF($K46="%",BA46-AZ46,BA46/AZ46-1),""))</f>
        <v>0.0399999999999999</v>
      </c>
      <c r="BC46" s="5" t="str">
        <f aca="false">IF(OR(AZ46="",BA46=""),"",IF($F46="Maior Melhor",IF(BA46&gt;=AZ46,"Sim","Não"),IF(BA46&lt;=AZ46,"Sim","Não")))</f>
        <v>Sim</v>
      </c>
      <c r="BD46" s="3" t="n">
        <v>0.9</v>
      </c>
      <c r="BE46" s="3" t="n">
        <v>0.96</v>
      </c>
      <c r="BF46" s="4" t="n">
        <f aca="false">IF(OR(BD46="",BE46=""),"",IFERROR(IF($K46="%",BE46-BD46,BE46/BD46-1),""))</f>
        <v>0.0599999999999999</v>
      </c>
      <c r="BG46" s="5" t="str">
        <f aca="false">IF(OR(BD46="",BE46=""),"",IF($F46="Maior Melhor",IF(BE46&gt;=BD46,"Sim","Não"),IF(BE46&lt;=BD46,"Sim","Não")))</f>
        <v>Sim</v>
      </c>
      <c r="BH46" s="3" t="n">
        <v>0.9</v>
      </c>
      <c r="BI46" s="3" t="n">
        <v>0.94</v>
      </c>
      <c r="BJ46" s="4" t="n">
        <f aca="false">IF(OR(BH46="",BI46=""),"",IFERROR(IF($K46="%",BI46-BH46,BI46/BH46-1),""))</f>
        <v>0.0399999999999999</v>
      </c>
      <c r="BK46" s="5" t="str">
        <f aca="false">IF(OR(BH46="",BI46=""),"",IF($F46="Maior Melhor",IF(BI46&gt;=BH46,"Sim","Não"),IF(BI46&lt;=BH46,"Sim","Não")))</f>
        <v>Sim</v>
      </c>
      <c r="BL46" s="6"/>
      <c r="BM46" s="6"/>
      <c r="BN46" s="4" t="str">
        <f aca="false">IF(OR(BL46="",BM46=""),"",IFERROR(IF($K46="%",BM46-BL46,BM46/BL46-1),""))</f>
        <v/>
      </c>
      <c r="BO46" s="5" t="str">
        <f aca="false">IF(OR(BL46="",BM46=""),"",IF($F46="Maior Melhor",IF(BM46&gt;=BL46,"Sim","Não"),IF(BM46&lt;=BL46,"Sim","Não")))</f>
        <v/>
      </c>
      <c r="BP46" s="6"/>
      <c r="BQ46" s="6"/>
      <c r="BR46" s="4" t="str">
        <f aca="false">IF(OR(BP46="",BQ46=""),"",IFERROR(IF($K46="%",BQ46-BP46,BQ46/BP46-1),""))</f>
        <v/>
      </c>
      <c r="BS46" s="5" t="str">
        <f aca="false">IF(OR(BP46="",BQ46=""),"",IF($F46="Maior Melhor",IF(BQ46&gt;=BP46,"Sim","Não"),IF(BQ46&lt;=BP46,"Sim","Não")))</f>
        <v/>
      </c>
      <c r="BT46" s="6"/>
      <c r="BU46" s="6"/>
      <c r="BV46" s="4" t="str">
        <f aca="false">IF(OR(BT46="",BU46=""),"",IFERROR(IF($K46="%",BU46-BT46,BU46/BT46-1),""))</f>
        <v/>
      </c>
      <c r="BW46" s="5" t="str">
        <f aca="false">IF(OR(BT46="",BU46=""),"",IF($F46="Maior Melhor",IF(BU46&gt;=BT46,"Sim","Não"),IF(BU46&lt;=BT46,"Sim","Não")))</f>
        <v/>
      </c>
      <c r="BX46" s="6"/>
      <c r="BY46" s="6"/>
      <c r="BZ46" s="4" t="str">
        <f aca="false">IF(OR(BX46="",BY46=""),"",IFERROR(IF($K46="%",BY46-BX46,BY46/BX46-1),""))</f>
        <v/>
      </c>
      <c r="CA46" s="5" t="str">
        <f aca="false">IF(OR(BX46="",BY46=""),"",IF($F46="Maior Melhor",IF(BY46&gt;=BX46,"Sim","Não"),IF(BY46&lt;=BX46,"Sim","Não")))</f>
        <v/>
      </c>
      <c r="CB46" s="6"/>
      <c r="CC46" s="6"/>
      <c r="CD46" s="4" t="str">
        <f aca="false">IF(OR(CB46="",CC46=""),"",IFERROR(IF($K46="%",CC46-CB46,CC46/CB46-1),""))</f>
        <v/>
      </c>
      <c r="CE46" s="5" t="str">
        <f aca="false">IF(OR(CB46="",CC46=""),"",IF($F46="Maior Melhor",IF(CC46&gt;=CB46,"Sim","Não"),IF(CC46&lt;=CB46,"Sim","Não")))</f>
        <v/>
      </c>
      <c r="CF46" s="6"/>
      <c r="CG46" s="6"/>
      <c r="CH46" s="4" t="str">
        <f aca="false">IF(OR(CF46="",CG46=""),"",IFERROR(IF($K46="%",CG46-CF46,CG46/CF46-1),""))</f>
        <v/>
      </c>
      <c r="CI46" s="5" t="str">
        <f aca="false">IF(OR(CF46="",CG46=""),"",IF($F46="Maior Melhor",IF(CG46&gt;=CF46,"Sim","Não"),IF(CG46&lt;=CF46,"Sim","Não")))</f>
        <v/>
      </c>
      <c r="CJ46" s="6"/>
      <c r="CK46" s="6"/>
      <c r="CL46" s="4" t="str">
        <f aca="false">IF(OR(CJ46="",CK46=""),"",IFERROR(IF($K46="%",CK46-CJ46,CK46/CJ46-1),""))</f>
        <v/>
      </c>
      <c r="CM46" s="5" t="str">
        <f aca="false">IF(OR(CJ46="",CK46=""),"",IF($F46="Maior Melhor",IF(CK46&gt;=CJ46,"Sim","Não"),IF(CK46&lt;=CJ46,"Sim","Não")))</f>
        <v/>
      </c>
      <c r="CN46" s="6"/>
      <c r="CO46" s="6"/>
      <c r="CP46" s="4" t="str">
        <f aca="false">IF(OR(CN46="",CO46=""),"",IFERROR(IF($K46="%",CO46-CN46,CO46/CN46-1),""))</f>
        <v/>
      </c>
      <c r="CQ46" s="5" t="str">
        <f aca="false">IF(OR(CN46="",CO46=""),"",IF($F46="Maior Melhor",IF(CO46&gt;=CN46,"Sim","Não"),IF(CO46&lt;=CN46,"Sim","Não")))</f>
        <v/>
      </c>
      <c r="CR46" s="2" t="s">
        <v>141</v>
      </c>
    </row>
    <row r="47" customFormat="false" ht="15" hidden="false" customHeight="false" outlineLevel="0" collapsed="false">
      <c r="A47" s="2" t="s">
        <v>96</v>
      </c>
      <c r="B47" s="2" t="s">
        <v>97</v>
      </c>
      <c r="C47" s="2" t="s">
        <v>121</v>
      </c>
      <c r="D47" s="2" t="s">
        <v>136</v>
      </c>
      <c r="E47" s="2" t="str">
        <f aca="false">C47&amp;D47</f>
        <v>UTD IRECÊAvanço físico da carteira de manutenção</v>
      </c>
      <c r="F47" s="2" t="s">
        <v>100</v>
      </c>
      <c r="G47" s="2" t="s">
        <v>137</v>
      </c>
      <c r="H47" s="2" t="s">
        <v>102</v>
      </c>
      <c r="I47" s="2" t="s">
        <v>103</v>
      </c>
      <c r="J47" s="2" t="n">
        <v>2</v>
      </c>
      <c r="K47" s="2" t="s">
        <v>104</v>
      </c>
      <c r="L47" s="3" t="n">
        <v>0.9</v>
      </c>
      <c r="M47" s="3" t="n">
        <v>0.1542</v>
      </c>
      <c r="N47" s="4" t="n">
        <f aca="false">IF(OR(L47="",M47=""),"",IFERROR(IF($K47="%",M47-L47,M47/L47-1),""))</f>
        <v>-0.7458</v>
      </c>
      <c r="O47" s="5" t="str">
        <f aca="false">IF(OR(L47="",M47=""),"",IF($F47="Maior Melhor",IF(M47&gt;=L47,"Sim","Não"),IF(M47&lt;=L47,"Sim","Não")))</f>
        <v>Não</v>
      </c>
      <c r="P47" s="3" t="n">
        <v>0.9</v>
      </c>
      <c r="Q47" s="3" t="n">
        <v>0.1938</v>
      </c>
      <c r="R47" s="4" t="n">
        <f aca="false">IF(OR(P47="",Q47=""),"",IFERROR(IF($K47="%",Q47-P47,Q47/P47-1),""))</f>
        <v>-0.7062</v>
      </c>
      <c r="S47" s="5" t="str">
        <f aca="false">IF(OR(P47="",Q47=""),"",IF($F47="Maior Melhor",IF(Q47&gt;=P47,"Sim","Não"),IF(Q47&lt;=P47,"Sim","Não")))</f>
        <v>Não</v>
      </c>
      <c r="T47" s="3" t="n">
        <v>0.9</v>
      </c>
      <c r="U47" s="3" t="n">
        <v>0.9118</v>
      </c>
      <c r="V47" s="4" t="n">
        <f aca="false">IF(OR(T47="",U47=""),"",IFERROR(IF($K47="%",U47-T47,U47/T47-1),""))</f>
        <v>0.0118</v>
      </c>
      <c r="W47" s="5" t="str">
        <f aca="false">IF(OR(T47="",U47=""),"",IF($F47="Maior Melhor",IF(U47&gt;=T47,"Sim","Não"),IF(U47&lt;=T47,"Sim","Não")))</f>
        <v>Sim</v>
      </c>
      <c r="X47" s="3" t="n">
        <v>0.9</v>
      </c>
      <c r="Y47" s="3" t="n">
        <v>0.75</v>
      </c>
      <c r="Z47" s="4" t="n">
        <f aca="false">IF(OR(X47="",Y47=""),"",IFERROR(IF($K47="%",Y47-X47,Y47/X47-1),""))</f>
        <v>-0.15</v>
      </c>
      <c r="AA47" s="5" t="str">
        <f aca="false">IF(OR(X47="",Y47=""),"",IF($F47="Maior Melhor",IF(Y47&gt;=X47,"Sim","Não"),IF(Y47&lt;=X47,"Sim","Não")))</f>
        <v>Não</v>
      </c>
      <c r="AB47" s="3" t="n">
        <v>0.9</v>
      </c>
      <c r="AC47" s="3" t="n">
        <v>0.66</v>
      </c>
      <c r="AD47" s="4" t="n">
        <f aca="false">IF(OR(AB47="",AC47=""),"",IFERROR(IF($K47="%",AC47-AB47,AC47/AB47-1),""))</f>
        <v>-0.24</v>
      </c>
      <c r="AE47" s="5" t="str">
        <f aca="false">IF(OR(AB47="",AC47=""),"",IF($F47="Maior Melhor",IF(AC47&gt;=AB47,"Sim","Não"),IF(AC47&lt;=AB47,"Sim","Não")))</f>
        <v>Não</v>
      </c>
      <c r="AF47" s="3" t="n">
        <v>0.9</v>
      </c>
      <c r="AG47" s="3" t="n">
        <v>1.07</v>
      </c>
      <c r="AH47" s="4" t="n">
        <f aca="false">IF(OR(AF47="",AG47=""),"",IFERROR(IF($K47="%",AG47-AF47,AG47/AF47-1),""))</f>
        <v>0.17</v>
      </c>
      <c r="AI47" s="5" t="str">
        <f aca="false">IF(OR(AF47="",AG47=""),"",IF($F47="Maior Melhor",IF(AG47&gt;=AF47,"Sim","Não"),IF(AG47&lt;=AF47,"Sim","Não")))</f>
        <v>Sim</v>
      </c>
      <c r="AJ47" s="3" t="n">
        <v>0.9</v>
      </c>
      <c r="AK47" s="3" t="n">
        <v>0.9</v>
      </c>
      <c r="AL47" s="4" t="n">
        <f aca="false">IF(OR(AJ47="",AK47=""),"",IFERROR(IF($K47="%",AK47-AJ47,AK47/AJ47-1),""))</f>
        <v>0</v>
      </c>
      <c r="AM47" s="5" t="str">
        <f aca="false">IF(OR(AJ47="",AK47=""),"",IF($F47="Maior Melhor",IF(AK47&gt;=AJ47,"Sim","Não"),IF(AK47&lt;=AJ47,"Sim","Não")))</f>
        <v>Sim</v>
      </c>
      <c r="AN47" s="3" t="n">
        <v>0.9</v>
      </c>
      <c r="AO47" s="3" t="n">
        <v>1.1</v>
      </c>
      <c r="AP47" s="4" t="n">
        <f aca="false">IF(OR(AN47="",AO47=""),"",IFERROR(IF($K47="%",AO47-AN47,AO47/AN47-1),""))</f>
        <v>0.2</v>
      </c>
      <c r="AQ47" s="5" t="str">
        <f aca="false">IF(OR(AN47="",AO47=""),"",IF($F47="Maior Melhor",IF(AO47&gt;=AN47,"Sim","Não"),IF(AO47&lt;=AN47,"Sim","Não")))</f>
        <v>Sim</v>
      </c>
      <c r="AR47" s="3" t="n">
        <v>0.9</v>
      </c>
      <c r="AS47" s="3" t="n">
        <v>0.95</v>
      </c>
      <c r="AT47" s="4" t="n">
        <f aca="false">IF(OR(AR47="",AS47=""),"",IFERROR(IF($K47="%",AS47-AR47,AS47/AR47-1),""))</f>
        <v>0.0499999999999999</v>
      </c>
      <c r="AU47" s="5" t="str">
        <f aca="false">IF(OR(AR47="",AS47=""),"",IF($F47="Maior Melhor",IF(AS47&gt;=AR47,"Sim","Não"),IF(AS47&lt;=AR47,"Sim","Não")))</f>
        <v>Sim</v>
      </c>
      <c r="AV47" s="3" t="n">
        <v>0.9</v>
      </c>
      <c r="AW47" s="3" t="n">
        <v>0.96</v>
      </c>
      <c r="AX47" s="4" t="n">
        <f aca="false">IF(OR(AV47="",AW47=""),"",IFERROR(IF($K47="%",AW47-AV47,AW47/AV47-1),""))</f>
        <v>0.0599999999999999</v>
      </c>
      <c r="AY47" s="5" t="str">
        <f aca="false">IF(OR(AV47="",AW47=""),"",IF($F47="Maior Melhor",IF(AW47&gt;=AV47,"Sim","Não"),IF(AW47&lt;=AV47,"Sim","Não")))</f>
        <v>Sim</v>
      </c>
      <c r="AZ47" s="3" t="n">
        <v>0.9</v>
      </c>
      <c r="BA47" s="3" t="n">
        <v>0.95</v>
      </c>
      <c r="BB47" s="4" t="n">
        <f aca="false">IF(OR(AZ47="",BA47=""),"",IFERROR(IF($K47="%",BA47-AZ47,BA47/AZ47-1),""))</f>
        <v>0.0499999999999999</v>
      </c>
      <c r="BC47" s="5" t="str">
        <f aca="false">IF(OR(AZ47="",BA47=""),"",IF($F47="Maior Melhor",IF(BA47&gt;=AZ47,"Sim","Não"),IF(BA47&lt;=AZ47,"Sim","Não")))</f>
        <v>Sim</v>
      </c>
      <c r="BD47" s="3" t="n">
        <v>0.9</v>
      </c>
      <c r="BE47" s="3" t="n">
        <v>1.04</v>
      </c>
      <c r="BF47" s="4" t="n">
        <f aca="false">IF(OR(BD47="",BE47=""),"",IFERROR(IF($K47="%",BE47-BD47,BE47/BD47-1),""))</f>
        <v>0.14</v>
      </c>
      <c r="BG47" s="5" t="str">
        <f aca="false">IF(OR(BD47="",BE47=""),"",IF($F47="Maior Melhor",IF(BE47&gt;=BD47,"Sim","Não"),IF(BE47&lt;=BD47,"Sim","Não")))</f>
        <v>Sim</v>
      </c>
      <c r="BH47" s="3" t="n">
        <v>0.9</v>
      </c>
      <c r="BI47" s="3" t="n">
        <v>0.96</v>
      </c>
      <c r="BJ47" s="4" t="n">
        <f aca="false">IF(OR(BH47="",BI47=""),"",IFERROR(IF($K47="%",BI47-BH47,BI47/BH47-1),""))</f>
        <v>0.0599999999999999</v>
      </c>
      <c r="BK47" s="5" t="str">
        <f aca="false">IF(OR(BH47="",BI47=""),"",IF($F47="Maior Melhor",IF(BI47&gt;=BH47,"Sim","Não"),IF(BI47&lt;=BH47,"Sim","Não")))</f>
        <v>Sim</v>
      </c>
      <c r="BL47" s="6"/>
      <c r="BM47" s="6"/>
      <c r="BN47" s="4" t="str">
        <f aca="false">IF(OR(BL47="",BM47=""),"",IFERROR(IF($K47="%",BM47-BL47,BM47/BL47-1),""))</f>
        <v/>
      </c>
      <c r="BO47" s="5" t="str">
        <f aca="false">IF(OR(BL47="",BM47=""),"",IF($F47="Maior Melhor",IF(BM47&gt;=BL47,"Sim","Não"),IF(BM47&lt;=BL47,"Sim","Não")))</f>
        <v/>
      </c>
      <c r="BP47" s="6"/>
      <c r="BQ47" s="6"/>
      <c r="BR47" s="4" t="str">
        <f aca="false">IF(OR(BP47="",BQ47=""),"",IFERROR(IF($K47="%",BQ47-BP47,BQ47/BP47-1),""))</f>
        <v/>
      </c>
      <c r="BS47" s="5" t="str">
        <f aca="false">IF(OR(BP47="",BQ47=""),"",IF($F47="Maior Melhor",IF(BQ47&gt;=BP47,"Sim","Não"),IF(BQ47&lt;=BP47,"Sim","Não")))</f>
        <v/>
      </c>
      <c r="BT47" s="6"/>
      <c r="BU47" s="6"/>
      <c r="BV47" s="4" t="str">
        <f aca="false">IF(OR(BT47="",BU47=""),"",IFERROR(IF($K47="%",BU47-BT47,BU47/BT47-1),""))</f>
        <v/>
      </c>
      <c r="BW47" s="5" t="str">
        <f aca="false">IF(OR(BT47="",BU47=""),"",IF($F47="Maior Melhor",IF(BU47&gt;=BT47,"Sim","Não"),IF(BU47&lt;=BT47,"Sim","Não")))</f>
        <v/>
      </c>
      <c r="BX47" s="6"/>
      <c r="BY47" s="6"/>
      <c r="BZ47" s="4" t="str">
        <f aca="false">IF(OR(BX47="",BY47=""),"",IFERROR(IF($K47="%",BY47-BX47,BY47/BX47-1),""))</f>
        <v/>
      </c>
      <c r="CA47" s="5" t="str">
        <f aca="false">IF(OR(BX47="",BY47=""),"",IF($F47="Maior Melhor",IF(BY47&gt;=BX47,"Sim","Não"),IF(BY47&lt;=BX47,"Sim","Não")))</f>
        <v/>
      </c>
      <c r="CB47" s="6"/>
      <c r="CC47" s="6"/>
      <c r="CD47" s="4" t="str">
        <f aca="false">IF(OR(CB47="",CC47=""),"",IFERROR(IF($K47="%",CC47-CB47,CC47/CB47-1),""))</f>
        <v/>
      </c>
      <c r="CE47" s="5" t="str">
        <f aca="false">IF(OR(CB47="",CC47=""),"",IF($F47="Maior Melhor",IF(CC47&gt;=CB47,"Sim","Não"),IF(CC47&lt;=CB47,"Sim","Não")))</f>
        <v/>
      </c>
      <c r="CF47" s="6"/>
      <c r="CG47" s="6"/>
      <c r="CH47" s="4" t="str">
        <f aca="false">IF(OR(CF47="",CG47=""),"",IFERROR(IF($K47="%",CG47-CF47,CG47/CF47-1),""))</f>
        <v/>
      </c>
      <c r="CI47" s="5" t="str">
        <f aca="false">IF(OR(CF47="",CG47=""),"",IF($F47="Maior Melhor",IF(CG47&gt;=CF47,"Sim","Não"),IF(CG47&lt;=CF47,"Sim","Não")))</f>
        <v/>
      </c>
      <c r="CJ47" s="6"/>
      <c r="CK47" s="6"/>
      <c r="CL47" s="4" t="str">
        <f aca="false">IF(OR(CJ47="",CK47=""),"",IFERROR(IF($K47="%",CK47-CJ47,CK47/CJ47-1),""))</f>
        <v/>
      </c>
      <c r="CM47" s="5" t="str">
        <f aca="false">IF(OR(CJ47="",CK47=""),"",IF($F47="Maior Melhor",IF(CK47&gt;=CJ47,"Sim","Não"),IF(CK47&lt;=CJ47,"Sim","Não")))</f>
        <v/>
      </c>
      <c r="CN47" s="6"/>
      <c r="CO47" s="6"/>
      <c r="CP47" s="4" t="str">
        <f aca="false">IF(OR(CN47="",CO47=""),"",IFERROR(IF($K47="%",CO47-CN47,CO47/CN47-1),""))</f>
        <v/>
      </c>
      <c r="CQ47" s="5" t="str">
        <f aca="false">IF(OR(CN47="",CO47=""),"",IF($F47="Maior Melhor",IF(CO47&gt;=CN47,"Sim","Não"),IF(CO47&lt;=CN47,"Sim","Não")))</f>
        <v/>
      </c>
      <c r="CR47" s="2" t="s">
        <v>105</v>
      </c>
    </row>
    <row r="48" customFormat="false" ht="15" hidden="false" customHeight="false" outlineLevel="0" collapsed="false">
      <c r="A48" s="2" t="s">
        <v>96</v>
      </c>
      <c r="B48" s="2" t="s">
        <v>97</v>
      </c>
      <c r="C48" s="2" t="s">
        <v>122</v>
      </c>
      <c r="D48" s="2" t="s">
        <v>136</v>
      </c>
      <c r="E48" s="2" t="str">
        <f aca="false">C48&amp;D48</f>
        <v>UTD ITABERABAAvanço físico da carteira de manutenção</v>
      </c>
      <c r="F48" s="2" t="s">
        <v>100</v>
      </c>
      <c r="G48" s="2" t="s">
        <v>137</v>
      </c>
      <c r="H48" s="2" t="s">
        <v>102</v>
      </c>
      <c r="I48" s="2" t="s">
        <v>103</v>
      </c>
      <c r="J48" s="2" t="n">
        <v>2</v>
      </c>
      <c r="K48" s="2" t="s">
        <v>104</v>
      </c>
      <c r="L48" s="3" t="n">
        <v>0.9</v>
      </c>
      <c r="M48" s="3" t="n">
        <v>0.1787</v>
      </c>
      <c r="N48" s="4" t="n">
        <f aca="false">IF(OR(L48="",M48=""),"",IFERROR(IF($K48="%",M48-L48,M48/L48-1),""))</f>
        <v>-0.7213</v>
      </c>
      <c r="O48" s="5" t="str">
        <f aca="false">IF(OR(L48="",M48=""),"",IF($F48="Maior Melhor",IF(M48&gt;=L48,"Sim","Não"),IF(M48&lt;=L48,"Sim","Não")))</f>
        <v>Não</v>
      </c>
      <c r="P48" s="3" t="n">
        <v>0.9</v>
      </c>
      <c r="Q48" s="3" t="n">
        <v>0.3201</v>
      </c>
      <c r="R48" s="4" t="n">
        <f aca="false">IF(OR(P48="",Q48=""),"",IFERROR(IF($K48="%",Q48-P48,Q48/P48-1),""))</f>
        <v>-0.5799</v>
      </c>
      <c r="S48" s="5" t="str">
        <f aca="false">IF(OR(P48="",Q48=""),"",IF($F48="Maior Melhor",IF(Q48&gt;=P48,"Sim","Não"),IF(Q48&lt;=P48,"Sim","Não")))</f>
        <v>Não</v>
      </c>
      <c r="T48" s="3" t="n">
        <v>0.9</v>
      </c>
      <c r="U48" s="3" t="n">
        <v>0.3293</v>
      </c>
      <c r="V48" s="4" t="n">
        <f aca="false">IF(OR(T48="",U48=""),"",IFERROR(IF($K48="%",U48-T48,U48/T48-1),""))</f>
        <v>-0.5707</v>
      </c>
      <c r="W48" s="5" t="str">
        <f aca="false">IF(OR(T48="",U48=""),"",IF($F48="Maior Melhor",IF(U48&gt;=T48,"Sim","Não"),IF(U48&lt;=T48,"Sim","Não")))</f>
        <v>Não</v>
      </c>
      <c r="X48" s="3" t="n">
        <v>0.9</v>
      </c>
      <c r="Y48" s="3" t="n">
        <v>0.44</v>
      </c>
      <c r="Z48" s="4" t="n">
        <f aca="false">IF(OR(X48="",Y48=""),"",IFERROR(IF($K48="%",Y48-X48,Y48/X48-1),""))</f>
        <v>-0.46</v>
      </c>
      <c r="AA48" s="5" t="str">
        <f aca="false">IF(OR(X48="",Y48=""),"",IF($F48="Maior Melhor",IF(Y48&gt;=X48,"Sim","Não"),IF(Y48&lt;=X48,"Sim","Não")))</f>
        <v>Não</v>
      </c>
      <c r="AB48" s="3" t="n">
        <v>0.9</v>
      </c>
      <c r="AC48" s="3" t="n">
        <v>0.33</v>
      </c>
      <c r="AD48" s="4" t="n">
        <f aca="false">IF(OR(AB48="",AC48=""),"",IFERROR(IF($K48="%",AC48-AB48,AC48/AB48-1),""))</f>
        <v>-0.57</v>
      </c>
      <c r="AE48" s="5" t="str">
        <f aca="false">IF(OR(AB48="",AC48=""),"",IF($F48="Maior Melhor",IF(AC48&gt;=AB48,"Sim","Não"),IF(AC48&lt;=AB48,"Sim","Não")))</f>
        <v>Não</v>
      </c>
      <c r="AF48" s="3" t="n">
        <v>0.9</v>
      </c>
      <c r="AG48" s="3" t="n">
        <v>0.34</v>
      </c>
      <c r="AH48" s="4" t="n">
        <f aca="false">IF(OR(AF48="",AG48=""),"",IFERROR(IF($K48="%",AG48-AF48,AG48/AF48-1),""))</f>
        <v>-0.56</v>
      </c>
      <c r="AI48" s="5" t="str">
        <f aca="false">IF(OR(AF48="",AG48=""),"",IF($F48="Maior Melhor",IF(AG48&gt;=AF48,"Sim","Não"),IF(AG48&lt;=AF48,"Sim","Não")))</f>
        <v>Não</v>
      </c>
      <c r="AJ48" s="3" t="n">
        <v>0.9</v>
      </c>
      <c r="AK48" s="3" t="n">
        <v>0.34</v>
      </c>
      <c r="AL48" s="4" t="n">
        <f aca="false">IF(OR(AJ48="",AK48=""),"",IFERROR(IF($K48="%",AK48-AJ48,AK48/AJ48-1),""))</f>
        <v>-0.56</v>
      </c>
      <c r="AM48" s="5" t="str">
        <f aca="false">IF(OR(AJ48="",AK48=""),"",IF($F48="Maior Melhor",IF(AK48&gt;=AJ48,"Sim","Não"),IF(AK48&lt;=AJ48,"Sim","Não")))</f>
        <v>Não</v>
      </c>
      <c r="AN48" s="3" t="n">
        <v>0.9</v>
      </c>
      <c r="AO48" s="3" t="n">
        <v>0.6</v>
      </c>
      <c r="AP48" s="4" t="n">
        <f aca="false">IF(OR(AN48="",AO48=""),"",IFERROR(IF($K48="%",AO48-AN48,AO48/AN48-1),""))</f>
        <v>-0.3</v>
      </c>
      <c r="AQ48" s="5" t="str">
        <f aca="false">IF(OR(AN48="",AO48=""),"",IF($F48="Maior Melhor",IF(AO48&gt;=AN48,"Sim","Não"),IF(AO48&lt;=AN48,"Sim","Não")))</f>
        <v>Não</v>
      </c>
      <c r="AR48" s="3" t="n">
        <v>0.9</v>
      </c>
      <c r="AS48" s="3" t="n">
        <v>0.65</v>
      </c>
      <c r="AT48" s="4" t="n">
        <f aca="false">IF(OR(AR48="",AS48=""),"",IFERROR(IF($K48="%",AS48-AR48,AS48/AR48-1),""))</f>
        <v>-0.25</v>
      </c>
      <c r="AU48" s="5" t="str">
        <f aca="false">IF(OR(AR48="",AS48=""),"",IF($F48="Maior Melhor",IF(AS48&gt;=AR48,"Sim","Não"),IF(AS48&lt;=AR48,"Sim","Não")))</f>
        <v>Não</v>
      </c>
      <c r="AV48" s="3" t="n">
        <v>0.9</v>
      </c>
      <c r="AW48" s="3" t="n">
        <v>0.57</v>
      </c>
      <c r="AX48" s="4" t="n">
        <f aca="false">IF(OR(AV48="",AW48=""),"",IFERROR(IF($K48="%",AW48-AV48,AW48/AV48-1),""))</f>
        <v>-0.33</v>
      </c>
      <c r="AY48" s="5" t="str">
        <f aca="false">IF(OR(AV48="",AW48=""),"",IF($F48="Maior Melhor",IF(AW48&gt;=AV48,"Sim","Não"),IF(AW48&lt;=AV48,"Sim","Não")))</f>
        <v>Não</v>
      </c>
      <c r="AZ48" s="3" t="n">
        <v>0.9</v>
      </c>
      <c r="BA48" s="3" t="n">
        <v>0.65</v>
      </c>
      <c r="BB48" s="4" t="n">
        <f aca="false">IF(OR(AZ48="",BA48=""),"",IFERROR(IF($K48="%",BA48-AZ48,BA48/AZ48-1),""))</f>
        <v>-0.25</v>
      </c>
      <c r="BC48" s="5" t="str">
        <f aca="false">IF(OR(AZ48="",BA48=""),"",IF($F48="Maior Melhor",IF(BA48&gt;=AZ48,"Sim","Não"),IF(BA48&lt;=AZ48,"Sim","Não")))</f>
        <v>Não</v>
      </c>
      <c r="BD48" s="3" t="n">
        <v>0.9</v>
      </c>
      <c r="BE48" s="3" t="n">
        <v>1.1</v>
      </c>
      <c r="BF48" s="4" t="n">
        <f aca="false">IF(OR(BD48="",BE48=""),"",IFERROR(IF($K48="%",BE48-BD48,BE48/BD48-1),""))</f>
        <v>0.2</v>
      </c>
      <c r="BG48" s="5" t="str">
        <f aca="false">IF(OR(BD48="",BE48=""),"",IF($F48="Maior Melhor",IF(BE48&gt;=BD48,"Sim","Não"),IF(BE48&lt;=BD48,"Sim","Não")))</f>
        <v>Sim</v>
      </c>
      <c r="BH48" s="3" t="n">
        <v>0.9</v>
      </c>
      <c r="BI48" s="3" t="n">
        <v>0.75</v>
      </c>
      <c r="BJ48" s="4" t="n">
        <f aca="false">IF(OR(BH48="",BI48=""),"",IFERROR(IF($K48="%",BI48-BH48,BI48/BH48-1),""))</f>
        <v>-0.15</v>
      </c>
      <c r="BK48" s="5" t="str">
        <f aca="false">IF(OR(BH48="",BI48=""),"",IF($F48="Maior Melhor",IF(BI48&gt;=BH48,"Sim","Não"),IF(BI48&lt;=BH48,"Sim","Não")))</f>
        <v>Não</v>
      </c>
      <c r="BL48" s="6"/>
      <c r="BM48" s="6"/>
      <c r="BN48" s="4" t="str">
        <f aca="false">IF(OR(BL48="",BM48=""),"",IFERROR(IF($K48="%",BM48-BL48,BM48/BL48-1),""))</f>
        <v/>
      </c>
      <c r="BO48" s="5" t="str">
        <f aca="false">IF(OR(BL48="",BM48=""),"",IF($F48="Maior Melhor",IF(BM48&gt;=BL48,"Sim","Não"),IF(BM48&lt;=BL48,"Sim","Não")))</f>
        <v/>
      </c>
      <c r="BP48" s="6"/>
      <c r="BQ48" s="6"/>
      <c r="BR48" s="4" t="str">
        <f aca="false">IF(OR(BP48="",BQ48=""),"",IFERROR(IF($K48="%",BQ48-BP48,BQ48/BP48-1),""))</f>
        <v/>
      </c>
      <c r="BS48" s="5" t="str">
        <f aca="false">IF(OR(BP48="",BQ48=""),"",IF($F48="Maior Melhor",IF(BQ48&gt;=BP48,"Sim","Não"),IF(BQ48&lt;=BP48,"Sim","Não")))</f>
        <v/>
      </c>
      <c r="BT48" s="6"/>
      <c r="BU48" s="6"/>
      <c r="BV48" s="4" t="str">
        <f aca="false">IF(OR(BT48="",BU48=""),"",IFERROR(IF($K48="%",BU48-BT48,BU48/BT48-1),""))</f>
        <v/>
      </c>
      <c r="BW48" s="5" t="str">
        <f aca="false">IF(OR(BT48="",BU48=""),"",IF($F48="Maior Melhor",IF(BU48&gt;=BT48,"Sim","Não"),IF(BU48&lt;=BT48,"Sim","Não")))</f>
        <v/>
      </c>
      <c r="BX48" s="6"/>
      <c r="BY48" s="6"/>
      <c r="BZ48" s="4" t="str">
        <f aca="false">IF(OR(BX48="",BY48=""),"",IFERROR(IF($K48="%",BY48-BX48,BY48/BX48-1),""))</f>
        <v/>
      </c>
      <c r="CA48" s="5" t="str">
        <f aca="false">IF(OR(BX48="",BY48=""),"",IF($F48="Maior Melhor",IF(BY48&gt;=BX48,"Sim","Não"),IF(BY48&lt;=BX48,"Sim","Não")))</f>
        <v/>
      </c>
      <c r="CB48" s="6"/>
      <c r="CC48" s="6"/>
      <c r="CD48" s="4" t="str">
        <f aca="false">IF(OR(CB48="",CC48=""),"",IFERROR(IF($K48="%",CC48-CB48,CC48/CB48-1),""))</f>
        <v/>
      </c>
      <c r="CE48" s="5" t="str">
        <f aca="false">IF(OR(CB48="",CC48=""),"",IF($F48="Maior Melhor",IF(CC48&gt;=CB48,"Sim","Não"),IF(CC48&lt;=CB48,"Sim","Não")))</f>
        <v/>
      </c>
      <c r="CF48" s="6"/>
      <c r="CG48" s="6"/>
      <c r="CH48" s="4" t="str">
        <f aca="false">IF(OR(CF48="",CG48=""),"",IFERROR(IF($K48="%",CG48-CF48,CG48/CF48-1),""))</f>
        <v/>
      </c>
      <c r="CI48" s="5" t="str">
        <f aca="false">IF(OR(CF48="",CG48=""),"",IF($F48="Maior Melhor",IF(CG48&gt;=CF48,"Sim","Não"),IF(CG48&lt;=CF48,"Sim","Não")))</f>
        <v/>
      </c>
      <c r="CJ48" s="6"/>
      <c r="CK48" s="6"/>
      <c r="CL48" s="4" t="str">
        <f aca="false">IF(OR(CJ48="",CK48=""),"",IFERROR(IF($K48="%",CK48-CJ48,CK48/CJ48-1),""))</f>
        <v/>
      </c>
      <c r="CM48" s="5" t="str">
        <f aca="false">IF(OR(CJ48="",CK48=""),"",IF($F48="Maior Melhor",IF(CK48&gt;=CJ48,"Sim","Não"),IF(CK48&lt;=CJ48,"Sim","Não")))</f>
        <v/>
      </c>
      <c r="CN48" s="6"/>
      <c r="CO48" s="6"/>
      <c r="CP48" s="4" t="str">
        <f aca="false">IF(OR(CN48="",CO48=""),"",IFERROR(IF($K48="%",CO48-CN48,CO48/CN48-1),""))</f>
        <v/>
      </c>
      <c r="CQ48" s="5" t="str">
        <f aca="false">IF(OR(CN48="",CO48=""),"",IF($F48="Maior Melhor",IF(CO48&gt;=CN48,"Sim","Não"),IF(CO48&lt;=CN48,"Sim","Não")))</f>
        <v/>
      </c>
      <c r="CR48" s="2" t="s">
        <v>142</v>
      </c>
    </row>
    <row r="49" customFormat="false" ht="15" hidden="false" customHeight="false" outlineLevel="0" collapsed="false">
      <c r="A49" s="2" t="s">
        <v>96</v>
      </c>
      <c r="B49" s="2" t="s">
        <v>108</v>
      </c>
      <c r="C49" s="2" t="s">
        <v>124</v>
      </c>
      <c r="D49" s="2" t="s">
        <v>136</v>
      </c>
      <c r="E49" s="2" t="str">
        <f aca="false">C49&amp;D49</f>
        <v>UTD ITAPETINGAAvanço físico da carteira de manutenção</v>
      </c>
      <c r="F49" s="2" t="s">
        <v>100</v>
      </c>
      <c r="G49" s="2" t="s">
        <v>137</v>
      </c>
      <c r="H49" s="2" t="s">
        <v>102</v>
      </c>
      <c r="I49" s="2" t="s">
        <v>103</v>
      </c>
      <c r="J49" s="2" t="n">
        <v>2</v>
      </c>
      <c r="K49" s="2" t="s">
        <v>104</v>
      </c>
      <c r="L49" s="3" t="n">
        <v>0.9</v>
      </c>
      <c r="M49" s="3" t="n">
        <v>0.097</v>
      </c>
      <c r="N49" s="4" t="n">
        <f aca="false">IF(OR(L49="",M49=""),"",IFERROR(IF($K49="%",M49-L49,M49/L49-1),""))</f>
        <v>-0.803</v>
      </c>
      <c r="O49" s="5" t="str">
        <f aca="false">IF(OR(L49="",M49=""),"",IF($F49="Maior Melhor",IF(M49&gt;=L49,"Sim","Não"),IF(M49&lt;=L49,"Sim","Não")))</f>
        <v>Não</v>
      </c>
      <c r="P49" s="3" t="n">
        <v>0.9</v>
      </c>
      <c r="Q49" s="3" t="n">
        <v>0.1275</v>
      </c>
      <c r="R49" s="4" t="n">
        <f aca="false">IF(OR(P49="",Q49=""),"",IFERROR(IF($K49="%",Q49-P49,Q49/P49-1),""))</f>
        <v>-0.7725</v>
      </c>
      <c r="S49" s="5" t="str">
        <f aca="false">IF(OR(P49="",Q49=""),"",IF($F49="Maior Melhor",IF(Q49&gt;=P49,"Sim","Não"),IF(Q49&lt;=P49,"Sim","Não")))</f>
        <v>Não</v>
      </c>
      <c r="T49" s="3" t="n">
        <v>0.9</v>
      </c>
      <c r="U49" s="3" t="n">
        <v>0.595</v>
      </c>
      <c r="V49" s="4" t="n">
        <f aca="false">IF(OR(T49="",U49=""),"",IFERROR(IF($K49="%",U49-T49,U49/T49-1),""))</f>
        <v>-0.305</v>
      </c>
      <c r="W49" s="5" t="str">
        <f aca="false">IF(OR(T49="",U49=""),"",IF($F49="Maior Melhor",IF(U49&gt;=T49,"Sim","Não"),IF(U49&lt;=T49,"Sim","Não")))</f>
        <v>Não</v>
      </c>
      <c r="X49" s="3" t="n">
        <v>0.9</v>
      </c>
      <c r="Y49" s="3" t="n">
        <v>1.1</v>
      </c>
      <c r="Z49" s="4" t="n">
        <f aca="false">IF(OR(X49="",Y49=""),"",IFERROR(IF($K49="%",Y49-X49,Y49/X49-1),""))</f>
        <v>0.2</v>
      </c>
      <c r="AA49" s="5" t="str">
        <f aca="false">IF(OR(X49="",Y49=""),"",IF($F49="Maior Melhor",IF(Y49&gt;=X49,"Sim","Não"),IF(Y49&lt;=X49,"Sim","Não")))</f>
        <v>Sim</v>
      </c>
      <c r="AB49" s="3" t="n">
        <v>0.9</v>
      </c>
      <c r="AC49" s="3" t="n">
        <v>0.65</v>
      </c>
      <c r="AD49" s="4" t="n">
        <f aca="false">IF(OR(AB49="",AC49=""),"",IFERROR(IF($K49="%",AC49-AB49,AC49/AB49-1),""))</f>
        <v>-0.25</v>
      </c>
      <c r="AE49" s="5" t="str">
        <f aca="false">IF(OR(AB49="",AC49=""),"",IF($F49="Maior Melhor",IF(AC49&gt;=AB49,"Sim","Não"),IF(AC49&lt;=AB49,"Sim","Não")))</f>
        <v>Não</v>
      </c>
      <c r="AF49" s="3" t="n">
        <v>0.9</v>
      </c>
      <c r="AG49" s="3" t="n">
        <v>1</v>
      </c>
      <c r="AH49" s="4" t="n">
        <f aca="false">IF(OR(AF49="",AG49=""),"",IFERROR(IF($K49="%",AG49-AF49,AG49/AF49-1),""))</f>
        <v>0.1</v>
      </c>
      <c r="AI49" s="5" t="str">
        <f aca="false">IF(OR(AF49="",AG49=""),"",IF($F49="Maior Melhor",IF(AG49&gt;=AF49,"Sim","Não"),IF(AG49&lt;=AF49,"Sim","Não")))</f>
        <v>Sim</v>
      </c>
      <c r="AJ49" s="3" t="n">
        <v>0.9</v>
      </c>
      <c r="AK49" s="3" t="n">
        <v>0.76</v>
      </c>
      <c r="AL49" s="4" t="n">
        <f aca="false">IF(OR(AJ49="",AK49=""),"",IFERROR(IF($K49="%",AK49-AJ49,AK49/AJ49-1),""))</f>
        <v>-0.14</v>
      </c>
      <c r="AM49" s="5" t="str">
        <f aca="false">IF(OR(AJ49="",AK49=""),"",IF($F49="Maior Melhor",IF(AK49&gt;=AJ49,"Sim","Não"),IF(AK49&lt;=AJ49,"Sim","Não")))</f>
        <v>Não</v>
      </c>
      <c r="AN49" s="3" t="n">
        <v>0.9</v>
      </c>
      <c r="AO49" s="3" t="n">
        <v>0.73</v>
      </c>
      <c r="AP49" s="4" t="n">
        <f aca="false">IF(OR(AN49="",AO49=""),"",IFERROR(IF($K49="%",AO49-AN49,AO49/AN49-1),""))</f>
        <v>-0.17</v>
      </c>
      <c r="AQ49" s="5" t="str">
        <f aca="false">IF(OR(AN49="",AO49=""),"",IF($F49="Maior Melhor",IF(AO49&gt;=AN49,"Sim","Não"),IF(AO49&lt;=AN49,"Sim","Não")))</f>
        <v>Não</v>
      </c>
      <c r="AR49" s="3" t="n">
        <v>0.9</v>
      </c>
      <c r="AS49" s="3" t="n">
        <v>0.75</v>
      </c>
      <c r="AT49" s="4" t="n">
        <f aca="false">IF(OR(AR49="",AS49=""),"",IFERROR(IF($K49="%",AS49-AR49,AS49/AR49-1),""))</f>
        <v>-0.15</v>
      </c>
      <c r="AU49" s="5" t="str">
        <f aca="false">IF(OR(AR49="",AS49=""),"",IF($F49="Maior Melhor",IF(AS49&gt;=AR49,"Sim","Não"),IF(AS49&lt;=AR49,"Sim","Não")))</f>
        <v>Não</v>
      </c>
      <c r="AV49" s="3" t="n">
        <v>0.9</v>
      </c>
      <c r="AW49" s="3" t="n">
        <v>0.92</v>
      </c>
      <c r="AX49" s="4" t="n">
        <f aca="false">IF(OR(AV49="",AW49=""),"",IFERROR(IF($K49="%",AW49-AV49,AW49/AV49-1),""))</f>
        <v>0.02</v>
      </c>
      <c r="AY49" s="5" t="str">
        <f aca="false">IF(OR(AV49="",AW49=""),"",IF($F49="Maior Melhor",IF(AW49&gt;=AV49,"Sim","Não"),IF(AW49&lt;=AV49,"Sim","Não")))</f>
        <v>Sim</v>
      </c>
      <c r="AZ49" s="3" t="n">
        <v>0.9</v>
      </c>
      <c r="BA49" s="3" t="n">
        <v>0.78</v>
      </c>
      <c r="BB49" s="4" t="n">
        <f aca="false">IF(OR(AZ49="",BA49=""),"",IFERROR(IF($K49="%",BA49-AZ49,BA49/AZ49-1),""))</f>
        <v>-0.12</v>
      </c>
      <c r="BC49" s="5" t="str">
        <f aca="false">IF(OR(AZ49="",BA49=""),"",IF($F49="Maior Melhor",IF(BA49&gt;=AZ49,"Sim","Não"),IF(BA49&lt;=AZ49,"Sim","Não")))</f>
        <v>Não</v>
      </c>
      <c r="BD49" s="3" t="n">
        <v>0.9</v>
      </c>
      <c r="BE49" s="3" t="n">
        <v>1.1</v>
      </c>
      <c r="BF49" s="4" t="n">
        <f aca="false">IF(OR(BD49="",BE49=""),"",IFERROR(IF($K49="%",BE49-BD49,BE49/BD49-1),""))</f>
        <v>0.2</v>
      </c>
      <c r="BG49" s="5" t="str">
        <f aca="false">IF(OR(BD49="",BE49=""),"",IF($F49="Maior Melhor",IF(BE49&gt;=BD49,"Sim","Não"),IF(BE49&lt;=BD49,"Sim","Não")))</f>
        <v>Sim</v>
      </c>
      <c r="BH49" s="3" t="n">
        <v>0.9</v>
      </c>
      <c r="BI49" s="3" t="n">
        <v>0.85</v>
      </c>
      <c r="BJ49" s="4" t="n">
        <f aca="false">IF(OR(BH49="",BI49=""),"",IFERROR(IF($K49="%",BI49-BH49,BI49/BH49-1),""))</f>
        <v>-0.05</v>
      </c>
      <c r="BK49" s="5" t="str">
        <f aca="false">IF(OR(BH49="",BI49=""),"",IF($F49="Maior Melhor",IF(BI49&gt;=BH49,"Sim","Não"),IF(BI49&lt;=BH49,"Sim","Não")))</f>
        <v>Não</v>
      </c>
      <c r="BL49" s="6"/>
      <c r="BM49" s="6"/>
      <c r="BN49" s="4" t="str">
        <f aca="false">IF(OR(BL49="",BM49=""),"",IFERROR(IF($K49="%",BM49-BL49,BM49/BL49-1),""))</f>
        <v/>
      </c>
      <c r="BO49" s="5" t="str">
        <f aca="false">IF(OR(BL49="",BM49=""),"",IF($F49="Maior Melhor",IF(BM49&gt;=BL49,"Sim","Não"),IF(BM49&lt;=BL49,"Sim","Não")))</f>
        <v/>
      </c>
      <c r="BP49" s="6"/>
      <c r="BQ49" s="6"/>
      <c r="BR49" s="4" t="str">
        <f aca="false">IF(OR(BP49="",BQ49=""),"",IFERROR(IF($K49="%",BQ49-BP49,BQ49/BP49-1),""))</f>
        <v/>
      </c>
      <c r="BS49" s="5" t="str">
        <f aca="false">IF(OR(BP49="",BQ49=""),"",IF($F49="Maior Melhor",IF(BQ49&gt;=BP49,"Sim","Não"),IF(BQ49&lt;=BP49,"Sim","Não")))</f>
        <v/>
      </c>
      <c r="BT49" s="6"/>
      <c r="BU49" s="6"/>
      <c r="BV49" s="4" t="str">
        <f aca="false">IF(OR(BT49="",BU49=""),"",IFERROR(IF($K49="%",BU49-BT49,BU49/BT49-1),""))</f>
        <v/>
      </c>
      <c r="BW49" s="5" t="str">
        <f aca="false">IF(OR(BT49="",BU49=""),"",IF($F49="Maior Melhor",IF(BU49&gt;=BT49,"Sim","Não"),IF(BU49&lt;=BT49,"Sim","Não")))</f>
        <v/>
      </c>
      <c r="BX49" s="6"/>
      <c r="BY49" s="6"/>
      <c r="BZ49" s="4" t="str">
        <f aca="false">IF(OR(BX49="",BY49=""),"",IFERROR(IF($K49="%",BY49-BX49,BY49/BX49-1),""))</f>
        <v/>
      </c>
      <c r="CA49" s="5" t="str">
        <f aca="false">IF(OR(BX49="",BY49=""),"",IF($F49="Maior Melhor",IF(BY49&gt;=BX49,"Sim","Não"),IF(BY49&lt;=BX49,"Sim","Não")))</f>
        <v/>
      </c>
      <c r="CB49" s="6"/>
      <c r="CC49" s="6"/>
      <c r="CD49" s="4" t="str">
        <f aca="false">IF(OR(CB49="",CC49=""),"",IFERROR(IF($K49="%",CC49-CB49,CC49/CB49-1),""))</f>
        <v/>
      </c>
      <c r="CE49" s="5" t="str">
        <f aca="false">IF(OR(CB49="",CC49=""),"",IF($F49="Maior Melhor",IF(CC49&gt;=CB49,"Sim","Não"),IF(CC49&lt;=CB49,"Sim","Não")))</f>
        <v/>
      </c>
      <c r="CF49" s="6"/>
      <c r="CG49" s="6"/>
      <c r="CH49" s="4" t="str">
        <f aca="false">IF(OR(CF49="",CG49=""),"",IFERROR(IF($K49="%",CG49-CF49,CG49/CF49-1),""))</f>
        <v/>
      </c>
      <c r="CI49" s="5" t="str">
        <f aca="false">IF(OR(CF49="",CG49=""),"",IF($F49="Maior Melhor",IF(CG49&gt;=CF49,"Sim","Não"),IF(CG49&lt;=CF49,"Sim","Não")))</f>
        <v/>
      </c>
      <c r="CJ49" s="6"/>
      <c r="CK49" s="6"/>
      <c r="CL49" s="4" t="str">
        <f aca="false">IF(OR(CJ49="",CK49=""),"",IFERROR(IF($K49="%",CK49-CJ49,CK49/CJ49-1),""))</f>
        <v/>
      </c>
      <c r="CM49" s="5" t="str">
        <f aca="false">IF(OR(CJ49="",CK49=""),"",IF($F49="Maior Melhor",IF(CK49&gt;=CJ49,"Sim","Não"),IF(CK49&lt;=CJ49,"Sim","Não")))</f>
        <v/>
      </c>
      <c r="CN49" s="6"/>
      <c r="CO49" s="6"/>
      <c r="CP49" s="4" t="str">
        <f aca="false">IF(OR(CN49="",CO49=""),"",IFERROR(IF($K49="%",CO49-CN49,CO49/CN49-1),""))</f>
        <v/>
      </c>
      <c r="CQ49" s="5" t="str">
        <f aca="false">IF(OR(CN49="",CO49=""),"",IF($F49="Maior Melhor",IF(CO49&gt;=CN49,"Sim","Não"),IF(CO49&lt;=CN49,"Sim","Não")))</f>
        <v/>
      </c>
      <c r="CR49" s="2" t="s">
        <v>105</v>
      </c>
    </row>
    <row r="50" customFormat="false" ht="15" hidden="false" customHeight="false" outlineLevel="0" collapsed="false">
      <c r="A50" s="2" t="s">
        <v>96</v>
      </c>
      <c r="B50" s="2" t="s">
        <v>97</v>
      </c>
      <c r="C50" s="2" t="s">
        <v>125</v>
      </c>
      <c r="D50" s="2" t="s">
        <v>136</v>
      </c>
      <c r="E50" s="2" t="str">
        <f aca="false">C50&amp;D50</f>
        <v>UTD JEQUIÉAvanço físico da carteira de manutenção</v>
      </c>
      <c r="F50" s="2" t="s">
        <v>100</v>
      </c>
      <c r="G50" s="2" t="s">
        <v>137</v>
      </c>
      <c r="H50" s="2" t="s">
        <v>102</v>
      </c>
      <c r="I50" s="2" t="s">
        <v>103</v>
      </c>
      <c r="J50" s="2" t="n">
        <v>2</v>
      </c>
      <c r="K50" s="2" t="s">
        <v>104</v>
      </c>
      <c r="L50" s="3" t="n">
        <v>0.9</v>
      </c>
      <c r="M50" s="3" t="n">
        <v>0.4874</v>
      </c>
      <c r="N50" s="4" t="n">
        <f aca="false">IF(OR(L50="",M50=""),"",IFERROR(IF($K50="%",M50-L50,M50/L50-1),""))</f>
        <v>-0.4126</v>
      </c>
      <c r="O50" s="5" t="str">
        <f aca="false">IF(OR(L50="",M50=""),"",IF($F50="Maior Melhor",IF(M50&gt;=L50,"Sim","Não"),IF(M50&lt;=L50,"Sim","Não")))</f>
        <v>Não</v>
      </c>
      <c r="P50" s="3" t="n">
        <v>0.9</v>
      </c>
      <c r="Q50" s="3" t="n">
        <v>0.1737</v>
      </c>
      <c r="R50" s="4" t="n">
        <f aca="false">IF(OR(P50="",Q50=""),"",IFERROR(IF($K50="%",Q50-P50,Q50/P50-1),""))</f>
        <v>-0.7263</v>
      </c>
      <c r="S50" s="5" t="str">
        <f aca="false">IF(OR(P50="",Q50=""),"",IF($F50="Maior Melhor",IF(Q50&gt;=P50,"Sim","Não"),IF(Q50&lt;=P50,"Sim","Não")))</f>
        <v>Não</v>
      </c>
      <c r="T50" s="3" t="n">
        <v>0.9</v>
      </c>
      <c r="U50" s="3" t="n">
        <v>0.7288</v>
      </c>
      <c r="V50" s="4" t="n">
        <f aca="false">IF(OR(T50="",U50=""),"",IFERROR(IF($K50="%",U50-T50,U50/T50-1),""))</f>
        <v>-0.1712</v>
      </c>
      <c r="W50" s="5" t="str">
        <f aca="false">IF(OR(T50="",U50=""),"",IF($F50="Maior Melhor",IF(U50&gt;=T50,"Sim","Não"),IF(U50&lt;=T50,"Sim","Não")))</f>
        <v>Não</v>
      </c>
      <c r="X50" s="3" t="n">
        <v>0.9</v>
      </c>
      <c r="Y50" s="3" t="n">
        <v>1.1</v>
      </c>
      <c r="Z50" s="4" t="n">
        <f aca="false">IF(OR(X50="",Y50=""),"",IFERROR(IF($K50="%",Y50-X50,Y50/X50-1),""))</f>
        <v>0.2</v>
      </c>
      <c r="AA50" s="5" t="str">
        <f aca="false">IF(OR(X50="",Y50=""),"",IF($F50="Maior Melhor",IF(Y50&gt;=X50,"Sim","Não"),IF(Y50&lt;=X50,"Sim","Não")))</f>
        <v>Sim</v>
      </c>
      <c r="AB50" s="3" t="n">
        <v>0.9</v>
      </c>
      <c r="AC50" s="3" t="n">
        <v>0.77</v>
      </c>
      <c r="AD50" s="4" t="n">
        <f aca="false">IF(OR(AB50="",AC50=""),"",IFERROR(IF($K50="%",AC50-AB50,AC50/AB50-1),""))</f>
        <v>-0.13</v>
      </c>
      <c r="AE50" s="5" t="str">
        <f aca="false">IF(OR(AB50="",AC50=""),"",IF($F50="Maior Melhor",IF(AC50&gt;=AB50,"Sim","Não"),IF(AC50&lt;=AB50,"Sim","Não")))</f>
        <v>Não</v>
      </c>
      <c r="AF50" s="3" t="n">
        <v>0.9</v>
      </c>
      <c r="AG50" s="3" t="n">
        <v>0.98</v>
      </c>
      <c r="AH50" s="4" t="n">
        <f aca="false">IF(OR(AF50="",AG50=""),"",IFERROR(IF($K50="%",AG50-AF50,AG50/AF50-1),""))</f>
        <v>0.08</v>
      </c>
      <c r="AI50" s="5" t="str">
        <f aca="false">IF(OR(AF50="",AG50=""),"",IF($F50="Maior Melhor",IF(AG50&gt;=AF50,"Sim","Não"),IF(AG50&lt;=AF50,"Sim","Não")))</f>
        <v>Sim</v>
      </c>
      <c r="AJ50" s="3" t="n">
        <v>0.9</v>
      </c>
      <c r="AK50" s="3" t="n">
        <v>0.82</v>
      </c>
      <c r="AL50" s="4" t="n">
        <f aca="false">IF(OR(AJ50="",AK50=""),"",IFERROR(IF($K50="%",AK50-AJ50,AK50/AJ50-1),""))</f>
        <v>-0.0800000000000001</v>
      </c>
      <c r="AM50" s="5" t="str">
        <f aca="false">IF(OR(AJ50="",AK50=""),"",IF($F50="Maior Melhor",IF(AK50&gt;=AJ50,"Sim","Não"),IF(AK50&lt;=AJ50,"Sim","Não")))</f>
        <v>Não</v>
      </c>
      <c r="AN50" s="3" t="n">
        <v>0.9</v>
      </c>
      <c r="AO50" s="3" t="n">
        <v>0.64</v>
      </c>
      <c r="AP50" s="4" t="n">
        <f aca="false">IF(OR(AN50="",AO50=""),"",IFERROR(IF($K50="%",AO50-AN50,AO50/AN50-1),""))</f>
        <v>-0.26</v>
      </c>
      <c r="AQ50" s="5" t="str">
        <f aca="false">IF(OR(AN50="",AO50=""),"",IF($F50="Maior Melhor",IF(AO50&gt;=AN50,"Sim","Não"),IF(AO50&lt;=AN50,"Sim","Não")))</f>
        <v>Não</v>
      </c>
      <c r="AR50" s="3" t="n">
        <v>0.9</v>
      </c>
      <c r="AS50" s="3" t="n">
        <v>0.79</v>
      </c>
      <c r="AT50" s="4" t="n">
        <f aca="false">IF(OR(AR50="",AS50=""),"",IFERROR(IF($K50="%",AS50-AR50,AS50/AR50-1),""))</f>
        <v>-0.11</v>
      </c>
      <c r="AU50" s="5" t="str">
        <f aca="false">IF(OR(AR50="",AS50=""),"",IF($F50="Maior Melhor",IF(AS50&gt;=AR50,"Sim","Não"),IF(AS50&lt;=AR50,"Sim","Não")))</f>
        <v>Não</v>
      </c>
      <c r="AV50" s="3" t="n">
        <v>0.9</v>
      </c>
      <c r="AW50" s="3" t="n">
        <v>0.92</v>
      </c>
      <c r="AX50" s="4" t="n">
        <f aca="false">IF(OR(AV50="",AW50=""),"",IFERROR(IF($K50="%",AW50-AV50,AW50/AV50-1),""))</f>
        <v>0.02</v>
      </c>
      <c r="AY50" s="5" t="str">
        <f aca="false">IF(OR(AV50="",AW50=""),"",IF($F50="Maior Melhor",IF(AW50&gt;=AV50,"Sim","Não"),IF(AW50&lt;=AV50,"Sim","Não")))</f>
        <v>Sim</v>
      </c>
      <c r="AZ50" s="3" t="n">
        <v>0.9</v>
      </c>
      <c r="BA50" s="3" t="n">
        <v>0.85</v>
      </c>
      <c r="BB50" s="4" t="n">
        <f aca="false">IF(OR(AZ50="",BA50=""),"",IFERROR(IF($K50="%",BA50-AZ50,BA50/AZ50-1),""))</f>
        <v>-0.05</v>
      </c>
      <c r="BC50" s="5" t="str">
        <f aca="false">IF(OR(AZ50="",BA50=""),"",IF($F50="Maior Melhor",IF(BA50&gt;=AZ50,"Sim","Não"),IF(BA50&lt;=AZ50,"Sim","Não")))</f>
        <v>Não</v>
      </c>
      <c r="BD50" s="3" t="n">
        <v>0.9</v>
      </c>
      <c r="BE50" s="3" t="n">
        <v>1.01</v>
      </c>
      <c r="BF50" s="4" t="n">
        <f aca="false">IF(OR(BD50="",BE50=""),"",IFERROR(IF($K50="%",BE50-BD50,BE50/BD50-1),""))</f>
        <v>0.11</v>
      </c>
      <c r="BG50" s="5" t="str">
        <f aca="false">IF(OR(BD50="",BE50=""),"",IF($F50="Maior Melhor",IF(BE50&gt;=BD50,"Sim","Não"),IF(BE50&lt;=BD50,"Sim","Não")))</f>
        <v>Sim</v>
      </c>
      <c r="BH50" s="3" t="n">
        <v>0.9</v>
      </c>
      <c r="BI50" s="3" t="n">
        <v>0.88</v>
      </c>
      <c r="BJ50" s="4" t="n">
        <f aca="false">IF(OR(BH50="",BI50=""),"",IFERROR(IF($K50="%",BI50-BH50,BI50/BH50-1),""))</f>
        <v>-0.02</v>
      </c>
      <c r="BK50" s="5" t="str">
        <f aca="false">IF(OR(BH50="",BI50=""),"",IF($F50="Maior Melhor",IF(BI50&gt;=BH50,"Sim","Não"),IF(BI50&lt;=BH50,"Sim","Não")))</f>
        <v>Não</v>
      </c>
      <c r="BL50" s="6"/>
      <c r="BM50" s="6"/>
      <c r="BN50" s="4" t="str">
        <f aca="false">IF(OR(BL50="",BM50=""),"",IFERROR(IF($K50="%",BM50-BL50,BM50/BL50-1),""))</f>
        <v/>
      </c>
      <c r="BO50" s="5" t="str">
        <f aca="false">IF(OR(BL50="",BM50=""),"",IF($F50="Maior Melhor",IF(BM50&gt;=BL50,"Sim","Não"),IF(BM50&lt;=BL50,"Sim","Não")))</f>
        <v/>
      </c>
      <c r="BP50" s="6"/>
      <c r="BQ50" s="6"/>
      <c r="BR50" s="4" t="str">
        <f aca="false">IF(OR(BP50="",BQ50=""),"",IFERROR(IF($K50="%",BQ50-BP50,BQ50/BP50-1),""))</f>
        <v/>
      </c>
      <c r="BS50" s="5" t="str">
        <f aca="false">IF(OR(BP50="",BQ50=""),"",IF($F50="Maior Melhor",IF(BQ50&gt;=BP50,"Sim","Não"),IF(BQ50&lt;=BP50,"Sim","Não")))</f>
        <v/>
      </c>
      <c r="BT50" s="6"/>
      <c r="BU50" s="6"/>
      <c r="BV50" s="4" t="str">
        <f aca="false">IF(OR(BT50="",BU50=""),"",IFERROR(IF($K50="%",BU50-BT50,BU50/BT50-1),""))</f>
        <v/>
      </c>
      <c r="BW50" s="5" t="str">
        <f aca="false">IF(OR(BT50="",BU50=""),"",IF($F50="Maior Melhor",IF(BU50&gt;=BT50,"Sim","Não"),IF(BU50&lt;=BT50,"Sim","Não")))</f>
        <v/>
      </c>
      <c r="BX50" s="6"/>
      <c r="BY50" s="6"/>
      <c r="BZ50" s="4" t="str">
        <f aca="false">IF(OR(BX50="",BY50=""),"",IFERROR(IF($K50="%",BY50-BX50,BY50/BX50-1),""))</f>
        <v/>
      </c>
      <c r="CA50" s="5" t="str">
        <f aca="false">IF(OR(BX50="",BY50=""),"",IF($F50="Maior Melhor",IF(BY50&gt;=BX50,"Sim","Não"),IF(BY50&lt;=BX50,"Sim","Não")))</f>
        <v/>
      </c>
      <c r="CB50" s="6"/>
      <c r="CC50" s="6"/>
      <c r="CD50" s="4" t="str">
        <f aca="false">IF(OR(CB50="",CC50=""),"",IFERROR(IF($K50="%",CC50-CB50,CC50/CB50-1),""))</f>
        <v/>
      </c>
      <c r="CE50" s="5" t="str">
        <f aca="false">IF(OR(CB50="",CC50=""),"",IF($F50="Maior Melhor",IF(CC50&gt;=CB50,"Sim","Não"),IF(CC50&lt;=CB50,"Sim","Não")))</f>
        <v/>
      </c>
      <c r="CF50" s="6"/>
      <c r="CG50" s="6"/>
      <c r="CH50" s="4" t="str">
        <f aca="false">IF(OR(CF50="",CG50=""),"",IFERROR(IF($K50="%",CG50-CF50,CG50/CF50-1),""))</f>
        <v/>
      </c>
      <c r="CI50" s="5" t="str">
        <f aca="false">IF(OR(CF50="",CG50=""),"",IF($F50="Maior Melhor",IF(CG50&gt;=CF50,"Sim","Não"),IF(CG50&lt;=CF50,"Sim","Não")))</f>
        <v/>
      </c>
      <c r="CJ50" s="6"/>
      <c r="CK50" s="6"/>
      <c r="CL50" s="4" t="str">
        <f aca="false">IF(OR(CJ50="",CK50=""),"",IFERROR(IF($K50="%",CK50-CJ50,CK50/CJ50-1),""))</f>
        <v/>
      </c>
      <c r="CM50" s="5" t="str">
        <f aca="false">IF(OR(CJ50="",CK50=""),"",IF($F50="Maior Melhor",IF(CK50&gt;=CJ50,"Sim","Não"),IF(CK50&lt;=CJ50,"Sim","Não")))</f>
        <v/>
      </c>
      <c r="CN50" s="6"/>
      <c r="CO50" s="6"/>
      <c r="CP50" s="4" t="str">
        <f aca="false">IF(OR(CN50="",CO50=""),"",IFERROR(IF($K50="%",CO50-CN50,CO50/CN50-1),""))</f>
        <v/>
      </c>
      <c r="CQ50" s="5" t="str">
        <f aca="false">IF(OR(CN50="",CO50=""),"",IF($F50="Maior Melhor",IF(CO50&gt;=CN50,"Sim","Não"),IF(CO50&lt;=CN50,"Sim","Não")))</f>
        <v/>
      </c>
      <c r="CR50" s="2" t="s">
        <v>105</v>
      </c>
    </row>
    <row r="51" customFormat="false" ht="15" hidden="false" customHeight="false" outlineLevel="0" collapsed="false">
      <c r="A51" s="2" t="s">
        <v>96</v>
      </c>
      <c r="B51" s="2" t="s">
        <v>97</v>
      </c>
      <c r="C51" s="2" t="s">
        <v>126</v>
      </c>
      <c r="D51" s="2" t="s">
        <v>136</v>
      </c>
      <c r="E51" s="2" t="str">
        <f aca="false">C51&amp;D51</f>
        <v>UTD LIVRAMENTO DE NOSSA SENHORAAvanço físico da carteira de manutenção</v>
      </c>
      <c r="F51" s="2" t="s">
        <v>100</v>
      </c>
      <c r="G51" s="2" t="s">
        <v>137</v>
      </c>
      <c r="H51" s="2" t="s">
        <v>102</v>
      </c>
      <c r="I51" s="2" t="s">
        <v>103</v>
      </c>
      <c r="J51" s="2" t="n">
        <v>2</v>
      </c>
      <c r="K51" s="2" t="s">
        <v>104</v>
      </c>
      <c r="L51" s="3" t="n">
        <v>0.9</v>
      </c>
      <c r="M51" s="3" t="n">
        <v>0.6948</v>
      </c>
      <c r="N51" s="4" t="n">
        <f aca="false">IF(OR(L51="",M51=""),"",IFERROR(IF($K51="%",M51-L51,M51/L51-1),""))</f>
        <v>-0.2052</v>
      </c>
      <c r="O51" s="5" t="str">
        <f aca="false">IF(OR(L51="",M51=""),"",IF($F51="Maior Melhor",IF(M51&gt;=L51,"Sim","Não"),IF(M51&lt;=L51,"Sim","Não")))</f>
        <v>Não</v>
      </c>
      <c r="P51" s="3" t="n">
        <v>0.9</v>
      </c>
      <c r="Q51" s="3" t="n">
        <v>0.6776</v>
      </c>
      <c r="R51" s="4" t="n">
        <f aca="false">IF(OR(P51="",Q51=""),"",IFERROR(IF($K51="%",Q51-P51,Q51/P51-1),""))</f>
        <v>-0.2224</v>
      </c>
      <c r="S51" s="5" t="str">
        <f aca="false">IF(OR(P51="",Q51=""),"",IF($F51="Maior Melhor",IF(Q51&gt;=P51,"Sim","Não"),IF(Q51&lt;=P51,"Sim","Não")))</f>
        <v>Não</v>
      </c>
      <c r="T51" s="3" t="n">
        <v>0.9</v>
      </c>
      <c r="U51" s="3" t="n">
        <v>1.0838</v>
      </c>
      <c r="V51" s="4" t="n">
        <f aca="false">IF(OR(T51="",U51=""),"",IFERROR(IF($K51="%",U51-T51,U51/T51-1),""))</f>
        <v>0.1838</v>
      </c>
      <c r="W51" s="5" t="str">
        <f aca="false">IF(OR(T51="",U51=""),"",IF($F51="Maior Melhor",IF(U51&gt;=T51,"Sim","Não"),IF(U51&lt;=T51,"Sim","Não")))</f>
        <v>Sim</v>
      </c>
      <c r="X51" s="3" t="n">
        <v>0.9</v>
      </c>
      <c r="Y51" s="3" t="n">
        <v>1.1</v>
      </c>
      <c r="Z51" s="4" t="n">
        <f aca="false">IF(OR(X51="",Y51=""),"",IFERROR(IF($K51="%",Y51-X51,Y51/X51-1),""))</f>
        <v>0.2</v>
      </c>
      <c r="AA51" s="5" t="str">
        <f aca="false">IF(OR(X51="",Y51=""),"",IF($F51="Maior Melhor",IF(Y51&gt;=X51,"Sim","Não"),IF(Y51&lt;=X51,"Sim","Não")))</f>
        <v>Sim</v>
      </c>
      <c r="AB51" s="3" t="n">
        <v>0.9</v>
      </c>
      <c r="AC51" s="3" t="n">
        <v>0.91</v>
      </c>
      <c r="AD51" s="4" t="n">
        <f aca="false">IF(OR(AB51="",AC51=""),"",IFERROR(IF($K51="%",AC51-AB51,AC51/AB51-1),""))</f>
        <v>0.01</v>
      </c>
      <c r="AE51" s="5" t="str">
        <f aca="false">IF(OR(AB51="",AC51=""),"",IF($F51="Maior Melhor",IF(AC51&gt;=AB51,"Sim","Não"),IF(AC51&lt;=AB51,"Sim","Não")))</f>
        <v>Sim</v>
      </c>
      <c r="AF51" s="3" t="n">
        <v>0.9</v>
      </c>
      <c r="AG51" s="3" t="n">
        <v>0.94</v>
      </c>
      <c r="AH51" s="4" t="n">
        <f aca="false">IF(OR(AF51="",AG51=""),"",IFERROR(IF($K51="%",AG51-AF51,AG51/AF51-1),""))</f>
        <v>0.0399999999999999</v>
      </c>
      <c r="AI51" s="5" t="str">
        <f aca="false">IF(OR(AF51="",AG51=""),"",IF($F51="Maior Melhor",IF(AG51&gt;=AF51,"Sim","Não"),IF(AG51&lt;=AF51,"Sim","Não")))</f>
        <v>Sim</v>
      </c>
      <c r="AJ51" s="3" t="n">
        <v>0.9</v>
      </c>
      <c r="AK51" s="3" t="n">
        <v>0.95</v>
      </c>
      <c r="AL51" s="4" t="n">
        <f aca="false">IF(OR(AJ51="",AK51=""),"",IFERROR(IF($K51="%",AK51-AJ51,AK51/AJ51-1),""))</f>
        <v>0.0499999999999999</v>
      </c>
      <c r="AM51" s="5" t="str">
        <f aca="false">IF(OR(AJ51="",AK51=""),"",IF($F51="Maior Melhor",IF(AK51&gt;=AJ51,"Sim","Não"),IF(AK51&lt;=AJ51,"Sim","Não")))</f>
        <v>Sim</v>
      </c>
      <c r="AN51" s="3" t="n">
        <v>0.9</v>
      </c>
      <c r="AO51" s="3" t="n">
        <v>1.1</v>
      </c>
      <c r="AP51" s="4" t="n">
        <f aca="false">IF(OR(AN51="",AO51=""),"",IFERROR(IF($K51="%",AO51-AN51,AO51/AN51-1),""))</f>
        <v>0.2</v>
      </c>
      <c r="AQ51" s="5" t="str">
        <f aca="false">IF(OR(AN51="",AO51=""),"",IF($F51="Maior Melhor",IF(AO51&gt;=AN51,"Sim","Não"),IF(AO51&lt;=AN51,"Sim","Não")))</f>
        <v>Sim</v>
      </c>
      <c r="AR51" s="3" t="n">
        <v>0.9</v>
      </c>
      <c r="AS51" s="3" t="n">
        <v>0.98</v>
      </c>
      <c r="AT51" s="4" t="n">
        <f aca="false">IF(OR(AR51="",AS51=""),"",IFERROR(IF($K51="%",AS51-AR51,AS51/AR51-1),""))</f>
        <v>0.08</v>
      </c>
      <c r="AU51" s="5" t="str">
        <f aca="false">IF(OR(AR51="",AS51=""),"",IF($F51="Maior Melhor",IF(AS51&gt;=AR51,"Sim","Não"),IF(AS51&lt;=AR51,"Sim","Não")))</f>
        <v>Sim</v>
      </c>
      <c r="AV51" s="3" t="n">
        <v>0.9</v>
      </c>
      <c r="AW51" s="3" t="n">
        <v>0.9</v>
      </c>
      <c r="AX51" s="4" t="n">
        <f aca="false">IF(OR(AV51="",AW51=""),"",IFERROR(IF($K51="%",AW51-AV51,AW51/AV51-1),""))</f>
        <v>0</v>
      </c>
      <c r="AY51" s="5" t="str">
        <f aca="false">IF(OR(AV51="",AW51=""),"",IF($F51="Maior Melhor",IF(AW51&gt;=AV51,"Sim","Não"),IF(AW51&lt;=AV51,"Sim","Não")))</f>
        <v>Sim</v>
      </c>
      <c r="AZ51" s="3" t="n">
        <v>0.9</v>
      </c>
      <c r="BA51" s="3" t="n">
        <v>1.04</v>
      </c>
      <c r="BB51" s="4" t="n">
        <f aca="false">IF(OR(AZ51="",BA51=""),"",IFERROR(IF($K51="%",BA51-AZ51,BA51/AZ51-1),""))</f>
        <v>0.14</v>
      </c>
      <c r="BC51" s="5" t="str">
        <f aca="false">IF(OR(AZ51="",BA51=""),"",IF($F51="Maior Melhor",IF(BA51&gt;=AZ51,"Sim","Não"),IF(BA51&lt;=AZ51,"Sim","Não")))</f>
        <v>Sim</v>
      </c>
      <c r="BD51" s="3" t="n">
        <v>0.9</v>
      </c>
      <c r="BE51" s="3" t="n">
        <v>0.71</v>
      </c>
      <c r="BF51" s="4" t="n">
        <f aca="false">IF(OR(BD51="",BE51=""),"",IFERROR(IF($K51="%",BE51-BD51,BE51/BD51-1),""))</f>
        <v>-0.19</v>
      </c>
      <c r="BG51" s="5" t="str">
        <f aca="false">IF(OR(BD51="",BE51=""),"",IF($F51="Maior Melhor",IF(BE51&gt;=BD51,"Sim","Não"),IF(BE51&lt;=BD51,"Sim","Não")))</f>
        <v>Não</v>
      </c>
      <c r="BH51" s="3" t="n">
        <v>0.9</v>
      </c>
      <c r="BI51" s="3" t="n">
        <v>1.09</v>
      </c>
      <c r="BJ51" s="4" t="n">
        <f aca="false">IF(OR(BH51="",BI51=""),"",IFERROR(IF($K51="%",BI51-BH51,BI51/BH51-1),""))</f>
        <v>0.19</v>
      </c>
      <c r="BK51" s="5" t="str">
        <f aca="false">IF(OR(BH51="",BI51=""),"",IF($F51="Maior Melhor",IF(BI51&gt;=BH51,"Sim","Não"),IF(BI51&lt;=BH51,"Sim","Não")))</f>
        <v>Sim</v>
      </c>
      <c r="BL51" s="6"/>
      <c r="BM51" s="6"/>
      <c r="BN51" s="4" t="str">
        <f aca="false">IF(OR(BL51="",BM51=""),"",IFERROR(IF($K51="%",BM51-BL51,BM51/BL51-1),""))</f>
        <v/>
      </c>
      <c r="BO51" s="5" t="str">
        <f aca="false">IF(OR(BL51="",BM51=""),"",IF($F51="Maior Melhor",IF(BM51&gt;=BL51,"Sim","Não"),IF(BM51&lt;=BL51,"Sim","Não")))</f>
        <v/>
      </c>
      <c r="BP51" s="6"/>
      <c r="BQ51" s="6"/>
      <c r="BR51" s="4" t="str">
        <f aca="false">IF(OR(BP51="",BQ51=""),"",IFERROR(IF($K51="%",BQ51-BP51,BQ51/BP51-1),""))</f>
        <v/>
      </c>
      <c r="BS51" s="5" t="str">
        <f aca="false">IF(OR(BP51="",BQ51=""),"",IF($F51="Maior Melhor",IF(BQ51&gt;=BP51,"Sim","Não"),IF(BQ51&lt;=BP51,"Sim","Não")))</f>
        <v/>
      </c>
      <c r="BT51" s="6"/>
      <c r="BU51" s="6"/>
      <c r="BV51" s="4" t="str">
        <f aca="false">IF(OR(BT51="",BU51=""),"",IFERROR(IF($K51="%",BU51-BT51,BU51/BT51-1),""))</f>
        <v/>
      </c>
      <c r="BW51" s="5" t="str">
        <f aca="false">IF(OR(BT51="",BU51=""),"",IF($F51="Maior Melhor",IF(BU51&gt;=BT51,"Sim","Não"),IF(BU51&lt;=BT51,"Sim","Não")))</f>
        <v/>
      </c>
      <c r="BX51" s="6"/>
      <c r="BY51" s="6"/>
      <c r="BZ51" s="4" t="str">
        <f aca="false">IF(OR(BX51="",BY51=""),"",IFERROR(IF($K51="%",BY51-BX51,BY51/BX51-1),""))</f>
        <v/>
      </c>
      <c r="CA51" s="5" t="str">
        <f aca="false">IF(OR(BX51="",BY51=""),"",IF($F51="Maior Melhor",IF(BY51&gt;=BX51,"Sim","Não"),IF(BY51&lt;=BX51,"Sim","Não")))</f>
        <v/>
      </c>
      <c r="CB51" s="6"/>
      <c r="CC51" s="6"/>
      <c r="CD51" s="4" t="str">
        <f aca="false">IF(OR(CB51="",CC51=""),"",IFERROR(IF($K51="%",CC51-CB51,CC51/CB51-1),""))</f>
        <v/>
      </c>
      <c r="CE51" s="5" t="str">
        <f aca="false">IF(OR(CB51="",CC51=""),"",IF($F51="Maior Melhor",IF(CC51&gt;=CB51,"Sim","Não"),IF(CC51&lt;=CB51,"Sim","Não")))</f>
        <v/>
      </c>
      <c r="CF51" s="6"/>
      <c r="CG51" s="6"/>
      <c r="CH51" s="4" t="str">
        <f aca="false">IF(OR(CF51="",CG51=""),"",IFERROR(IF($K51="%",CG51-CF51,CG51/CF51-1),""))</f>
        <v/>
      </c>
      <c r="CI51" s="5" t="str">
        <f aca="false">IF(OR(CF51="",CG51=""),"",IF($F51="Maior Melhor",IF(CG51&gt;=CF51,"Sim","Não"),IF(CG51&lt;=CF51,"Sim","Não")))</f>
        <v/>
      </c>
      <c r="CJ51" s="6"/>
      <c r="CK51" s="6"/>
      <c r="CL51" s="4" t="str">
        <f aca="false">IF(OR(CJ51="",CK51=""),"",IFERROR(IF($K51="%",CK51-CJ51,CK51/CJ51-1),""))</f>
        <v/>
      </c>
      <c r="CM51" s="5" t="str">
        <f aca="false">IF(OR(CJ51="",CK51=""),"",IF($F51="Maior Melhor",IF(CK51&gt;=CJ51,"Sim","Não"),IF(CK51&lt;=CJ51,"Sim","Não")))</f>
        <v/>
      </c>
      <c r="CN51" s="6"/>
      <c r="CO51" s="6"/>
      <c r="CP51" s="4" t="str">
        <f aca="false">IF(OR(CN51="",CO51=""),"",IFERROR(IF($K51="%",CO51-CN51,CO51/CN51-1),""))</f>
        <v/>
      </c>
      <c r="CQ51" s="5" t="str">
        <f aca="false">IF(OR(CN51="",CO51=""),"",IF($F51="Maior Melhor",IF(CO51&gt;=CN51,"Sim","Não"),IF(CO51&lt;=CN51,"Sim","Não")))</f>
        <v/>
      </c>
      <c r="CR51" s="2" t="s">
        <v>105</v>
      </c>
    </row>
    <row r="52" customFormat="false" ht="15" hidden="false" customHeight="false" outlineLevel="0" collapsed="false">
      <c r="A52" s="2" t="s">
        <v>96</v>
      </c>
      <c r="B52" s="2" t="s">
        <v>106</v>
      </c>
      <c r="C52" s="2" t="s">
        <v>127</v>
      </c>
      <c r="D52" s="2" t="s">
        <v>136</v>
      </c>
      <c r="E52" s="2" t="str">
        <f aca="false">C52&amp;D52</f>
        <v>UTD LUIS EDUARDO MAGALHAESAvanço físico da carteira de manutenção</v>
      </c>
      <c r="F52" s="2" t="s">
        <v>100</v>
      </c>
      <c r="G52" s="2" t="s">
        <v>137</v>
      </c>
      <c r="H52" s="2" t="s">
        <v>102</v>
      </c>
      <c r="I52" s="2" t="s">
        <v>103</v>
      </c>
      <c r="J52" s="2" t="n">
        <v>2</v>
      </c>
      <c r="K52" s="2" t="s">
        <v>104</v>
      </c>
      <c r="L52" s="3" t="n">
        <v>0.9</v>
      </c>
      <c r="M52" s="3" t="n">
        <v>2.0597</v>
      </c>
      <c r="N52" s="4" t="n">
        <f aca="false">IF(OR(L52="",M52=""),"",IFERROR(IF($K52="%",M52-L52,M52/L52-1),""))</f>
        <v>1.1597</v>
      </c>
      <c r="O52" s="5" t="str">
        <f aca="false">IF(OR(L52="",M52=""),"",IF($F52="Maior Melhor",IF(M52&gt;=L52,"Sim","Não"),IF(M52&lt;=L52,"Sim","Não")))</f>
        <v>Sim</v>
      </c>
      <c r="P52" s="3" t="n">
        <v>0.9</v>
      </c>
      <c r="Q52" s="3" t="n">
        <v>0.9488</v>
      </c>
      <c r="R52" s="4" t="n">
        <f aca="false">IF(OR(P52="",Q52=""),"",IFERROR(IF($K52="%",Q52-P52,Q52/P52-1),""))</f>
        <v>0.0488</v>
      </c>
      <c r="S52" s="5" t="str">
        <f aca="false">IF(OR(P52="",Q52=""),"",IF($F52="Maior Melhor",IF(Q52&gt;=P52,"Sim","Não"),IF(Q52&lt;=P52,"Sim","Não")))</f>
        <v>Sim</v>
      </c>
      <c r="T52" s="3" t="n">
        <v>0.9</v>
      </c>
      <c r="U52" s="3" t="n">
        <v>1.1</v>
      </c>
      <c r="V52" s="4" t="n">
        <f aca="false">IF(OR(T52="",U52=""),"",IFERROR(IF($K52="%",U52-T52,U52/T52-1),""))</f>
        <v>0.2</v>
      </c>
      <c r="W52" s="5" t="str">
        <f aca="false">IF(OR(T52="",U52=""),"",IF($F52="Maior Melhor",IF(U52&gt;=T52,"Sim","Não"),IF(U52&lt;=T52,"Sim","Não")))</f>
        <v>Sim</v>
      </c>
      <c r="X52" s="3" t="n">
        <v>0.9</v>
      </c>
      <c r="Y52" s="3" t="n">
        <v>1.1</v>
      </c>
      <c r="Z52" s="4" t="n">
        <f aca="false">IF(OR(X52="",Y52=""),"",IFERROR(IF($K52="%",Y52-X52,Y52/X52-1),""))</f>
        <v>0.2</v>
      </c>
      <c r="AA52" s="5" t="str">
        <f aca="false">IF(OR(X52="",Y52=""),"",IF($F52="Maior Melhor",IF(Y52&gt;=X52,"Sim","Não"),IF(Y52&lt;=X52,"Sim","Não")))</f>
        <v>Sim</v>
      </c>
      <c r="AB52" s="3" t="n">
        <v>0.9</v>
      </c>
      <c r="AC52" s="3" t="n">
        <v>1.1</v>
      </c>
      <c r="AD52" s="4" t="n">
        <f aca="false">IF(OR(AB52="",AC52=""),"",IFERROR(IF($K52="%",AC52-AB52,AC52/AB52-1),""))</f>
        <v>0.2</v>
      </c>
      <c r="AE52" s="5" t="str">
        <f aca="false">IF(OR(AB52="",AC52=""),"",IF($F52="Maior Melhor",IF(AC52&gt;=AB52,"Sim","Não"),IF(AC52&lt;=AB52,"Sim","Não")))</f>
        <v>Sim</v>
      </c>
      <c r="AF52" s="3" t="n">
        <v>0.9</v>
      </c>
      <c r="AG52" s="3" t="n">
        <v>0.82</v>
      </c>
      <c r="AH52" s="4" t="n">
        <f aca="false">IF(OR(AF52="",AG52=""),"",IFERROR(IF($K52="%",AG52-AF52,AG52/AF52-1),""))</f>
        <v>-0.0800000000000001</v>
      </c>
      <c r="AI52" s="5" t="str">
        <f aca="false">IF(OR(AF52="",AG52=""),"",IF($F52="Maior Melhor",IF(AG52&gt;=AF52,"Sim","Não"),IF(AG52&lt;=AF52,"Sim","Não")))</f>
        <v>Não</v>
      </c>
      <c r="AJ52" s="3" t="n">
        <v>0.9</v>
      </c>
      <c r="AK52" s="3" t="n">
        <v>1.1</v>
      </c>
      <c r="AL52" s="4" t="n">
        <f aca="false">IF(OR(AJ52="",AK52=""),"",IFERROR(IF($K52="%",AK52-AJ52,AK52/AJ52-1),""))</f>
        <v>0.2</v>
      </c>
      <c r="AM52" s="5" t="str">
        <f aca="false">IF(OR(AJ52="",AK52=""),"",IF($F52="Maior Melhor",IF(AK52&gt;=AJ52,"Sim","Não"),IF(AK52&lt;=AJ52,"Sim","Não")))</f>
        <v>Sim</v>
      </c>
      <c r="AN52" s="3" t="n">
        <v>0.9</v>
      </c>
      <c r="AO52" s="3" t="n">
        <v>1.08</v>
      </c>
      <c r="AP52" s="4" t="n">
        <f aca="false">IF(OR(AN52="",AO52=""),"",IFERROR(IF($K52="%",AO52-AN52,AO52/AN52-1),""))</f>
        <v>0.18</v>
      </c>
      <c r="AQ52" s="5" t="str">
        <f aca="false">IF(OR(AN52="",AO52=""),"",IF($F52="Maior Melhor",IF(AO52&gt;=AN52,"Sim","Não"),IF(AO52&lt;=AN52,"Sim","Não")))</f>
        <v>Sim</v>
      </c>
      <c r="AR52" s="3" t="n">
        <v>0.9</v>
      </c>
      <c r="AS52" s="3" t="n">
        <v>1.1</v>
      </c>
      <c r="AT52" s="4" t="n">
        <f aca="false">IF(OR(AR52="",AS52=""),"",IFERROR(IF($K52="%",AS52-AR52,AS52/AR52-1),""))</f>
        <v>0.2</v>
      </c>
      <c r="AU52" s="5" t="str">
        <f aca="false">IF(OR(AR52="",AS52=""),"",IF($F52="Maior Melhor",IF(AS52&gt;=AR52,"Sim","Não"),IF(AS52&lt;=AR52,"Sim","Não")))</f>
        <v>Sim</v>
      </c>
      <c r="AV52" s="3" t="n">
        <v>0.9</v>
      </c>
      <c r="AW52" s="3" t="n">
        <v>0.73</v>
      </c>
      <c r="AX52" s="4" t="n">
        <f aca="false">IF(OR(AV52="",AW52=""),"",IFERROR(IF($K52="%",AW52-AV52,AW52/AV52-1),""))</f>
        <v>-0.17</v>
      </c>
      <c r="AY52" s="5" t="str">
        <f aca="false">IF(OR(AV52="",AW52=""),"",IF($F52="Maior Melhor",IF(AW52&gt;=AV52,"Sim","Não"),IF(AW52&lt;=AV52,"Sim","Não")))</f>
        <v>Não</v>
      </c>
      <c r="AZ52" s="3" t="n">
        <v>0.9</v>
      </c>
      <c r="BA52" s="3" t="n">
        <v>1.1</v>
      </c>
      <c r="BB52" s="4" t="n">
        <f aca="false">IF(OR(AZ52="",BA52=""),"",IFERROR(IF($K52="%",BA52-AZ52,BA52/AZ52-1),""))</f>
        <v>0.2</v>
      </c>
      <c r="BC52" s="5" t="str">
        <f aca="false">IF(OR(AZ52="",BA52=""),"",IF($F52="Maior Melhor",IF(BA52&gt;=AZ52,"Sim","Não"),IF(BA52&lt;=AZ52,"Sim","Não")))</f>
        <v>Sim</v>
      </c>
      <c r="BD52" s="3" t="n">
        <v>0.9</v>
      </c>
      <c r="BE52" s="3" t="n">
        <v>0.97</v>
      </c>
      <c r="BF52" s="4" t="n">
        <f aca="false">IF(OR(BD52="",BE52=""),"",IFERROR(IF($K52="%",BE52-BD52,BE52/BD52-1),""))</f>
        <v>0.07</v>
      </c>
      <c r="BG52" s="5" t="str">
        <f aca="false">IF(OR(BD52="",BE52=""),"",IF($F52="Maior Melhor",IF(BE52&gt;=BD52,"Sim","Não"),IF(BE52&lt;=BD52,"Sim","Não")))</f>
        <v>Sim</v>
      </c>
      <c r="BH52" s="3" t="n">
        <v>0.9</v>
      </c>
      <c r="BI52" s="3" t="n">
        <v>1.1</v>
      </c>
      <c r="BJ52" s="4" t="n">
        <f aca="false">IF(OR(BH52="",BI52=""),"",IFERROR(IF($K52="%",BI52-BH52,BI52/BH52-1),""))</f>
        <v>0.2</v>
      </c>
      <c r="BK52" s="5" t="str">
        <f aca="false">IF(OR(BH52="",BI52=""),"",IF($F52="Maior Melhor",IF(BI52&gt;=BH52,"Sim","Não"),IF(BI52&lt;=BH52,"Sim","Não")))</f>
        <v>Sim</v>
      </c>
      <c r="BL52" s="6"/>
      <c r="BM52" s="6"/>
      <c r="BN52" s="4" t="str">
        <f aca="false">IF(OR(BL52="",BM52=""),"",IFERROR(IF($K52="%",BM52-BL52,BM52/BL52-1),""))</f>
        <v/>
      </c>
      <c r="BO52" s="5" t="str">
        <f aca="false">IF(OR(BL52="",BM52=""),"",IF($F52="Maior Melhor",IF(BM52&gt;=BL52,"Sim","Não"),IF(BM52&lt;=BL52,"Sim","Não")))</f>
        <v/>
      </c>
      <c r="BP52" s="6"/>
      <c r="BQ52" s="6"/>
      <c r="BR52" s="4" t="str">
        <f aca="false">IF(OR(BP52="",BQ52=""),"",IFERROR(IF($K52="%",BQ52-BP52,BQ52/BP52-1),""))</f>
        <v/>
      </c>
      <c r="BS52" s="5" t="str">
        <f aca="false">IF(OR(BP52="",BQ52=""),"",IF($F52="Maior Melhor",IF(BQ52&gt;=BP52,"Sim","Não"),IF(BQ52&lt;=BP52,"Sim","Não")))</f>
        <v/>
      </c>
      <c r="BT52" s="6"/>
      <c r="BU52" s="6"/>
      <c r="BV52" s="4" t="str">
        <f aca="false">IF(OR(BT52="",BU52=""),"",IFERROR(IF($K52="%",BU52-BT52,BU52/BT52-1),""))</f>
        <v/>
      </c>
      <c r="BW52" s="5" t="str">
        <f aca="false">IF(OR(BT52="",BU52=""),"",IF($F52="Maior Melhor",IF(BU52&gt;=BT52,"Sim","Não"),IF(BU52&lt;=BT52,"Sim","Não")))</f>
        <v/>
      </c>
      <c r="BX52" s="6"/>
      <c r="BY52" s="6"/>
      <c r="BZ52" s="4" t="str">
        <f aca="false">IF(OR(BX52="",BY52=""),"",IFERROR(IF($K52="%",BY52-BX52,BY52/BX52-1),""))</f>
        <v/>
      </c>
      <c r="CA52" s="5" t="str">
        <f aca="false">IF(OR(BX52="",BY52=""),"",IF($F52="Maior Melhor",IF(BY52&gt;=BX52,"Sim","Não"),IF(BY52&lt;=BX52,"Sim","Não")))</f>
        <v/>
      </c>
      <c r="CB52" s="6"/>
      <c r="CC52" s="6"/>
      <c r="CD52" s="4" t="str">
        <f aca="false">IF(OR(CB52="",CC52=""),"",IFERROR(IF($K52="%",CC52-CB52,CC52/CB52-1),""))</f>
        <v/>
      </c>
      <c r="CE52" s="5" t="str">
        <f aca="false">IF(OR(CB52="",CC52=""),"",IF($F52="Maior Melhor",IF(CC52&gt;=CB52,"Sim","Não"),IF(CC52&lt;=CB52,"Sim","Não")))</f>
        <v/>
      </c>
      <c r="CF52" s="6"/>
      <c r="CG52" s="6"/>
      <c r="CH52" s="4" t="str">
        <f aca="false">IF(OR(CF52="",CG52=""),"",IFERROR(IF($K52="%",CG52-CF52,CG52/CF52-1),""))</f>
        <v/>
      </c>
      <c r="CI52" s="5" t="str">
        <f aca="false">IF(OR(CF52="",CG52=""),"",IF($F52="Maior Melhor",IF(CG52&gt;=CF52,"Sim","Não"),IF(CG52&lt;=CF52,"Sim","Não")))</f>
        <v/>
      </c>
      <c r="CJ52" s="6"/>
      <c r="CK52" s="6"/>
      <c r="CL52" s="4" t="str">
        <f aca="false">IF(OR(CJ52="",CK52=""),"",IFERROR(IF($K52="%",CK52-CJ52,CK52/CJ52-1),""))</f>
        <v/>
      </c>
      <c r="CM52" s="5" t="str">
        <f aca="false">IF(OR(CJ52="",CK52=""),"",IF($F52="Maior Melhor",IF(CK52&gt;=CJ52,"Sim","Não"),IF(CK52&lt;=CJ52,"Sim","Não")))</f>
        <v/>
      </c>
      <c r="CN52" s="6"/>
      <c r="CO52" s="6"/>
      <c r="CP52" s="4" t="str">
        <f aca="false">IF(OR(CN52="",CO52=""),"",IFERROR(IF($K52="%",CO52-CN52,CO52/CN52-1),""))</f>
        <v/>
      </c>
      <c r="CQ52" s="5" t="str">
        <f aca="false">IF(OR(CN52="",CO52=""),"",IF($F52="Maior Melhor",IF(CO52&gt;=CN52,"Sim","Não"),IF(CO52&lt;=CN52,"Sim","Não")))</f>
        <v/>
      </c>
      <c r="CR52" s="2" t="s">
        <v>105</v>
      </c>
    </row>
    <row r="53" customFormat="false" ht="15" hidden="false" customHeight="false" outlineLevel="0" collapsed="false">
      <c r="A53" s="2" t="s">
        <v>96</v>
      </c>
      <c r="B53" s="2" t="s">
        <v>106</v>
      </c>
      <c r="C53" s="2" t="s">
        <v>128</v>
      </c>
      <c r="D53" s="2" t="s">
        <v>136</v>
      </c>
      <c r="E53" s="2" t="str">
        <f aca="false">C53&amp;D53</f>
        <v>UTD SANTA MARIA DA VITORIAAvanço físico da carteira de manutenção</v>
      </c>
      <c r="F53" s="2" t="s">
        <v>100</v>
      </c>
      <c r="G53" s="2" t="s">
        <v>137</v>
      </c>
      <c r="H53" s="2" t="s">
        <v>102</v>
      </c>
      <c r="I53" s="2" t="s">
        <v>103</v>
      </c>
      <c r="J53" s="2" t="n">
        <v>2</v>
      </c>
      <c r="K53" s="2" t="s">
        <v>104</v>
      </c>
      <c r="L53" s="3" t="n">
        <v>0.9</v>
      </c>
      <c r="M53" s="3" t="n">
        <v>0.5692</v>
      </c>
      <c r="N53" s="4" t="n">
        <f aca="false">IF(OR(L53="",M53=""),"",IFERROR(IF($K53="%",M53-L53,M53/L53-1),""))</f>
        <v>-0.3308</v>
      </c>
      <c r="O53" s="5" t="str">
        <f aca="false">IF(OR(L53="",M53=""),"",IF($F53="Maior Melhor",IF(M53&gt;=L53,"Sim","Não"),IF(M53&lt;=L53,"Sim","Não")))</f>
        <v>Não</v>
      </c>
      <c r="P53" s="3" t="n">
        <v>0.9</v>
      </c>
      <c r="Q53" s="3" t="n">
        <v>0.4683</v>
      </c>
      <c r="R53" s="4" t="n">
        <f aca="false">IF(OR(P53="",Q53=""),"",IFERROR(IF($K53="%",Q53-P53,Q53/P53-1),""))</f>
        <v>-0.4317</v>
      </c>
      <c r="S53" s="5" t="str">
        <f aca="false">IF(OR(P53="",Q53=""),"",IF($F53="Maior Melhor",IF(Q53&gt;=P53,"Sim","Não"),IF(Q53&lt;=P53,"Sim","Não")))</f>
        <v>Não</v>
      </c>
      <c r="T53" s="3" t="n">
        <v>0.9</v>
      </c>
      <c r="U53" s="3" t="n">
        <v>1.1</v>
      </c>
      <c r="V53" s="4" t="n">
        <f aca="false">IF(OR(T53="",U53=""),"",IFERROR(IF($K53="%",U53-T53,U53/T53-1),""))</f>
        <v>0.2</v>
      </c>
      <c r="W53" s="5" t="str">
        <f aca="false">IF(OR(T53="",U53=""),"",IF($F53="Maior Melhor",IF(U53&gt;=T53,"Sim","Não"),IF(U53&lt;=T53,"Sim","Não")))</f>
        <v>Sim</v>
      </c>
      <c r="X53" s="3" t="n">
        <v>0.9</v>
      </c>
      <c r="Y53" s="3" t="n">
        <v>1.04</v>
      </c>
      <c r="Z53" s="4" t="n">
        <f aca="false">IF(OR(X53="",Y53=""),"",IFERROR(IF($K53="%",Y53-X53,Y53/X53-1),""))</f>
        <v>0.14</v>
      </c>
      <c r="AA53" s="5" t="str">
        <f aca="false">IF(OR(X53="",Y53=""),"",IF($F53="Maior Melhor",IF(Y53&gt;=X53,"Sim","Não"),IF(Y53&lt;=X53,"Sim","Não")))</f>
        <v>Sim</v>
      </c>
      <c r="AB53" s="3" t="n">
        <v>0.9</v>
      </c>
      <c r="AC53" s="3" t="n">
        <v>0.94</v>
      </c>
      <c r="AD53" s="4" t="n">
        <f aca="false">IF(OR(AB53="",AC53=""),"",IFERROR(IF($K53="%",AC53-AB53,AC53/AB53-1),""))</f>
        <v>0.0399999999999999</v>
      </c>
      <c r="AE53" s="5" t="str">
        <f aca="false">IF(OR(AB53="",AC53=""),"",IF($F53="Maior Melhor",IF(AC53&gt;=AB53,"Sim","Não"),IF(AC53&lt;=AB53,"Sim","Não")))</f>
        <v>Sim</v>
      </c>
      <c r="AF53" s="3" t="n">
        <v>0.9</v>
      </c>
      <c r="AG53" s="3" t="n">
        <v>0.87</v>
      </c>
      <c r="AH53" s="4" t="n">
        <f aca="false">IF(OR(AF53="",AG53=""),"",IFERROR(IF($K53="%",AG53-AF53,AG53/AF53-1),""))</f>
        <v>-0.03</v>
      </c>
      <c r="AI53" s="5" t="str">
        <f aca="false">IF(OR(AF53="",AG53=""),"",IF($F53="Maior Melhor",IF(AG53&gt;=AF53,"Sim","Não"),IF(AG53&lt;=AF53,"Sim","Não")))</f>
        <v>Não</v>
      </c>
      <c r="AJ53" s="3" t="n">
        <v>0.9</v>
      </c>
      <c r="AK53" s="3" t="n">
        <v>0.95</v>
      </c>
      <c r="AL53" s="4" t="n">
        <f aca="false">IF(OR(AJ53="",AK53=""),"",IFERROR(IF($K53="%",AK53-AJ53,AK53/AJ53-1),""))</f>
        <v>0.0499999999999999</v>
      </c>
      <c r="AM53" s="5" t="str">
        <f aca="false">IF(OR(AJ53="",AK53=""),"",IF($F53="Maior Melhor",IF(AK53&gt;=AJ53,"Sim","Não"),IF(AK53&lt;=AJ53,"Sim","Não")))</f>
        <v>Sim</v>
      </c>
      <c r="AN53" s="3" t="n">
        <v>0.9</v>
      </c>
      <c r="AO53" s="3" t="n">
        <v>1.1</v>
      </c>
      <c r="AP53" s="4" t="n">
        <f aca="false">IF(OR(AN53="",AO53=""),"",IFERROR(IF($K53="%",AO53-AN53,AO53/AN53-1),""))</f>
        <v>0.2</v>
      </c>
      <c r="AQ53" s="5" t="str">
        <f aca="false">IF(OR(AN53="",AO53=""),"",IF($F53="Maior Melhor",IF(AO53&gt;=AN53,"Sim","Não"),IF(AO53&lt;=AN53,"Sim","Não")))</f>
        <v>Sim</v>
      </c>
      <c r="AR53" s="3" t="n">
        <v>0.9</v>
      </c>
      <c r="AS53" s="3" t="n">
        <v>1.1</v>
      </c>
      <c r="AT53" s="4" t="n">
        <f aca="false">IF(OR(AR53="",AS53=""),"",IFERROR(IF($K53="%",AS53-AR53,AS53/AR53-1),""))</f>
        <v>0.2</v>
      </c>
      <c r="AU53" s="5" t="str">
        <f aca="false">IF(OR(AR53="",AS53=""),"",IF($F53="Maior Melhor",IF(AS53&gt;=AR53,"Sim","Não"),IF(AS53&lt;=AR53,"Sim","Não")))</f>
        <v>Sim</v>
      </c>
      <c r="AV53" s="3" t="n">
        <v>0.9</v>
      </c>
      <c r="AW53" s="3" t="n">
        <v>1.1</v>
      </c>
      <c r="AX53" s="4" t="n">
        <f aca="false">IF(OR(AV53="",AW53=""),"",IFERROR(IF($K53="%",AW53-AV53,AW53/AV53-1),""))</f>
        <v>0.2</v>
      </c>
      <c r="AY53" s="5" t="str">
        <f aca="false">IF(OR(AV53="",AW53=""),"",IF($F53="Maior Melhor",IF(AW53&gt;=AV53,"Sim","Não"),IF(AW53&lt;=AV53,"Sim","Não")))</f>
        <v>Sim</v>
      </c>
      <c r="AZ53" s="3" t="n">
        <v>0.9</v>
      </c>
      <c r="BA53" s="3" t="n">
        <v>1.1</v>
      </c>
      <c r="BB53" s="4" t="n">
        <f aca="false">IF(OR(AZ53="",BA53=""),"",IFERROR(IF($K53="%",BA53-AZ53,BA53/AZ53-1),""))</f>
        <v>0.2</v>
      </c>
      <c r="BC53" s="5" t="str">
        <f aca="false">IF(OR(AZ53="",BA53=""),"",IF($F53="Maior Melhor",IF(BA53&gt;=AZ53,"Sim","Não"),IF(BA53&lt;=AZ53,"Sim","Não")))</f>
        <v>Sim</v>
      </c>
      <c r="BD53" s="3" t="n">
        <v>0.9</v>
      </c>
      <c r="BE53" s="3" t="n">
        <v>0.91</v>
      </c>
      <c r="BF53" s="4" t="n">
        <f aca="false">IF(OR(BD53="",BE53=""),"",IFERROR(IF($K53="%",BE53-BD53,BE53/BD53-1),""))</f>
        <v>0.01</v>
      </c>
      <c r="BG53" s="5" t="str">
        <f aca="false">IF(OR(BD53="",BE53=""),"",IF($F53="Maior Melhor",IF(BE53&gt;=BD53,"Sim","Não"),IF(BE53&lt;=BD53,"Sim","Não")))</f>
        <v>Sim</v>
      </c>
      <c r="BH53" s="3" t="n">
        <v>0.9</v>
      </c>
      <c r="BI53" s="3" t="n">
        <v>1.09</v>
      </c>
      <c r="BJ53" s="4" t="n">
        <f aca="false">IF(OR(BH53="",BI53=""),"",IFERROR(IF($K53="%",BI53-BH53,BI53/BH53-1),""))</f>
        <v>0.19</v>
      </c>
      <c r="BK53" s="5" t="str">
        <f aca="false">IF(OR(BH53="",BI53=""),"",IF($F53="Maior Melhor",IF(BI53&gt;=BH53,"Sim","Não"),IF(BI53&lt;=BH53,"Sim","Não")))</f>
        <v>Sim</v>
      </c>
      <c r="BL53" s="6"/>
      <c r="BM53" s="6"/>
      <c r="BN53" s="4" t="str">
        <f aca="false">IF(OR(BL53="",BM53=""),"",IFERROR(IF($K53="%",BM53-BL53,BM53/BL53-1),""))</f>
        <v/>
      </c>
      <c r="BO53" s="5" t="str">
        <f aca="false">IF(OR(BL53="",BM53=""),"",IF($F53="Maior Melhor",IF(BM53&gt;=BL53,"Sim","Não"),IF(BM53&lt;=BL53,"Sim","Não")))</f>
        <v/>
      </c>
      <c r="BP53" s="6"/>
      <c r="BQ53" s="6"/>
      <c r="BR53" s="4" t="str">
        <f aca="false">IF(OR(BP53="",BQ53=""),"",IFERROR(IF($K53="%",BQ53-BP53,BQ53/BP53-1),""))</f>
        <v/>
      </c>
      <c r="BS53" s="5" t="str">
        <f aca="false">IF(OR(BP53="",BQ53=""),"",IF($F53="Maior Melhor",IF(BQ53&gt;=BP53,"Sim","Não"),IF(BQ53&lt;=BP53,"Sim","Não")))</f>
        <v/>
      </c>
      <c r="BT53" s="6"/>
      <c r="BU53" s="6"/>
      <c r="BV53" s="4" t="str">
        <f aca="false">IF(OR(BT53="",BU53=""),"",IFERROR(IF($K53="%",BU53-BT53,BU53/BT53-1),""))</f>
        <v/>
      </c>
      <c r="BW53" s="5" t="str">
        <f aca="false">IF(OR(BT53="",BU53=""),"",IF($F53="Maior Melhor",IF(BU53&gt;=BT53,"Sim","Não"),IF(BU53&lt;=BT53,"Sim","Não")))</f>
        <v/>
      </c>
      <c r="BX53" s="6"/>
      <c r="BY53" s="6"/>
      <c r="BZ53" s="4" t="str">
        <f aca="false">IF(OR(BX53="",BY53=""),"",IFERROR(IF($K53="%",BY53-BX53,BY53/BX53-1),""))</f>
        <v/>
      </c>
      <c r="CA53" s="5" t="str">
        <f aca="false">IF(OR(BX53="",BY53=""),"",IF($F53="Maior Melhor",IF(BY53&gt;=BX53,"Sim","Não"),IF(BY53&lt;=BX53,"Sim","Não")))</f>
        <v/>
      </c>
      <c r="CB53" s="6"/>
      <c r="CC53" s="6"/>
      <c r="CD53" s="4" t="str">
        <f aca="false">IF(OR(CB53="",CC53=""),"",IFERROR(IF($K53="%",CC53-CB53,CC53/CB53-1),""))</f>
        <v/>
      </c>
      <c r="CE53" s="5" t="str">
        <f aca="false">IF(OR(CB53="",CC53=""),"",IF($F53="Maior Melhor",IF(CC53&gt;=CB53,"Sim","Não"),IF(CC53&lt;=CB53,"Sim","Não")))</f>
        <v/>
      </c>
      <c r="CF53" s="6"/>
      <c r="CG53" s="6"/>
      <c r="CH53" s="4" t="str">
        <f aca="false">IF(OR(CF53="",CG53=""),"",IFERROR(IF($K53="%",CG53-CF53,CG53/CF53-1),""))</f>
        <v/>
      </c>
      <c r="CI53" s="5" t="str">
        <f aca="false">IF(OR(CF53="",CG53=""),"",IF($F53="Maior Melhor",IF(CG53&gt;=CF53,"Sim","Não"),IF(CG53&lt;=CF53,"Sim","Não")))</f>
        <v/>
      </c>
      <c r="CJ53" s="6"/>
      <c r="CK53" s="6"/>
      <c r="CL53" s="4" t="str">
        <f aca="false">IF(OR(CJ53="",CK53=""),"",IFERROR(IF($K53="%",CK53-CJ53,CK53/CJ53-1),""))</f>
        <v/>
      </c>
      <c r="CM53" s="5" t="str">
        <f aca="false">IF(OR(CJ53="",CK53=""),"",IF($F53="Maior Melhor",IF(CK53&gt;=CJ53,"Sim","Não"),IF(CK53&lt;=CJ53,"Sim","Não")))</f>
        <v/>
      </c>
      <c r="CN53" s="6"/>
      <c r="CO53" s="6"/>
      <c r="CP53" s="4" t="str">
        <f aca="false">IF(OR(CN53="",CO53=""),"",IFERROR(IF($K53="%",CO53-CN53,CO53/CN53-1),""))</f>
        <v/>
      </c>
      <c r="CQ53" s="5" t="str">
        <f aca="false">IF(OR(CN53="",CO53=""),"",IF($F53="Maior Melhor",IF(CO53&gt;=CN53,"Sim","Não"),IF(CO53&lt;=CN53,"Sim","Não")))</f>
        <v/>
      </c>
      <c r="CR53" s="2" t="s">
        <v>143</v>
      </c>
    </row>
    <row r="54" customFormat="false" ht="15" hidden="false" customHeight="false" outlineLevel="0" collapsed="false">
      <c r="A54" s="2" t="s">
        <v>96</v>
      </c>
      <c r="B54" s="2" t="s">
        <v>97</v>
      </c>
      <c r="C54" s="2" t="s">
        <v>130</v>
      </c>
      <c r="D54" s="2" t="s">
        <v>136</v>
      </c>
      <c r="E54" s="2" t="str">
        <f aca="false">C54&amp;D54</f>
        <v>UTD SEABRAAvanço físico da carteira de manutenção</v>
      </c>
      <c r="F54" s="2" t="s">
        <v>100</v>
      </c>
      <c r="G54" s="2" t="s">
        <v>137</v>
      </c>
      <c r="H54" s="2" t="s">
        <v>102</v>
      </c>
      <c r="I54" s="2" t="s">
        <v>103</v>
      </c>
      <c r="J54" s="2" t="n">
        <v>2</v>
      </c>
      <c r="K54" s="2" t="s">
        <v>104</v>
      </c>
      <c r="L54" s="3" t="n">
        <v>0.9</v>
      </c>
      <c r="M54" s="3" t="n">
        <v>0.7636</v>
      </c>
      <c r="N54" s="4" t="n">
        <f aca="false">IF(OR(L54="",M54=""),"",IFERROR(IF($K54="%",M54-L54,M54/L54-1),""))</f>
        <v>-0.1364</v>
      </c>
      <c r="O54" s="5" t="str">
        <f aca="false">IF(OR(L54="",M54=""),"",IF($F54="Maior Melhor",IF(M54&gt;=L54,"Sim","Não"),IF(M54&lt;=L54,"Sim","Não")))</f>
        <v>Não</v>
      </c>
      <c r="P54" s="3" t="n">
        <v>0.9</v>
      </c>
      <c r="Q54" s="3" t="n">
        <v>8</v>
      </c>
      <c r="R54" s="4" t="n">
        <f aca="false">IF(OR(P54="",Q54=""),"",IFERROR(IF($K54="%",Q54-P54,Q54/P54-1),""))</f>
        <v>7.1</v>
      </c>
      <c r="S54" s="5" t="str">
        <f aca="false">IF(OR(P54="",Q54=""),"",IF($F54="Maior Melhor",IF(Q54&gt;=P54,"Sim","Não"),IF(Q54&lt;=P54,"Sim","Não")))</f>
        <v>Sim</v>
      </c>
      <c r="T54" s="3" t="n">
        <v>0.9</v>
      </c>
      <c r="U54" s="3" t="n">
        <v>0.5531</v>
      </c>
      <c r="V54" s="4" t="n">
        <f aca="false">IF(OR(T54="",U54=""),"",IFERROR(IF($K54="%",U54-T54,U54/T54-1),""))</f>
        <v>-0.3469</v>
      </c>
      <c r="W54" s="5" t="str">
        <f aca="false">IF(OR(T54="",U54=""),"",IF($F54="Maior Melhor",IF(U54&gt;=T54,"Sim","Não"),IF(U54&lt;=T54,"Sim","Não")))</f>
        <v>Não</v>
      </c>
      <c r="X54" s="3" t="n">
        <v>0.9</v>
      </c>
      <c r="Y54" s="3" t="n">
        <v>0.8</v>
      </c>
      <c r="Z54" s="4" t="n">
        <f aca="false">IF(OR(X54="",Y54=""),"",IFERROR(IF($K54="%",Y54-X54,Y54/X54-1),""))</f>
        <v>-0.1</v>
      </c>
      <c r="AA54" s="5" t="str">
        <f aca="false">IF(OR(X54="",Y54=""),"",IF($F54="Maior Melhor",IF(Y54&gt;=X54,"Sim","Não"),IF(Y54&lt;=X54,"Sim","Não")))</f>
        <v>Não</v>
      </c>
      <c r="AB54" s="3" t="n">
        <v>0.9</v>
      </c>
      <c r="AC54" s="3" t="n">
        <v>0.96</v>
      </c>
      <c r="AD54" s="4" t="n">
        <f aca="false">IF(OR(AB54="",AC54=""),"",IFERROR(IF($K54="%",AC54-AB54,AC54/AB54-1),""))</f>
        <v>0.0599999999999999</v>
      </c>
      <c r="AE54" s="5" t="str">
        <f aca="false">IF(OR(AB54="",AC54=""),"",IF($F54="Maior Melhor",IF(AC54&gt;=AB54,"Sim","Não"),IF(AC54&lt;=AB54,"Sim","Não")))</f>
        <v>Sim</v>
      </c>
      <c r="AF54" s="3" t="n">
        <v>0.9</v>
      </c>
      <c r="AG54" s="3" t="n">
        <v>0.36</v>
      </c>
      <c r="AH54" s="4" t="n">
        <f aca="false">IF(OR(AF54="",AG54=""),"",IFERROR(IF($K54="%",AG54-AF54,AG54/AF54-1),""))</f>
        <v>-0.54</v>
      </c>
      <c r="AI54" s="5" t="str">
        <f aca="false">IF(OR(AF54="",AG54=""),"",IF($F54="Maior Melhor",IF(AG54&gt;=AF54,"Sim","Não"),IF(AG54&lt;=AF54,"Sim","Não")))</f>
        <v>Não</v>
      </c>
      <c r="AJ54" s="3" t="n">
        <v>0.9</v>
      </c>
      <c r="AK54" s="3" t="n">
        <v>0.97</v>
      </c>
      <c r="AL54" s="4" t="n">
        <f aca="false">IF(OR(AJ54="",AK54=""),"",IFERROR(IF($K54="%",AK54-AJ54,AK54/AJ54-1),""))</f>
        <v>0.07</v>
      </c>
      <c r="AM54" s="5" t="str">
        <f aca="false">IF(OR(AJ54="",AK54=""),"",IF($F54="Maior Melhor",IF(AK54&gt;=AJ54,"Sim","Não"),IF(AK54&lt;=AJ54,"Sim","Não")))</f>
        <v>Sim</v>
      </c>
      <c r="AN54" s="3" t="n">
        <v>0.9</v>
      </c>
      <c r="AO54" s="3" t="n">
        <v>0.55</v>
      </c>
      <c r="AP54" s="4" t="n">
        <f aca="false">IF(OR(AN54="",AO54=""),"",IFERROR(IF($K54="%",AO54-AN54,AO54/AN54-1),""))</f>
        <v>-0.35</v>
      </c>
      <c r="AQ54" s="5" t="str">
        <f aca="false">IF(OR(AN54="",AO54=""),"",IF($F54="Maior Melhor",IF(AO54&gt;=AN54,"Sim","Não"),IF(AO54&lt;=AN54,"Sim","Não")))</f>
        <v>Não</v>
      </c>
      <c r="AR54" s="3" t="n">
        <v>0.9</v>
      </c>
      <c r="AS54" s="3" t="n">
        <v>0.98</v>
      </c>
      <c r="AT54" s="4" t="n">
        <f aca="false">IF(OR(AR54="",AS54=""),"",IFERROR(IF($K54="%",AS54-AR54,AS54/AR54-1),""))</f>
        <v>0.08</v>
      </c>
      <c r="AU54" s="5" t="str">
        <f aca="false">IF(OR(AR54="",AS54=""),"",IF($F54="Maior Melhor",IF(AS54&gt;=AR54,"Sim","Não"),IF(AS54&lt;=AR54,"Sim","Não")))</f>
        <v>Sim</v>
      </c>
      <c r="AV54" s="3" t="n">
        <v>0.9</v>
      </c>
      <c r="AW54" s="3" t="n">
        <v>1.1</v>
      </c>
      <c r="AX54" s="4" t="n">
        <f aca="false">IF(OR(AV54="",AW54=""),"",IFERROR(IF($K54="%",AW54-AV54,AW54/AV54-1),""))</f>
        <v>0.2</v>
      </c>
      <c r="AY54" s="5" t="str">
        <f aca="false">IF(OR(AV54="",AW54=""),"",IF($F54="Maior Melhor",IF(AW54&gt;=AV54,"Sim","Não"),IF(AW54&lt;=AV54,"Sim","Não")))</f>
        <v>Sim</v>
      </c>
      <c r="AZ54" s="3" t="n">
        <v>0.9</v>
      </c>
      <c r="BA54" s="3" t="n">
        <v>1.1</v>
      </c>
      <c r="BB54" s="4" t="n">
        <f aca="false">IF(OR(AZ54="",BA54=""),"",IFERROR(IF($K54="%",BA54-AZ54,BA54/AZ54-1),""))</f>
        <v>0.2</v>
      </c>
      <c r="BC54" s="5" t="str">
        <f aca="false">IF(OR(AZ54="",BA54=""),"",IF($F54="Maior Melhor",IF(BA54&gt;=AZ54,"Sim","Não"),IF(BA54&lt;=AZ54,"Sim","Não")))</f>
        <v>Sim</v>
      </c>
      <c r="BD54" s="3" t="n">
        <v>0.9</v>
      </c>
      <c r="BE54" s="3" t="n">
        <v>0.36</v>
      </c>
      <c r="BF54" s="4" t="n">
        <f aca="false">IF(OR(BD54="",BE54=""),"",IFERROR(IF($K54="%",BE54-BD54,BE54/BD54-1),""))</f>
        <v>-0.54</v>
      </c>
      <c r="BG54" s="5" t="str">
        <f aca="false">IF(OR(BD54="",BE54=""),"",IF($F54="Maior Melhor",IF(BE54&gt;=BD54,"Sim","Não"),IF(BE54&lt;=BD54,"Sim","Não")))</f>
        <v>Não</v>
      </c>
      <c r="BH54" s="3" t="n">
        <v>0.9</v>
      </c>
      <c r="BI54" s="3" t="n">
        <v>1.03</v>
      </c>
      <c r="BJ54" s="4" t="n">
        <f aca="false">IF(OR(BH54="",BI54=""),"",IFERROR(IF($K54="%",BI54-BH54,BI54/BH54-1),""))</f>
        <v>0.13</v>
      </c>
      <c r="BK54" s="5" t="str">
        <f aca="false">IF(OR(BH54="",BI54=""),"",IF($F54="Maior Melhor",IF(BI54&gt;=BH54,"Sim","Não"),IF(BI54&lt;=BH54,"Sim","Não")))</f>
        <v>Sim</v>
      </c>
      <c r="BL54" s="6"/>
      <c r="BM54" s="6"/>
      <c r="BN54" s="4" t="str">
        <f aca="false">IF(OR(BL54="",BM54=""),"",IFERROR(IF($K54="%",BM54-BL54,BM54/BL54-1),""))</f>
        <v/>
      </c>
      <c r="BO54" s="5" t="str">
        <f aca="false">IF(OR(BL54="",BM54=""),"",IF($F54="Maior Melhor",IF(BM54&gt;=BL54,"Sim","Não"),IF(BM54&lt;=BL54,"Sim","Não")))</f>
        <v/>
      </c>
      <c r="BP54" s="6"/>
      <c r="BQ54" s="6"/>
      <c r="BR54" s="4" t="str">
        <f aca="false">IF(OR(BP54="",BQ54=""),"",IFERROR(IF($K54="%",BQ54-BP54,BQ54/BP54-1),""))</f>
        <v/>
      </c>
      <c r="BS54" s="5" t="str">
        <f aca="false">IF(OR(BP54="",BQ54=""),"",IF($F54="Maior Melhor",IF(BQ54&gt;=BP54,"Sim","Não"),IF(BQ54&lt;=BP54,"Sim","Não")))</f>
        <v/>
      </c>
      <c r="BT54" s="6"/>
      <c r="BU54" s="6"/>
      <c r="BV54" s="4" t="str">
        <f aca="false">IF(OR(BT54="",BU54=""),"",IFERROR(IF($K54="%",BU54-BT54,BU54/BT54-1),""))</f>
        <v/>
      </c>
      <c r="BW54" s="5" t="str">
        <f aca="false">IF(OR(BT54="",BU54=""),"",IF($F54="Maior Melhor",IF(BU54&gt;=BT54,"Sim","Não"),IF(BU54&lt;=BT54,"Sim","Não")))</f>
        <v/>
      </c>
      <c r="BX54" s="6"/>
      <c r="BY54" s="6"/>
      <c r="BZ54" s="4" t="str">
        <f aca="false">IF(OR(BX54="",BY54=""),"",IFERROR(IF($K54="%",BY54-BX54,BY54/BX54-1),""))</f>
        <v/>
      </c>
      <c r="CA54" s="5" t="str">
        <f aca="false">IF(OR(BX54="",BY54=""),"",IF($F54="Maior Melhor",IF(BY54&gt;=BX54,"Sim","Não"),IF(BY54&lt;=BX54,"Sim","Não")))</f>
        <v/>
      </c>
      <c r="CB54" s="6"/>
      <c r="CC54" s="6"/>
      <c r="CD54" s="4" t="str">
        <f aca="false">IF(OR(CB54="",CC54=""),"",IFERROR(IF($K54="%",CC54-CB54,CC54/CB54-1),""))</f>
        <v/>
      </c>
      <c r="CE54" s="5" t="str">
        <f aca="false">IF(OR(CB54="",CC54=""),"",IF($F54="Maior Melhor",IF(CC54&gt;=CB54,"Sim","Não"),IF(CC54&lt;=CB54,"Sim","Não")))</f>
        <v/>
      </c>
      <c r="CF54" s="6"/>
      <c r="CG54" s="6"/>
      <c r="CH54" s="4" t="str">
        <f aca="false">IF(OR(CF54="",CG54=""),"",IFERROR(IF($K54="%",CG54-CF54,CG54/CF54-1),""))</f>
        <v/>
      </c>
      <c r="CI54" s="5" t="str">
        <f aca="false">IF(OR(CF54="",CG54=""),"",IF($F54="Maior Melhor",IF(CG54&gt;=CF54,"Sim","Não"),IF(CG54&lt;=CF54,"Sim","Não")))</f>
        <v/>
      </c>
      <c r="CJ54" s="6"/>
      <c r="CK54" s="6"/>
      <c r="CL54" s="4" t="str">
        <f aca="false">IF(OR(CJ54="",CK54=""),"",IFERROR(IF($K54="%",CK54-CJ54,CK54/CJ54-1),""))</f>
        <v/>
      </c>
      <c r="CM54" s="5" t="str">
        <f aca="false">IF(OR(CJ54="",CK54=""),"",IF($F54="Maior Melhor",IF(CK54&gt;=CJ54,"Sim","Não"),IF(CK54&lt;=CJ54,"Sim","Não")))</f>
        <v/>
      </c>
      <c r="CN54" s="6"/>
      <c r="CO54" s="6"/>
      <c r="CP54" s="4" t="str">
        <f aca="false">IF(OR(CN54="",CO54=""),"",IFERROR(IF($K54="%",CO54-CN54,CO54/CN54-1),""))</f>
        <v/>
      </c>
      <c r="CQ54" s="5" t="str">
        <f aca="false">IF(OR(CN54="",CO54=""),"",IF($F54="Maior Melhor",IF(CO54&gt;=CN54,"Sim","Não"),IF(CO54&lt;=CN54,"Sim","Não")))</f>
        <v/>
      </c>
      <c r="CR54" s="2" t="s">
        <v>105</v>
      </c>
    </row>
    <row r="55" customFormat="false" ht="15" hidden="false" customHeight="false" outlineLevel="0" collapsed="false">
      <c r="A55" s="2" t="s">
        <v>96</v>
      </c>
      <c r="B55" s="2" t="s">
        <v>108</v>
      </c>
      <c r="C55" s="2" t="s">
        <v>131</v>
      </c>
      <c r="D55" s="2" t="s">
        <v>136</v>
      </c>
      <c r="E55" s="2" t="str">
        <f aca="false">C55&amp;D55</f>
        <v>UTD VITORIA DA CONQUISTAAvanço físico da carteira de manutenção</v>
      </c>
      <c r="F55" s="2" t="s">
        <v>100</v>
      </c>
      <c r="G55" s="2" t="s">
        <v>137</v>
      </c>
      <c r="H55" s="2" t="s">
        <v>102</v>
      </c>
      <c r="I55" s="2" t="s">
        <v>103</v>
      </c>
      <c r="J55" s="2" t="n">
        <v>2</v>
      </c>
      <c r="K55" s="2" t="s">
        <v>104</v>
      </c>
      <c r="L55" s="3" t="n">
        <v>0.9</v>
      </c>
      <c r="M55" s="3" t="n">
        <v>0.089</v>
      </c>
      <c r="N55" s="4" t="n">
        <f aca="false">IF(OR(L55="",M55=""),"",IFERROR(IF($K55="%",M55-L55,M55/L55-1),""))</f>
        <v>-0.811</v>
      </c>
      <c r="O55" s="5" t="str">
        <f aca="false">IF(OR(L55="",M55=""),"",IF($F55="Maior Melhor",IF(M55&gt;=L55,"Sim","Não"),IF(M55&lt;=L55,"Sim","Não")))</f>
        <v>Não</v>
      </c>
      <c r="P55" s="3" t="n">
        <v>0.9</v>
      </c>
      <c r="Q55" s="3" t="n">
        <v>0.0435</v>
      </c>
      <c r="R55" s="4" t="n">
        <f aca="false">IF(OR(P55="",Q55=""),"",IFERROR(IF($K55="%",Q55-P55,Q55/P55-1),""))</f>
        <v>-0.8565</v>
      </c>
      <c r="S55" s="5" t="str">
        <f aca="false">IF(OR(P55="",Q55=""),"",IF($F55="Maior Melhor",IF(Q55&gt;=P55,"Sim","Não"),IF(Q55&lt;=P55,"Sim","Não")))</f>
        <v>Não</v>
      </c>
      <c r="T55" s="3" t="n">
        <v>0.9</v>
      </c>
      <c r="U55" s="3" t="n">
        <v>0.7114</v>
      </c>
      <c r="V55" s="4" t="n">
        <f aca="false">IF(OR(T55="",U55=""),"",IFERROR(IF($K55="%",U55-T55,U55/T55-1),""))</f>
        <v>-0.1886</v>
      </c>
      <c r="W55" s="5" t="str">
        <f aca="false">IF(OR(T55="",U55=""),"",IF($F55="Maior Melhor",IF(U55&gt;=T55,"Sim","Não"),IF(U55&lt;=T55,"Sim","Não")))</f>
        <v>Não</v>
      </c>
      <c r="X55" s="3" t="n">
        <v>0.9</v>
      </c>
      <c r="Y55" s="3" t="n">
        <v>0.6</v>
      </c>
      <c r="Z55" s="4" t="n">
        <f aca="false">IF(OR(X55="",Y55=""),"",IFERROR(IF($K55="%",Y55-X55,Y55/X55-1),""))</f>
        <v>-0.3</v>
      </c>
      <c r="AA55" s="5" t="str">
        <f aca="false">IF(OR(X55="",Y55=""),"",IF($F55="Maior Melhor",IF(Y55&gt;=X55,"Sim","Não"),IF(Y55&lt;=X55,"Sim","Não")))</f>
        <v>Não</v>
      </c>
      <c r="AB55" s="3" t="n">
        <v>0.9</v>
      </c>
      <c r="AC55" s="3" t="n">
        <v>0.37</v>
      </c>
      <c r="AD55" s="4" t="n">
        <f aca="false">IF(OR(AB55="",AC55=""),"",IFERROR(IF($K55="%",AC55-AB55,AC55/AB55-1),""))</f>
        <v>-0.53</v>
      </c>
      <c r="AE55" s="5" t="str">
        <f aca="false">IF(OR(AB55="",AC55=""),"",IF($F55="Maior Melhor",IF(AC55&gt;=AB55,"Sim","Não"),IF(AC55&lt;=AB55,"Sim","Não")))</f>
        <v>Não</v>
      </c>
      <c r="AF55" s="3" t="n">
        <v>0.9</v>
      </c>
      <c r="AG55" s="3" t="n">
        <v>1.1</v>
      </c>
      <c r="AH55" s="4" t="n">
        <f aca="false">IF(OR(AF55="",AG55=""),"",IFERROR(IF($K55="%",AG55-AF55,AG55/AF55-1),""))</f>
        <v>0.2</v>
      </c>
      <c r="AI55" s="5" t="str">
        <f aca="false">IF(OR(AF55="",AG55=""),"",IF($F55="Maior Melhor",IF(AG55&gt;=AF55,"Sim","Não"),IF(AG55&lt;=AF55,"Sim","Não")))</f>
        <v>Sim</v>
      </c>
      <c r="AJ55" s="3" t="n">
        <v>0.9</v>
      </c>
      <c r="AK55" s="3" t="n">
        <v>0.57</v>
      </c>
      <c r="AL55" s="4" t="n">
        <f aca="false">IF(OR(AJ55="",AK55=""),"",IFERROR(IF($K55="%",AK55-AJ55,AK55/AJ55-1),""))</f>
        <v>-0.33</v>
      </c>
      <c r="AM55" s="5" t="str">
        <f aca="false">IF(OR(AJ55="",AK55=""),"",IF($F55="Maior Melhor",IF(AK55&gt;=AJ55,"Sim","Não"),IF(AK55&lt;=AJ55,"Sim","Não")))</f>
        <v>Não</v>
      </c>
      <c r="AN55" s="3" t="n">
        <v>0.9</v>
      </c>
      <c r="AO55" s="3" t="n">
        <v>0.92</v>
      </c>
      <c r="AP55" s="4" t="n">
        <f aca="false">IF(OR(AN55="",AO55=""),"",IFERROR(IF($K55="%",AO55-AN55,AO55/AN55-1),""))</f>
        <v>0.02</v>
      </c>
      <c r="AQ55" s="5" t="str">
        <f aca="false">IF(OR(AN55="",AO55=""),"",IF($F55="Maior Melhor",IF(AO55&gt;=AN55,"Sim","Não"),IF(AO55&lt;=AN55,"Sim","Não")))</f>
        <v>Sim</v>
      </c>
      <c r="AR55" s="3" t="n">
        <v>0.9</v>
      </c>
      <c r="AS55" s="3" t="n">
        <v>0.68</v>
      </c>
      <c r="AT55" s="4" t="n">
        <f aca="false">IF(OR(AR55="",AS55=""),"",IFERROR(IF($K55="%",AS55-AR55,AS55/AR55-1),""))</f>
        <v>-0.22</v>
      </c>
      <c r="AU55" s="5" t="str">
        <f aca="false">IF(OR(AR55="",AS55=""),"",IF($F55="Maior Melhor",IF(AS55&gt;=AR55,"Sim","Não"),IF(AS55&lt;=AR55,"Sim","Não")))</f>
        <v>Não</v>
      </c>
      <c r="AV55" s="3" t="n">
        <v>0.9</v>
      </c>
      <c r="AW55" s="3" t="n">
        <v>1.09</v>
      </c>
      <c r="AX55" s="4" t="n">
        <f aca="false">IF(OR(AV55="",AW55=""),"",IFERROR(IF($K55="%",AW55-AV55,AW55/AV55-1),""))</f>
        <v>0.19</v>
      </c>
      <c r="AY55" s="5" t="str">
        <f aca="false">IF(OR(AV55="",AW55=""),"",IF($F55="Maior Melhor",IF(AW55&gt;=AV55,"Sim","Não"),IF(AW55&lt;=AV55,"Sim","Não")))</f>
        <v>Sim</v>
      </c>
      <c r="AZ55" s="3" t="n">
        <v>0.9</v>
      </c>
      <c r="BA55" s="3" t="n">
        <v>0.76</v>
      </c>
      <c r="BB55" s="4" t="n">
        <f aca="false">IF(OR(AZ55="",BA55=""),"",IFERROR(IF($K55="%",BA55-AZ55,BA55/AZ55-1),""))</f>
        <v>-0.14</v>
      </c>
      <c r="BC55" s="5" t="str">
        <f aca="false">IF(OR(AZ55="",BA55=""),"",IF($F55="Maior Melhor",IF(BA55&gt;=AZ55,"Sim","Não"),IF(BA55&lt;=AZ55,"Sim","Não")))</f>
        <v>Não</v>
      </c>
      <c r="BD55" s="3" t="n">
        <v>0.9</v>
      </c>
      <c r="BE55" s="3" t="n">
        <v>0.9</v>
      </c>
      <c r="BF55" s="4" t="n">
        <f aca="false">IF(OR(BD55="",BE55=""),"",IFERROR(IF($K55="%",BE55-BD55,BE55/BD55-1),""))</f>
        <v>0</v>
      </c>
      <c r="BG55" s="5" t="str">
        <f aca="false">IF(OR(BD55="",BE55=""),"",IF($F55="Maior Melhor",IF(BE55&gt;=BD55,"Sim","Não"),IF(BE55&lt;=BD55,"Sim","Não")))</f>
        <v>Sim</v>
      </c>
      <c r="BH55" s="3" t="n">
        <v>0.9</v>
      </c>
      <c r="BI55" s="3" t="n">
        <v>0.8</v>
      </c>
      <c r="BJ55" s="4" t="n">
        <f aca="false">IF(OR(BH55="",BI55=""),"",IFERROR(IF($K55="%",BI55-BH55,BI55/BH55-1),""))</f>
        <v>-0.1</v>
      </c>
      <c r="BK55" s="5" t="str">
        <f aca="false">IF(OR(BH55="",BI55=""),"",IF($F55="Maior Melhor",IF(BI55&gt;=BH55,"Sim","Não"),IF(BI55&lt;=BH55,"Sim","Não")))</f>
        <v>Não</v>
      </c>
      <c r="BL55" s="6"/>
      <c r="BM55" s="6"/>
      <c r="BN55" s="4" t="str">
        <f aca="false">IF(OR(BL55="",BM55=""),"",IFERROR(IF($K55="%",BM55-BL55,BM55/BL55-1),""))</f>
        <v/>
      </c>
      <c r="BO55" s="5" t="str">
        <f aca="false">IF(OR(BL55="",BM55=""),"",IF($F55="Maior Melhor",IF(BM55&gt;=BL55,"Sim","Não"),IF(BM55&lt;=BL55,"Sim","Não")))</f>
        <v/>
      </c>
      <c r="BP55" s="6"/>
      <c r="BQ55" s="6"/>
      <c r="BR55" s="4" t="str">
        <f aca="false">IF(OR(BP55="",BQ55=""),"",IFERROR(IF($K55="%",BQ55-BP55,BQ55/BP55-1),""))</f>
        <v/>
      </c>
      <c r="BS55" s="5" t="str">
        <f aca="false">IF(OR(BP55="",BQ55=""),"",IF($F55="Maior Melhor",IF(BQ55&gt;=BP55,"Sim","Não"),IF(BQ55&lt;=BP55,"Sim","Não")))</f>
        <v/>
      </c>
      <c r="BT55" s="6"/>
      <c r="BU55" s="6"/>
      <c r="BV55" s="4" t="str">
        <f aca="false">IF(OR(BT55="",BU55=""),"",IFERROR(IF($K55="%",BU55-BT55,BU55/BT55-1),""))</f>
        <v/>
      </c>
      <c r="BW55" s="5" t="str">
        <f aca="false">IF(OR(BT55="",BU55=""),"",IF($F55="Maior Melhor",IF(BU55&gt;=BT55,"Sim","Não"),IF(BU55&lt;=BT55,"Sim","Não")))</f>
        <v/>
      </c>
      <c r="BX55" s="6"/>
      <c r="BY55" s="6"/>
      <c r="BZ55" s="4" t="str">
        <f aca="false">IF(OR(BX55="",BY55=""),"",IFERROR(IF($K55="%",BY55-BX55,BY55/BX55-1),""))</f>
        <v/>
      </c>
      <c r="CA55" s="5" t="str">
        <f aca="false">IF(OR(BX55="",BY55=""),"",IF($F55="Maior Melhor",IF(BY55&gt;=BX55,"Sim","Não"),IF(BY55&lt;=BX55,"Sim","Não")))</f>
        <v/>
      </c>
      <c r="CB55" s="6"/>
      <c r="CC55" s="6"/>
      <c r="CD55" s="4" t="str">
        <f aca="false">IF(OR(CB55="",CC55=""),"",IFERROR(IF($K55="%",CC55-CB55,CC55/CB55-1),""))</f>
        <v/>
      </c>
      <c r="CE55" s="5" t="str">
        <f aca="false">IF(OR(CB55="",CC55=""),"",IF($F55="Maior Melhor",IF(CC55&gt;=CB55,"Sim","Não"),IF(CC55&lt;=CB55,"Sim","Não")))</f>
        <v/>
      </c>
      <c r="CF55" s="6"/>
      <c r="CG55" s="6"/>
      <c r="CH55" s="4" t="str">
        <f aca="false">IF(OR(CF55="",CG55=""),"",IFERROR(IF($K55="%",CG55-CF55,CG55/CF55-1),""))</f>
        <v/>
      </c>
      <c r="CI55" s="5" t="str">
        <f aca="false">IF(OR(CF55="",CG55=""),"",IF($F55="Maior Melhor",IF(CG55&gt;=CF55,"Sim","Não"),IF(CG55&lt;=CF55,"Sim","Não")))</f>
        <v/>
      </c>
      <c r="CJ55" s="6"/>
      <c r="CK55" s="6"/>
      <c r="CL55" s="4" t="str">
        <f aca="false">IF(OR(CJ55="",CK55=""),"",IFERROR(IF($K55="%",CK55-CJ55,CK55/CJ55-1),""))</f>
        <v/>
      </c>
      <c r="CM55" s="5" t="str">
        <f aca="false">IF(OR(CJ55="",CK55=""),"",IF($F55="Maior Melhor",IF(CK55&gt;=CJ55,"Sim","Não"),IF(CK55&lt;=CJ55,"Sim","Não")))</f>
        <v/>
      </c>
      <c r="CN55" s="6"/>
      <c r="CO55" s="6"/>
      <c r="CP55" s="4" t="str">
        <f aca="false">IF(OR(CN55="",CO55=""),"",IFERROR(IF($K55="%",CO55-CN55,CO55/CN55-1),""))</f>
        <v/>
      </c>
      <c r="CQ55" s="5" t="str">
        <f aca="false">IF(OR(CN55="",CO55=""),"",IF($F55="Maior Melhor",IF(CO55&gt;=CN55,"Sim","Não"),IF(CO55&lt;=CN55,"Sim","Não")))</f>
        <v/>
      </c>
      <c r="CR55" s="2" t="s">
        <v>105</v>
      </c>
    </row>
    <row r="56" customFormat="false" ht="15" hidden="false" customHeight="false" outlineLevel="0" collapsed="false">
      <c r="A56" s="2" t="s">
        <v>144</v>
      </c>
      <c r="B56" s="2" t="s">
        <v>97</v>
      </c>
      <c r="C56" s="2" t="s">
        <v>98</v>
      </c>
      <c r="D56" s="2" t="s">
        <v>145</v>
      </c>
      <c r="E56" s="2" t="str">
        <f aca="false">C56&amp;D56</f>
        <v>Gerência Centro OesteBlitz da CIPA</v>
      </c>
      <c r="F56" s="2" t="s">
        <v>100</v>
      </c>
      <c r="G56" s="2" t="s">
        <v>146</v>
      </c>
      <c r="H56" s="2" t="s">
        <v>102</v>
      </c>
      <c r="I56" s="2" t="s">
        <v>103</v>
      </c>
      <c r="J56" s="2" t="n">
        <v>2</v>
      </c>
      <c r="K56" s="2" t="s">
        <v>147</v>
      </c>
      <c r="L56" s="7" t="n">
        <v>26</v>
      </c>
      <c r="M56" s="7" t="n">
        <v>34</v>
      </c>
      <c r="N56" s="4" t="n">
        <f aca="false">IF(OR(L56="",M56=""),"",IFERROR(IF($K56="%",M56-L56,M56/L56-1),""))</f>
        <v>0.307692307692308</v>
      </c>
      <c r="O56" s="5" t="str">
        <f aca="false">IF(OR(L56="",M56=""),"",IF($F56="Maior Melhor",IF(M56&gt;=L56,"Sim","Não"),IF(M56&lt;=L56,"Sim","Não")))</f>
        <v>Sim</v>
      </c>
      <c r="P56" s="7" t="n">
        <v>26</v>
      </c>
      <c r="Q56" s="7" t="n">
        <v>33</v>
      </c>
      <c r="R56" s="4" t="n">
        <f aca="false">IF(OR(P56="",Q56=""),"",IFERROR(IF($K56="%",Q56-P56,Q56/P56-1),""))</f>
        <v>0.269230769230769</v>
      </c>
      <c r="S56" s="5" t="str">
        <f aca="false">IF(OR(P56="",Q56=""),"",IF($F56="Maior Melhor",IF(Q56&gt;=P56,"Sim","Não"),IF(Q56&lt;=P56,"Sim","Não")))</f>
        <v>Sim</v>
      </c>
      <c r="T56" s="7" t="n">
        <v>88</v>
      </c>
      <c r="U56" s="7" t="n">
        <v>116</v>
      </c>
      <c r="V56" s="4" t="n">
        <f aca="false">IF(OR(T56="",U56=""),"",IFERROR(IF($K56="%",U56-T56,U56/T56-1),""))</f>
        <v>0.318181818181818</v>
      </c>
      <c r="W56" s="5" t="str">
        <f aca="false">IF(OR(T56="",U56=""),"",IF($F56="Maior Melhor",IF(U56&gt;=T56,"Sim","Não"),IF(U56&lt;=T56,"Sim","Não")))</f>
        <v>Sim</v>
      </c>
      <c r="X56" s="7" t="n">
        <v>88</v>
      </c>
      <c r="Y56" s="7" t="n">
        <v>151</v>
      </c>
      <c r="Z56" s="4" t="n">
        <f aca="false">IF(OR(X56="",Y56=""),"",IFERROR(IF($K56="%",Y56-X56,Y56/X56-1),""))</f>
        <v>0.715909090909091</v>
      </c>
      <c r="AA56" s="5" t="str">
        <f aca="false">IF(OR(X56="",Y56=""),"",IF($F56="Maior Melhor",IF(Y56&gt;=X56,"Sim","Não"),IF(Y56&lt;=X56,"Sim","Não")))</f>
        <v>Sim</v>
      </c>
      <c r="AB56" s="7" t="n">
        <v>228</v>
      </c>
      <c r="AC56" s="7" t="n">
        <v>334</v>
      </c>
      <c r="AD56" s="4" t="n">
        <f aca="false">IF(OR(AB56="",AC56=""),"",IFERROR(IF($K56="%",AC56-AB56,AC56/AB56-1),""))</f>
        <v>0.464912280701754</v>
      </c>
      <c r="AE56" s="5" t="str">
        <f aca="false">IF(OR(AB56="",AC56=""),"",IF($F56="Maior Melhor",IF(AC56&gt;=AB56,"Sim","Não"),IF(AC56&lt;=AB56,"Sim","Não")))</f>
        <v>Sim</v>
      </c>
      <c r="AF56" s="7" t="n">
        <v>88</v>
      </c>
      <c r="AG56" s="7" t="n">
        <v>86</v>
      </c>
      <c r="AH56" s="4" t="n">
        <f aca="false">IF(OR(AF56="",AG56=""),"",IFERROR(IF($K56="%",AG56-AF56,AG56/AF56-1),""))</f>
        <v>-0.0227272727272727</v>
      </c>
      <c r="AI56" s="5" t="str">
        <f aca="false">IF(OR(AF56="",AG56=""),"",IF($F56="Maior Melhor",IF(AG56&gt;=AF56,"Sim","Não"),IF(AG56&lt;=AF56,"Sim","Não")))</f>
        <v>Não</v>
      </c>
      <c r="AJ56" s="7" t="n">
        <v>316</v>
      </c>
      <c r="AK56" s="7" t="n">
        <v>420</v>
      </c>
      <c r="AL56" s="4" t="n">
        <f aca="false">IF(OR(AJ56="",AK56=""),"",IFERROR(IF($K56="%",AK56-AJ56,AK56/AJ56-1),""))</f>
        <v>0.329113924050633</v>
      </c>
      <c r="AM56" s="5" t="str">
        <f aca="false">IF(OR(AJ56="",AK56=""),"",IF($F56="Maior Melhor",IF(AK56&gt;=AJ56,"Sim","Não"),IF(AK56&lt;=AJ56,"Sim","Não")))</f>
        <v>Sim</v>
      </c>
      <c r="AN56" s="7" t="n">
        <v>88</v>
      </c>
      <c r="AO56" s="7" t="n">
        <v>119</v>
      </c>
      <c r="AP56" s="4" t="n">
        <f aca="false">IF(OR(AN56="",AO56=""),"",IFERROR(IF($K56="%",AO56-AN56,AO56/AN56-1),""))</f>
        <v>0.352272727272727</v>
      </c>
      <c r="AQ56" s="5" t="str">
        <f aca="false">IF(OR(AN56="",AO56=""),"",IF($F56="Maior Melhor",IF(AO56&gt;=AN56,"Sim","Não"),IF(AO56&lt;=AN56,"Sim","Não")))</f>
        <v>Sim</v>
      </c>
      <c r="AR56" s="7" t="n">
        <v>404</v>
      </c>
      <c r="AS56" s="7" t="n">
        <v>558</v>
      </c>
      <c r="AT56" s="4" t="n">
        <f aca="false">IF(OR(AR56="",AS56=""),"",IFERROR(IF($K56="%",AS56-AR56,AS56/AR56-1),""))</f>
        <v>0.381188118811881</v>
      </c>
      <c r="AU56" s="5" t="str">
        <f aca="false">IF(OR(AR56="",AS56=""),"",IF($F56="Maior Melhor",IF(AS56&gt;=AR56,"Sim","Não"),IF(AS56&lt;=AR56,"Sim","Não")))</f>
        <v>Sim</v>
      </c>
      <c r="AV56" s="7" t="n">
        <v>88</v>
      </c>
      <c r="AW56" s="7" t="n">
        <v>127</v>
      </c>
      <c r="AX56" s="4" t="n">
        <f aca="false">IF(OR(AV56="",AW56=""),"",IFERROR(IF($K56="%",AW56-AV56,AW56/AV56-1),""))</f>
        <v>0.443181818181818</v>
      </c>
      <c r="AY56" s="5" t="str">
        <f aca="false">IF(OR(AV56="",AW56=""),"",IF($F56="Maior Melhor",IF(AW56&gt;=AV56,"Sim","Não"),IF(AW56&lt;=AV56,"Sim","Não")))</f>
        <v>Sim</v>
      </c>
      <c r="AZ56" s="7" t="n">
        <v>507</v>
      </c>
      <c r="BA56" s="7" t="n">
        <v>685</v>
      </c>
      <c r="BB56" s="4" t="n">
        <f aca="false">IF(OR(AZ56="",BA56=""),"",IFERROR(IF($K56="%",BA56-AZ56,BA56/AZ56-1),""))</f>
        <v>0.351084812623274</v>
      </c>
      <c r="BC56" s="5" t="str">
        <f aca="false">IF(OR(AZ56="",BA56=""),"",IF($F56="Maior Melhor",IF(BA56&gt;=AZ56,"Sim","Não"),IF(BA56&lt;=AZ56,"Sim","Não")))</f>
        <v>Sim</v>
      </c>
      <c r="BD56" s="7" t="n">
        <v>88</v>
      </c>
      <c r="BE56" s="7" t="n">
        <v>133</v>
      </c>
      <c r="BF56" s="4" t="n">
        <f aca="false">IF(OR(BD56="",BE56=""),"",IFERROR(IF($K56="%",BE56-BD56,BE56/BD56-1),""))</f>
        <v>0.511363636363637</v>
      </c>
      <c r="BG56" s="5" t="str">
        <f aca="false">IF(OR(BD56="",BE56=""),"",IF($F56="Maior Melhor",IF(BE56&gt;=BD56,"Sim","Não"),IF(BE56&lt;=BD56,"Sim","Não")))</f>
        <v>Sim</v>
      </c>
      <c r="BH56" s="7" t="n">
        <v>595</v>
      </c>
      <c r="BI56" s="7" t="n">
        <v>818</v>
      </c>
      <c r="BJ56" s="4" t="n">
        <f aca="false">IF(OR(BH56="",BI56=""),"",IFERROR(IF($K56="%",BI56-BH56,BI56/BH56-1),""))</f>
        <v>0.374789915966387</v>
      </c>
      <c r="BK56" s="5" t="str">
        <f aca="false">IF(OR(BH56="",BI56=""),"",IF($F56="Maior Melhor",IF(BI56&gt;=BH56,"Sim","Não"),IF(BI56&lt;=BH56,"Sim","Não")))</f>
        <v>Sim</v>
      </c>
      <c r="BL56" s="8"/>
      <c r="BM56" s="8"/>
      <c r="BN56" s="4" t="str">
        <f aca="false">IF(OR(BL56="",BM56=""),"",IFERROR(IF($K56="%",BM56-BL56,BM56/BL56-1),""))</f>
        <v/>
      </c>
      <c r="BO56" s="5" t="str">
        <f aca="false">IF(OR(BL56="",BM56=""),"",IF($F56="Maior Melhor",IF(BM56&gt;=BL56,"Sim","Não"),IF(BM56&lt;=BL56,"Sim","Não")))</f>
        <v/>
      </c>
      <c r="BP56" s="8"/>
      <c r="BQ56" s="8"/>
      <c r="BR56" s="4" t="str">
        <f aca="false">IF(OR(BP56="",BQ56=""),"",IFERROR(IF($K56="%",BQ56-BP56,BQ56/BP56-1),""))</f>
        <v/>
      </c>
      <c r="BS56" s="5" t="str">
        <f aca="false">IF(OR(BP56="",BQ56=""),"",IF($F56="Maior Melhor",IF(BQ56&gt;=BP56,"Sim","Não"),IF(BQ56&lt;=BP56,"Sim","Não")))</f>
        <v/>
      </c>
      <c r="BT56" s="8"/>
      <c r="BU56" s="8"/>
      <c r="BV56" s="4" t="str">
        <f aca="false">IF(OR(BT56="",BU56=""),"",IFERROR(IF($K56="%",BU56-BT56,BU56/BT56-1),""))</f>
        <v/>
      </c>
      <c r="BW56" s="5" t="str">
        <f aca="false">IF(OR(BT56="",BU56=""),"",IF($F56="Maior Melhor",IF(BU56&gt;=BT56,"Sim","Não"),IF(BU56&lt;=BT56,"Sim","Não")))</f>
        <v/>
      </c>
      <c r="BX56" s="8"/>
      <c r="BY56" s="8"/>
      <c r="BZ56" s="4" t="str">
        <f aca="false">IF(OR(BX56="",BY56=""),"",IFERROR(IF($K56="%",BY56-BX56,BY56/BX56-1),""))</f>
        <v/>
      </c>
      <c r="CA56" s="5" t="str">
        <f aca="false">IF(OR(BX56="",BY56=""),"",IF($F56="Maior Melhor",IF(BY56&gt;=BX56,"Sim","Não"),IF(BY56&lt;=BX56,"Sim","Não")))</f>
        <v/>
      </c>
      <c r="CB56" s="8"/>
      <c r="CC56" s="8"/>
      <c r="CD56" s="4" t="str">
        <f aca="false">IF(OR(CB56="",CC56=""),"",IFERROR(IF($K56="%",CC56-CB56,CC56/CB56-1),""))</f>
        <v/>
      </c>
      <c r="CE56" s="5" t="str">
        <f aca="false">IF(OR(CB56="",CC56=""),"",IF($F56="Maior Melhor",IF(CC56&gt;=CB56,"Sim","Não"),IF(CC56&lt;=CB56,"Sim","Não")))</f>
        <v/>
      </c>
      <c r="CF56" s="8"/>
      <c r="CG56" s="8"/>
      <c r="CH56" s="4" t="str">
        <f aca="false">IF(OR(CF56="",CG56=""),"",IFERROR(IF($K56="%",CG56-CF56,CG56/CF56-1),""))</f>
        <v/>
      </c>
      <c r="CI56" s="5" t="str">
        <f aca="false">IF(OR(CF56="",CG56=""),"",IF($F56="Maior Melhor",IF(CG56&gt;=CF56,"Sim","Não"),IF(CG56&lt;=CF56,"Sim","Não")))</f>
        <v/>
      </c>
      <c r="CJ56" s="8"/>
      <c r="CK56" s="8"/>
      <c r="CL56" s="4" t="str">
        <f aca="false">IF(OR(CJ56="",CK56=""),"",IFERROR(IF($K56="%",CK56-CJ56,CK56/CJ56-1),""))</f>
        <v/>
      </c>
      <c r="CM56" s="5" t="str">
        <f aca="false">IF(OR(CJ56="",CK56=""),"",IF($F56="Maior Melhor",IF(CK56&gt;=CJ56,"Sim","Não"),IF(CK56&lt;=CJ56,"Sim","Não")))</f>
        <v/>
      </c>
      <c r="CN56" s="8"/>
      <c r="CO56" s="8"/>
      <c r="CP56" s="4" t="str">
        <f aca="false">IF(OR(CN56="",CO56=""),"",IFERROR(IF($K56="%",CO56-CN56,CO56/CN56-1),""))</f>
        <v/>
      </c>
      <c r="CQ56" s="5" t="str">
        <f aca="false">IF(OR(CN56="",CO56=""),"",IF($F56="Maior Melhor",IF(CO56&gt;=CN56,"Sim","Não"),IF(CO56&lt;=CN56,"Sim","Não")))</f>
        <v/>
      </c>
      <c r="CR56" s="2" t="s">
        <v>105</v>
      </c>
    </row>
    <row r="57" customFormat="false" ht="15" hidden="false" customHeight="false" outlineLevel="0" collapsed="false">
      <c r="A57" s="2" t="s">
        <v>144</v>
      </c>
      <c r="B57" s="2" t="s">
        <v>106</v>
      </c>
      <c r="C57" s="2" t="s">
        <v>107</v>
      </c>
      <c r="D57" s="2" t="s">
        <v>145</v>
      </c>
      <c r="E57" s="2" t="str">
        <f aca="false">C57&amp;D57</f>
        <v>Gerência OesteBlitz da CIPA</v>
      </c>
      <c r="F57" s="2" t="s">
        <v>100</v>
      </c>
      <c r="G57" s="2" t="s">
        <v>146</v>
      </c>
      <c r="H57" s="2" t="s">
        <v>102</v>
      </c>
      <c r="I57" s="2" t="s">
        <v>103</v>
      </c>
      <c r="J57" s="2" t="n">
        <v>2</v>
      </c>
      <c r="K57" s="2" t="s">
        <v>147</v>
      </c>
      <c r="L57" s="7" t="n">
        <v>32</v>
      </c>
      <c r="M57" s="7" t="n">
        <v>44</v>
      </c>
      <c r="N57" s="4" t="n">
        <f aca="false">IF(OR(L57="",M57=""),"",IFERROR(IF($K57="%",M57-L57,M57/L57-1),""))</f>
        <v>0.375</v>
      </c>
      <c r="O57" s="5" t="str">
        <f aca="false">IF(OR(L57="",M57=""),"",IF($F57="Maior Melhor",IF(M57&gt;=L57,"Sim","Não"),IF(M57&lt;=L57,"Sim","Não")))</f>
        <v>Sim</v>
      </c>
      <c r="P57" s="7" t="n">
        <v>32</v>
      </c>
      <c r="Q57" s="7" t="n">
        <v>29</v>
      </c>
      <c r="R57" s="4" t="n">
        <f aca="false">IF(OR(P57="",Q57=""),"",IFERROR(IF($K57="%",Q57-P57,Q57/P57-1),""))</f>
        <v>-0.09375</v>
      </c>
      <c r="S57" s="5" t="str">
        <f aca="false">IF(OR(P57="",Q57=""),"",IF($F57="Maior Melhor",IF(Q57&gt;=P57,"Sim","Não"),IF(Q57&lt;=P57,"Sim","Não")))</f>
        <v>Não</v>
      </c>
      <c r="T57" s="7" t="n">
        <v>80</v>
      </c>
      <c r="U57" s="7" t="n">
        <v>154</v>
      </c>
      <c r="V57" s="4" t="n">
        <f aca="false">IF(OR(T57="",U57=""),"",IFERROR(IF($K57="%",U57-T57,U57/T57-1),""))</f>
        <v>0.925</v>
      </c>
      <c r="W57" s="5" t="str">
        <f aca="false">IF(OR(T57="",U57=""),"",IF($F57="Maior Melhor",IF(U57&gt;=T57,"Sim","Não"),IF(U57&lt;=T57,"Sim","Não")))</f>
        <v>Sim</v>
      </c>
      <c r="X57" s="7" t="n">
        <v>80</v>
      </c>
      <c r="Y57" s="7" t="n">
        <v>145</v>
      </c>
      <c r="Z57" s="4" t="n">
        <f aca="false">IF(OR(X57="",Y57=""),"",IFERROR(IF($K57="%",Y57-X57,Y57/X57-1),""))</f>
        <v>0.8125</v>
      </c>
      <c r="AA57" s="5" t="str">
        <f aca="false">IF(OR(X57="",Y57=""),"",IF($F57="Maior Melhor",IF(Y57&gt;=X57,"Sim","Não"),IF(Y57&lt;=X57,"Sim","Não")))</f>
        <v>Sim</v>
      </c>
      <c r="AB57" s="7" t="n">
        <v>224</v>
      </c>
      <c r="AC57" s="7" t="n">
        <v>372</v>
      </c>
      <c r="AD57" s="4" t="n">
        <f aca="false">IF(OR(AB57="",AC57=""),"",IFERROR(IF($K57="%",AC57-AB57,AC57/AB57-1),""))</f>
        <v>0.660714285714286</v>
      </c>
      <c r="AE57" s="5" t="str">
        <f aca="false">IF(OR(AB57="",AC57=""),"",IF($F57="Maior Melhor",IF(AC57&gt;=AB57,"Sim","Não"),IF(AC57&lt;=AB57,"Sim","Não")))</f>
        <v>Sim</v>
      </c>
      <c r="AF57" s="7" t="n">
        <v>80</v>
      </c>
      <c r="AG57" s="7" t="n">
        <v>141</v>
      </c>
      <c r="AH57" s="4" t="n">
        <f aca="false">IF(OR(AF57="",AG57=""),"",IFERROR(IF($K57="%",AG57-AF57,AG57/AF57-1),""))</f>
        <v>0.7625</v>
      </c>
      <c r="AI57" s="5" t="str">
        <f aca="false">IF(OR(AF57="",AG57=""),"",IF($F57="Maior Melhor",IF(AG57&gt;=AF57,"Sim","Não"),IF(AG57&lt;=AF57,"Sim","Não")))</f>
        <v>Sim</v>
      </c>
      <c r="AJ57" s="7" t="n">
        <v>304</v>
      </c>
      <c r="AK57" s="7" t="n">
        <v>513</v>
      </c>
      <c r="AL57" s="4" t="n">
        <f aca="false">IF(OR(AJ57="",AK57=""),"",IFERROR(IF($K57="%",AK57-AJ57,AK57/AJ57-1),""))</f>
        <v>0.6875</v>
      </c>
      <c r="AM57" s="5" t="str">
        <f aca="false">IF(OR(AJ57="",AK57=""),"",IF($F57="Maior Melhor",IF(AK57&gt;=AJ57,"Sim","Não"),IF(AK57&lt;=AJ57,"Sim","Não")))</f>
        <v>Sim</v>
      </c>
      <c r="AN57" s="7" t="n">
        <v>80</v>
      </c>
      <c r="AO57" s="7" t="n">
        <v>157</v>
      </c>
      <c r="AP57" s="4" t="n">
        <f aca="false">IF(OR(AN57="",AO57=""),"",IFERROR(IF($K57="%",AO57-AN57,AO57/AN57-1),""))</f>
        <v>0.9625</v>
      </c>
      <c r="AQ57" s="5" t="str">
        <f aca="false">IF(OR(AN57="",AO57=""),"",IF($F57="Maior Melhor",IF(AO57&gt;=AN57,"Sim","Não"),IF(AO57&lt;=AN57,"Sim","Não")))</f>
        <v>Sim</v>
      </c>
      <c r="AR57" s="7" t="n">
        <v>384</v>
      </c>
      <c r="AS57" s="7" t="n">
        <v>670</v>
      </c>
      <c r="AT57" s="4" t="n">
        <f aca="false">IF(OR(AR57="",AS57=""),"",IFERROR(IF($K57="%",AS57-AR57,AS57/AR57-1),""))</f>
        <v>0.744791666666667</v>
      </c>
      <c r="AU57" s="5" t="str">
        <f aca="false">IF(OR(AR57="",AS57=""),"",IF($F57="Maior Melhor",IF(AS57&gt;=AR57,"Sim","Não"),IF(AS57&lt;=AR57,"Sim","Não")))</f>
        <v>Sim</v>
      </c>
      <c r="AV57" s="7" t="n">
        <v>80</v>
      </c>
      <c r="AW57" s="7" t="n">
        <v>183</v>
      </c>
      <c r="AX57" s="4" t="n">
        <f aca="false">IF(OR(AV57="",AW57=""),"",IFERROR(IF($K57="%",AW57-AV57,AW57/AV57-1),""))</f>
        <v>1.2875</v>
      </c>
      <c r="AY57" s="5" t="str">
        <f aca="false">IF(OR(AV57="",AW57=""),"",IF($F57="Maior Melhor",IF(AW57&gt;=AV57,"Sim","Não"),IF(AW57&lt;=AV57,"Sim","Não")))</f>
        <v>Sim</v>
      </c>
      <c r="AZ57" s="7" t="n">
        <v>473</v>
      </c>
      <c r="BA57" s="7" t="n">
        <v>853</v>
      </c>
      <c r="BB57" s="4" t="n">
        <f aca="false">IF(OR(AZ57="",BA57=""),"",IFERROR(IF($K57="%",BA57-AZ57,BA57/AZ57-1),""))</f>
        <v>0.80338266384778</v>
      </c>
      <c r="BC57" s="5" t="str">
        <f aca="false">IF(OR(AZ57="",BA57=""),"",IF($F57="Maior Melhor",IF(BA57&gt;=AZ57,"Sim","Não"),IF(BA57&lt;=AZ57,"Sim","Não")))</f>
        <v>Sim</v>
      </c>
      <c r="BD57" s="7" t="n">
        <v>80</v>
      </c>
      <c r="BE57" s="7" t="n">
        <v>132</v>
      </c>
      <c r="BF57" s="4" t="n">
        <f aca="false">IF(OR(BD57="",BE57=""),"",IFERROR(IF($K57="%",BE57-BD57,BE57/BD57-1),""))</f>
        <v>0.65</v>
      </c>
      <c r="BG57" s="5" t="str">
        <f aca="false">IF(OR(BD57="",BE57=""),"",IF($F57="Maior Melhor",IF(BE57&gt;=BD57,"Sim","Não"),IF(BE57&lt;=BD57,"Sim","Não")))</f>
        <v>Sim</v>
      </c>
      <c r="BH57" s="7" t="n">
        <v>553</v>
      </c>
      <c r="BI57" s="7" t="n">
        <v>985</v>
      </c>
      <c r="BJ57" s="4" t="n">
        <f aca="false">IF(OR(BH57="",BI57=""),"",IFERROR(IF($K57="%",BI57-BH57,BI57/BH57-1),""))</f>
        <v>0.78119349005425</v>
      </c>
      <c r="BK57" s="5" t="str">
        <f aca="false">IF(OR(BH57="",BI57=""),"",IF($F57="Maior Melhor",IF(BI57&gt;=BH57,"Sim","Não"),IF(BI57&lt;=BH57,"Sim","Não")))</f>
        <v>Sim</v>
      </c>
      <c r="BL57" s="8"/>
      <c r="BM57" s="8"/>
      <c r="BN57" s="4" t="str">
        <f aca="false">IF(OR(BL57="",BM57=""),"",IFERROR(IF($K57="%",BM57-BL57,BM57/BL57-1),""))</f>
        <v/>
      </c>
      <c r="BO57" s="5" t="str">
        <f aca="false">IF(OR(BL57="",BM57=""),"",IF($F57="Maior Melhor",IF(BM57&gt;=BL57,"Sim","Não"),IF(BM57&lt;=BL57,"Sim","Não")))</f>
        <v/>
      </c>
      <c r="BP57" s="8"/>
      <c r="BQ57" s="8"/>
      <c r="BR57" s="4" t="str">
        <f aca="false">IF(OR(BP57="",BQ57=""),"",IFERROR(IF($K57="%",BQ57-BP57,BQ57/BP57-1),""))</f>
        <v/>
      </c>
      <c r="BS57" s="5" t="str">
        <f aca="false">IF(OR(BP57="",BQ57=""),"",IF($F57="Maior Melhor",IF(BQ57&gt;=BP57,"Sim","Não"),IF(BQ57&lt;=BP57,"Sim","Não")))</f>
        <v/>
      </c>
      <c r="BT57" s="8"/>
      <c r="BU57" s="8"/>
      <c r="BV57" s="4" t="str">
        <f aca="false">IF(OR(BT57="",BU57=""),"",IFERROR(IF($K57="%",BU57-BT57,BU57/BT57-1),""))</f>
        <v/>
      </c>
      <c r="BW57" s="5" t="str">
        <f aca="false">IF(OR(BT57="",BU57=""),"",IF($F57="Maior Melhor",IF(BU57&gt;=BT57,"Sim","Não"),IF(BU57&lt;=BT57,"Sim","Não")))</f>
        <v/>
      </c>
      <c r="BX57" s="8"/>
      <c r="BY57" s="8"/>
      <c r="BZ57" s="4" t="str">
        <f aca="false">IF(OR(BX57="",BY57=""),"",IFERROR(IF($K57="%",BY57-BX57,BY57/BX57-1),""))</f>
        <v/>
      </c>
      <c r="CA57" s="5" t="str">
        <f aca="false">IF(OR(BX57="",BY57=""),"",IF($F57="Maior Melhor",IF(BY57&gt;=BX57,"Sim","Não"),IF(BY57&lt;=BX57,"Sim","Não")))</f>
        <v/>
      </c>
      <c r="CB57" s="8"/>
      <c r="CC57" s="8"/>
      <c r="CD57" s="4" t="str">
        <f aca="false">IF(OR(CB57="",CC57=""),"",IFERROR(IF($K57="%",CC57-CB57,CC57/CB57-1),""))</f>
        <v/>
      </c>
      <c r="CE57" s="5" t="str">
        <f aca="false">IF(OR(CB57="",CC57=""),"",IF($F57="Maior Melhor",IF(CC57&gt;=CB57,"Sim","Não"),IF(CC57&lt;=CB57,"Sim","Não")))</f>
        <v/>
      </c>
      <c r="CF57" s="8"/>
      <c r="CG57" s="8"/>
      <c r="CH57" s="4" t="str">
        <f aca="false">IF(OR(CF57="",CG57=""),"",IFERROR(IF($K57="%",CG57-CF57,CG57/CF57-1),""))</f>
        <v/>
      </c>
      <c r="CI57" s="5" t="str">
        <f aca="false">IF(OR(CF57="",CG57=""),"",IF($F57="Maior Melhor",IF(CG57&gt;=CF57,"Sim","Não"),IF(CG57&lt;=CF57,"Sim","Não")))</f>
        <v/>
      </c>
      <c r="CJ57" s="8"/>
      <c r="CK57" s="8"/>
      <c r="CL57" s="4" t="str">
        <f aca="false">IF(OR(CJ57="",CK57=""),"",IFERROR(IF($K57="%",CK57-CJ57,CK57/CJ57-1),""))</f>
        <v/>
      </c>
      <c r="CM57" s="5" t="str">
        <f aca="false">IF(OR(CJ57="",CK57=""),"",IF($F57="Maior Melhor",IF(CK57&gt;=CJ57,"Sim","Não"),IF(CK57&lt;=CJ57,"Sim","Não")))</f>
        <v/>
      </c>
      <c r="CN57" s="8"/>
      <c r="CO57" s="8"/>
      <c r="CP57" s="4" t="str">
        <f aca="false">IF(OR(CN57="",CO57=""),"",IFERROR(IF($K57="%",CO57-CN57,CO57/CN57-1),""))</f>
        <v/>
      </c>
      <c r="CQ57" s="5" t="str">
        <f aca="false">IF(OR(CN57="",CO57=""),"",IF($F57="Maior Melhor",IF(CO57&gt;=CN57,"Sim","Não"),IF(CO57&lt;=CN57,"Sim","Não")))</f>
        <v/>
      </c>
      <c r="CR57" s="2" t="s">
        <v>105</v>
      </c>
    </row>
    <row r="58" customFormat="false" ht="15" hidden="false" customHeight="false" outlineLevel="0" collapsed="false">
      <c r="A58" s="2" t="s">
        <v>144</v>
      </c>
      <c r="B58" s="2" t="s">
        <v>108</v>
      </c>
      <c r="C58" s="2" t="s">
        <v>109</v>
      </c>
      <c r="D58" s="2" t="s">
        <v>145</v>
      </c>
      <c r="E58" s="2" t="str">
        <f aca="false">C58&amp;D58</f>
        <v>Gerência SudoesteBlitz da CIPA</v>
      </c>
      <c r="F58" s="2" t="s">
        <v>100</v>
      </c>
      <c r="G58" s="2" t="s">
        <v>146</v>
      </c>
      <c r="H58" s="2" t="s">
        <v>102</v>
      </c>
      <c r="I58" s="2" t="s">
        <v>103</v>
      </c>
      <c r="J58" s="2" t="n">
        <v>2</v>
      </c>
      <c r="K58" s="2" t="s">
        <v>147</v>
      </c>
      <c r="L58" s="7" t="n">
        <v>30</v>
      </c>
      <c r="M58" s="7" t="n">
        <v>42</v>
      </c>
      <c r="N58" s="4" t="n">
        <f aca="false">IF(OR(L58="",M58=""),"",IFERROR(IF($K58="%",M58-L58,M58/L58-1),""))</f>
        <v>0.4</v>
      </c>
      <c r="O58" s="5" t="str">
        <f aca="false">IF(OR(L58="",M58=""),"",IF($F58="Maior Melhor",IF(M58&gt;=L58,"Sim","Não"),IF(M58&lt;=L58,"Sim","Não")))</f>
        <v>Sim</v>
      </c>
      <c r="P58" s="7" t="n">
        <v>30</v>
      </c>
      <c r="Q58" s="7" t="n">
        <v>26</v>
      </c>
      <c r="R58" s="4" t="n">
        <f aca="false">IF(OR(P58="",Q58=""),"",IFERROR(IF($K58="%",Q58-P58,Q58/P58-1),""))</f>
        <v>-0.133333333333333</v>
      </c>
      <c r="S58" s="5" t="str">
        <f aca="false">IF(OR(P58="",Q58=""),"",IF($F58="Maior Melhor",IF(Q58&gt;=P58,"Sim","Não"),IF(Q58&lt;=P58,"Sim","Não")))</f>
        <v>Não</v>
      </c>
      <c r="T58" s="7" t="n">
        <v>88</v>
      </c>
      <c r="U58" s="7" t="n">
        <v>162</v>
      </c>
      <c r="V58" s="4" t="n">
        <f aca="false">IF(OR(T58="",U58=""),"",IFERROR(IF($K58="%",U58-T58,U58/T58-1),""))</f>
        <v>0.840909090909091</v>
      </c>
      <c r="W58" s="5" t="str">
        <f aca="false">IF(OR(T58="",U58=""),"",IF($F58="Maior Melhor",IF(U58&gt;=T58,"Sim","Não"),IF(U58&lt;=T58,"Sim","Não")))</f>
        <v>Sim</v>
      </c>
      <c r="X58" s="7" t="n">
        <v>88</v>
      </c>
      <c r="Y58" s="7" t="n">
        <v>144</v>
      </c>
      <c r="Z58" s="4" t="n">
        <f aca="false">IF(OR(X58="",Y58=""),"",IFERROR(IF($K58="%",Y58-X58,Y58/X58-1),""))</f>
        <v>0.636363636363637</v>
      </c>
      <c r="AA58" s="5" t="str">
        <f aca="false">IF(OR(X58="",Y58=""),"",IF($F58="Maior Melhor",IF(Y58&gt;=X58,"Sim","Não"),IF(Y58&lt;=X58,"Sim","Não")))</f>
        <v>Sim</v>
      </c>
      <c r="AB58" s="7" t="n">
        <v>236</v>
      </c>
      <c r="AC58" s="7" t="n">
        <v>374</v>
      </c>
      <c r="AD58" s="4" t="n">
        <f aca="false">IF(OR(AB58="",AC58=""),"",IFERROR(IF($K58="%",AC58-AB58,AC58/AB58-1),""))</f>
        <v>0.584745762711864</v>
      </c>
      <c r="AE58" s="5" t="str">
        <f aca="false">IF(OR(AB58="",AC58=""),"",IF($F58="Maior Melhor",IF(AC58&gt;=AB58,"Sim","Não"),IF(AC58&lt;=AB58,"Sim","Não")))</f>
        <v>Sim</v>
      </c>
      <c r="AF58" s="7" t="n">
        <v>88</v>
      </c>
      <c r="AG58" s="7" t="n">
        <v>128</v>
      </c>
      <c r="AH58" s="4" t="n">
        <f aca="false">IF(OR(AF58="",AG58=""),"",IFERROR(IF($K58="%",AG58-AF58,AG58/AF58-1),""))</f>
        <v>0.454545454545455</v>
      </c>
      <c r="AI58" s="5" t="str">
        <f aca="false">IF(OR(AF58="",AG58=""),"",IF($F58="Maior Melhor",IF(AG58&gt;=AF58,"Sim","Não"),IF(AG58&lt;=AF58,"Sim","Não")))</f>
        <v>Sim</v>
      </c>
      <c r="AJ58" s="7" t="n">
        <v>324</v>
      </c>
      <c r="AK58" s="7" t="n">
        <v>502</v>
      </c>
      <c r="AL58" s="4" t="n">
        <f aca="false">IF(OR(AJ58="",AK58=""),"",IFERROR(IF($K58="%",AK58-AJ58,AK58/AJ58-1),""))</f>
        <v>0.549382716049383</v>
      </c>
      <c r="AM58" s="5" t="str">
        <f aca="false">IF(OR(AJ58="",AK58=""),"",IF($F58="Maior Melhor",IF(AK58&gt;=AJ58,"Sim","Não"),IF(AK58&lt;=AJ58,"Sim","Não")))</f>
        <v>Sim</v>
      </c>
      <c r="AN58" s="7" t="n">
        <v>88</v>
      </c>
      <c r="AO58" s="7" t="n">
        <v>130</v>
      </c>
      <c r="AP58" s="4" t="n">
        <f aca="false">IF(OR(AN58="",AO58=""),"",IFERROR(IF($K58="%",AO58-AN58,AO58/AN58-1),""))</f>
        <v>0.477272727272727</v>
      </c>
      <c r="AQ58" s="5" t="str">
        <f aca="false">IF(OR(AN58="",AO58=""),"",IF($F58="Maior Melhor",IF(AO58&gt;=AN58,"Sim","Não"),IF(AO58&lt;=AN58,"Sim","Não")))</f>
        <v>Sim</v>
      </c>
      <c r="AR58" s="7" t="n">
        <v>412</v>
      </c>
      <c r="AS58" s="7" t="n">
        <v>632</v>
      </c>
      <c r="AT58" s="4" t="n">
        <f aca="false">IF(OR(AR58="",AS58=""),"",IFERROR(IF($K58="%",AS58-AR58,AS58/AR58-1),""))</f>
        <v>0.533980582524272</v>
      </c>
      <c r="AU58" s="5" t="str">
        <f aca="false">IF(OR(AR58="",AS58=""),"",IF($F58="Maior Melhor",IF(AS58&gt;=AR58,"Sim","Não"),IF(AS58&lt;=AR58,"Sim","Não")))</f>
        <v>Sim</v>
      </c>
      <c r="AV58" s="7" t="n">
        <v>88</v>
      </c>
      <c r="AW58" s="7" t="n">
        <v>155</v>
      </c>
      <c r="AX58" s="4" t="n">
        <f aca="false">IF(OR(AV58="",AW58=""),"",IFERROR(IF($K58="%",AW58-AV58,AW58/AV58-1),""))</f>
        <v>0.761363636363637</v>
      </c>
      <c r="AY58" s="5" t="str">
        <f aca="false">IF(OR(AV58="",AW58=""),"",IF($F58="Maior Melhor",IF(AW58&gt;=AV58,"Sim","Não"),IF(AW58&lt;=AV58,"Sim","Não")))</f>
        <v>Sim</v>
      </c>
      <c r="AZ58" s="7" t="n">
        <v>508</v>
      </c>
      <c r="BA58" s="7" t="n">
        <v>787</v>
      </c>
      <c r="BB58" s="4" t="n">
        <f aca="false">IF(OR(AZ58="",BA58=""),"",IFERROR(IF($K58="%",BA58-AZ58,BA58/AZ58-1),""))</f>
        <v>0.549212598425197</v>
      </c>
      <c r="BC58" s="5" t="str">
        <f aca="false">IF(OR(AZ58="",BA58=""),"",IF($F58="Maior Melhor",IF(BA58&gt;=AZ58,"Sim","Não"),IF(BA58&lt;=AZ58,"Sim","Não")))</f>
        <v>Sim</v>
      </c>
      <c r="BD58" s="7" t="n">
        <v>88</v>
      </c>
      <c r="BE58" s="7" t="n">
        <v>120</v>
      </c>
      <c r="BF58" s="4" t="n">
        <f aca="false">IF(OR(BD58="",BE58=""),"",IFERROR(IF($K58="%",BE58-BD58,BE58/BD58-1),""))</f>
        <v>0.363636363636364</v>
      </c>
      <c r="BG58" s="5" t="str">
        <f aca="false">IF(OR(BD58="",BE58=""),"",IF($F58="Maior Melhor",IF(BE58&gt;=BD58,"Sim","Não"),IF(BE58&lt;=BD58,"Sim","Não")))</f>
        <v>Sim</v>
      </c>
      <c r="BH58" s="7" t="n">
        <v>596</v>
      </c>
      <c r="BI58" s="7" t="n">
        <v>907</v>
      </c>
      <c r="BJ58" s="4" t="n">
        <f aca="false">IF(OR(BH58="",BI58=""),"",IFERROR(IF($K58="%",BI58-BH58,BI58/BH58-1),""))</f>
        <v>0.521812080536913</v>
      </c>
      <c r="BK58" s="5" t="str">
        <f aca="false">IF(OR(BH58="",BI58=""),"",IF($F58="Maior Melhor",IF(BI58&gt;=BH58,"Sim","Não"),IF(BI58&lt;=BH58,"Sim","Não")))</f>
        <v>Sim</v>
      </c>
      <c r="BL58" s="8"/>
      <c r="BM58" s="8"/>
      <c r="BN58" s="4" t="str">
        <f aca="false">IF(OR(BL58="",BM58=""),"",IFERROR(IF($K58="%",BM58-BL58,BM58/BL58-1),""))</f>
        <v/>
      </c>
      <c r="BO58" s="5" t="str">
        <f aca="false">IF(OR(BL58="",BM58=""),"",IF($F58="Maior Melhor",IF(BM58&gt;=BL58,"Sim","Não"),IF(BM58&lt;=BL58,"Sim","Não")))</f>
        <v/>
      </c>
      <c r="BP58" s="8"/>
      <c r="BQ58" s="8"/>
      <c r="BR58" s="4" t="str">
        <f aca="false">IF(OR(BP58="",BQ58=""),"",IFERROR(IF($K58="%",BQ58-BP58,BQ58/BP58-1),""))</f>
        <v/>
      </c>
      <c r="BS58" s="5" t="str">
        <f aca="false">IF(OR(BP58="",BQ58=""),"",IF($F58="Maior Melhor",IF(BQ58&gt;=BP58,"Sim","Não"),IF(BQ58&lt;=BP58,"Sim","Não")))</f>
        <v/>
      </c>
      <c r="BT58" s="8"/>
      <c r="BU58" s="8"/>
      <c r="BV58" s="4" t="str">
        <f aca="false">IF(OR(BT58="",BU58=""),"",IFERROR(IF($K58="%",BU58-BT58,BU58/BT58-1),""))</f>
        <v/>
      </c>
      <c r="BW58" s="5" t="str">
        <f aca="false">IF(OR(BT58="",BU58=""),"",IF($F58="Maior Melhor",IF(BU58&gt;=BT58,"Sim","Não"),IF(BU58&lt;=BT58,"Sim","Não")))</f>
        <v/>
      </c>
      <c r="BX58" s="8"/>
      <c r="BY58" s="8"/>
      <c r="BZ58" s="4" t="str">
        <f aca="false">IF(OR(BX58="",BY58=""),"",IFERROR(IF($K58="%",BY58-BX58,BY58/BX58-1),""))</f>
        <v/>
      </c>
      <c r="CA58" s="5" t="str">
        <f aca="false">IF(OR(BX58="",BY58=""),"",IF($F58="Maior Melhor",IF(BY58&gt;=BX58,"Sim","Não"),IF(BY58&lt;=BX58,"Sim","Não")))</f>
        <v/>
      </c>
      <c r="CB58" s="8"/>
      <c r="CC58" s="8"/>
      <c r="CD58" s="4" t="str">
        <f aca="false">IF(OR(CB58="",CC58=""),"",IFERROR(IF($K58="%",CC58-CB58,CC58/CB58-1),""))</f>
        <v/>
      </c>
      <c r="CE58" s="5" t="str">
        <f aca="false">IF(OR(CB58="",CC58=""),"",IF($F58="Maior Melhor",IF(CC58&gt;=CB58,"Sim","Não"),IF(CC58&lt;=CB58,"Sim","Não")))</f>
        <v/>
      </c>
      <c r="CF58" s="8"/>
      <c r="CG58" s="8"/>
      <c r="CH58" s="4" t="str">
        <f aca="false">IF(OR(CF58="",CG58=""),"",IFERROR(IF($K58="%",CG58-CF58,CG58/CF58-1),""))</f>
        <v/>
      </c>
      <c r="CI58" s="5" t="str">
        <f aca="false">IF(OR(CF58="",CG58=""),"",IF($F58="Maior Melhor",IF(CG58&gt;=CF58,"Sim","Não"),IF(CG58&lt;=CF58,"Sim","Não")))</f>
        <v/>
      </c>
      <c r="CJ58" s="8"/>
      <c r="CK58" s="8"/>
      <c r="CL58" s="4" t="str">
        <f aca="false">IF(OR(CJ58="",CK58=""),"",IFERROR(IF($K58="%",CK58-CJ58,CK58/CJ58-1),""))</f>
        <v/>
      </c>
      <c r="CM58" s="5" t="str">
        <f aca="false">IF(OR(CJ58="",CK58=""),"",IF($F58="Maior Melhor",IF(CK58&gt;=CJ58,"Sim","Não"),IF(CK58&lt;=CJ58,"Sim","Não")))</f>
        <v/>
      </c>
      <c r="CN58" s="8"/>
      <c r="CO58" s="8"/>
      <c r="CP58" s="4" t="str">
        <f aca="false">IF(OR(CN58="",CO58=""),"",IFERROR(IF($K58="%",CO58-CN58,CO58/CN58-1),""))</f>
        <v/>
      </c>
      <c r="CQ58" s="5" t="str">
        <f aca="false">IF(OR(CN58="",CO58=""),"",IF($F58="Maior Melhor",IF(CO58&gt;=CN58,"Sim","Não"),IF(CO58&lt;=CN58,"Sim","Não")))</f>
        <v/>
      </c>
      <c r="CR58" s="2" t="s">
        <v>105</v>
      </c>
    </row>
    <row r="59" customFormat="false" ht="15" hidden="false" customHeight="false" outlineLevel="0" collapsed="false">
      <c r="A59" s="2" t="s">
        <v>144</v>
      </c>
      <c r="B59" s="2" t="s">
        <v>110</v>
      </c>
      <c r="C59" s="2" t="s">
        <v>110</v>
      </c>
      <c r="D59" s="2" t="s">
        <v>145</v>
      </c>
      <c r="E59" s="2" t="str">
        <f aca="false">C59&amp;D59</f>
        <v>Sup OesteBlitz da CIPA</v>
      </c>
      <c r="F59" s="2" t="s">
        <v>100</v>
      </c>
      <c r="G59" s="2" t="s">
        <v>146</v>
      </c>
      <c r="H59" s="2" t="s">
        <v>102</v>
      </c>
      <c r="I59" s="2" t="s">
        <v>103</v>
      </c>
      <c r="J59" s="2" t="n">
        <v>2</v>
      </c>
      <c r="K59" s="2" t="s">
        <v>147</v>
      </c>
      <c r="L59" s="7" t="n">
        <v>88</v>
      </c>
      <c r="M59" s="7" t="n">
        <v>120</v>
      </c>
      <c r="N59" s="4" t="n">
        <f aca="false">IF(OR(L59="",M59=""),"",IFERROR(IF($K59="%",M59-L59,M59/L59-1),""))</f>
        <v>0.363636363636364</v>
      </c>
      <c r="O59" s="5" t="str">
        <f aca="false">IF(OR(L59="",M59=""),"",IF($F59="Maior Melhor",IF(M59&gt;=L59,"Sim","Não"),IF(M59&lt;=L59,"Sim","Não")))</f>
        <v>Sim</v>
      </c>
      <c r="P59" s="7" t="n">
        <v>88</v>
      </c>
      <c r="Q59" s="7" t="n">
        <v>88</v>
      </c>
      <c r="R59" s="4" t="n">
        <f aca="false">IF(OR(P59="",Q59=""),"",IFERROR(IF($K59="%",Q59-P59,Q59/P59-1),""))</f>
        <v>0</v>
      </c>
      <c r="S59" s="5" t="str">
        <f aca="false">IF(OR(P59="",Q59=""),"",IF($F59="Maior Melhor",IF(Q59&gt;=P59,"Sim","Não"),IF(Q59&lt;=P59,"Sim","Não")))</f>
        <v>Sim</v>
      </c>
      <c r="T59" s="7" t="n">
        <v>256</v>
      </c>
      <c r="U59" s="7" t="n">
        <v>432</v>
      </c>
      <c r="V59" s="4" t="n">
        <f aca="false">IF(OR(T59="",U59=""),"",IFERROR(IF($K59="%",U59-T59,U59/T59-1),""))</f>
        <v>0.6875</v>
      </c>
      <c r="W59" s="5" t="str">
        <f aca="false">IF(OR(T59="",U59=""),"",IF($F59="Maior Melhor",IF(U59&gt;=T59,"Sim","Não"),IF(U59&lt;=T59,"Sim","Não")))</f>
        <v>Sim</v>
      </c>
      <c r="X59" s="7" t="n">
        <v>256</v>
      </c>
      <c r="Y59" s="7" t="n">
        <v>440</v>
      </c>
      <c r="Z59" s="4" t="n">
        <f aca="false">IF(OR(X59="",Y59=""),"",IFERROR(IF($K59="%",Y59-X59,Y59/X59-1),""))</f>
        <v>0.71875</v>
      </c>
      <c r="AA59" s="5" t="str">
        <f aca="false">IF(OR(X59="",Y59=""),"",IF($F59="Maior Melhor",IF(Y59&gt;=X59,"Sim","Não"),IF(Y59&lt;=X59,"Sim","Não")))</f>
        <v>Sim</v>
      </c>
      <c r="AB59" s="7" t="n">
        <v>688</v>
      </c>
      <c r="AC59" s="7" t="n">
        <v>1080</v>
      </c>
      <c r="AD59" s="4" t="n">
        <f aca="false">IF(OR(AB59="",AC59=""),"",IFERROR(IF($K59="%",AC59-AB59,AC59/AB59-1),""))</f>
        <v>0.569767441860465</v>
      </c>
      <c r="AE59" s="5" t="str">
        <f aca="false">IF(OR(AB59="",AC59=""),"",IF($F59="Maior Melhor",IF(AC59&gt;=AB59,"Sim","Não"),IF(AC59&lt;=AB59,"Sim","Não")))</f>
        <v>Sim</v>
      </c>
      <c r="AF59" s="7" t="n">
        <v>256</v>
      </c>
      <c r="AG59" s="7" t="n">
        <v>355</v>
      </c>
      <c r="AH59" s="4" t="n">
        <f aca="false">IF(OR(AF59="",AG59=""),"",IFERROR(IF($K59="%",AG59-AF59,AG59/AF59-1),""))</f>
        <v>0.38671875</v>
      </c>
      <c r="AI59" s="5" t="str">
        <f aca="false">IF(OR(AF59="",AG59=""),"",IF($F59="Maior Melhor",IF(AG59&gt;=AF59,"Sim","Não"),IF(AG59&lt;=AF59,"Sim","Não")))</f>
        <v>Sim</v>
      </c>
      <c r="AJ59" s="7" t="n">
        <v>944</v>
      </c>
      <c r="AK59" s="7" t="n">
        <v>1435</v>
      </c>
      <c r="AL59" s="4" t="n">
        <f aca="false">IF(OR(AJ59="",AK59=""),"",IFERROR(IF($K59="%",AK59-AJ59,AK59/AJ59-1),""))</f>
        <v>0.520127118644068</v>
      </c>
      <c r="AM59" s="5" t="str">
        <f aca="false">IF(OR(AJ59="",AK59=""),"",IF($F59="Maior Melhor",IF(AK59&gt;=AJ59,"Sim","Não"),IF(AK59&lt;=AJ59,"Sim","Não")))</f>
        <v>Sim</v>
      </c>
      <c r="AN59" s="7" t="n">
        <v>256</v>
      </c>
      <c r="AO59" s="7" t="n">
        <v>406</v>
      </c>
      <c r="AP59" s="4" t="n">
        <f aca="false">IF(OR(AN59="",AO59=""),"",IFERROR(IF($K59="%",AO59-AN59,AO59/AN59-1),""))</f>
        <v>0.5859375</v>
      </c>
      <c r="AQ59" s="5" t="str">
        <f aca="false">IF(OR(AN59="",AO59=""),"",IF($F59="Maior Melhor",IF(AO59&gt;=AN59,"Sim","Não"),IF(AO59&lt;=AN59,"Sim","Não")))</f>
        <v>Sim</v>
      </c>
      <c r="AR59" s="7" t="n">
        <v>1200</v>
      </c>
      <c r="AS59" s="7" t="n">
        <v>1860</v>
      </c>
      <c r="AT59" s="4" t="n">
        <f aca="false">IF(OR(AR59="",AS59=""),"",IFERROR(IF($K59="%",AS59-AR59,AS59/AR59-1),""))</f>
        <v>0.55</v>
      </c>
      <c r="AU59" s="5" t="str">
        <f aca="false">IF(OR(AR59="",AS59=""),"",IF($F59="Maior Melhor",IF(AS59&gt;=AR59,"Sim","Não"),IF(AS59&lt;=AR59,"Sim","Não")))</f>
        <v>Sim</v>
      </c>
      <c r="AV59" s="7" t="n">
        <v>256</v>
      </c>
      <c r="AW59" s="7" t="n">
        <v>465</v>
      </c>
      <c r="AX59" s="4" t="n">
        <f aca="false">IF(OR(AV59="",AW59=""),"",IFERROR(IF($K59="%",AW59-AV59,AW59/AV59-1),""))</f>
        <v>0.81640625</v>
      </c>
      <c r="AY59" s="5" t="str">
        <f aca="false">IF(OR(AV59="",AW59=""),"",IF($F59="Maior Melhor",IF(AW59&gt;=AV59,"Sim","Não"),IF(AW59&lt;=AV59,"Sim","Não")))</f>
        <v>Sim</v>
      </c>
      <c r="AZ59" s="7" t="n">
        <v>1488</v>
      </c>
      <c r="BA59" s="7" t="n">
        <v>2325</v>
      </c>
      <c r="BB59" s="4" t="n">
        <f aca="false">IF(OR(AZ59="",BA59=""),"",IFERROR(IF($K59="%",BA59-AZ59,BA59/AZ59-1),""))</f>
        <v>0.5625</v>
      </c>
      <c r="BC59" s="5" t="str">
        <f aca="false">IF(OR(AZ59="",BA59=""),"",IF($F59="Maior Melhor",IF(BA59&gt;=AZ59,"Sim","Não"),IF(BA59&lt;=AZ59,"Sim","Não")))</f>
        <v>Sim</v>
      </c>
      <c r="BD59" s="7" t="n">
        <v>256</v>
      </c>
      <c r="BE59" s="7" t="n">
        <v>385</v>
      </c>
      <c r="BF59" s="4" t="n">
        <f aca="false">IF(OR(BD59="",BE59=""),"",IFERROR(IF($K59="%",BE59-BD59,BE59/BD59-1),""))</f>
        <v>0.50390625</v>
      </c>
      <c r="BG59" s="5" t="str">
        <f aca="false">IF(OR(BD59="",BE59=""),"",IF($F59="Maior Melhor",IF(BE59&gt;=BD59,"Sim","Não"),IF(BE59&lt;=BD59,"Sim","Não")))</f>
        <v>Sim</v>
      </c>
      <c r="BH59" s="7" t="n">
        <v>1744</v>
      </c>
      <c r="BI59" s="7" t="n">
        <v>2710</v>
      </c>
      <c r="BJ59" s="4" t="n">
        <f aca="false">IF(OR(BH59="",BI59=""),"",IFERROR(IF($K59="%",BI59-BH59,BI59/BH59-1),""))</f>
        <v>0.553899082568807</v>
      </c>
      <c r="BK59" s="5" t="str">
        <f aca="false">IF(OR(BH59="",BI59=""),"",IF($F59="Maior Melhor",IF(BI59&gt;=BH59,"Sim","Não"),IF(BI59&lt;=BH59,"Sim","Não")))</f>
        <v>Sim</v>
      </c>
      <c r="BL59" s="8"/>
      <c r="BM59" s="8"/>
      <c r="BN59" s="4" t="str">
        <f aca="false">IF(OR(BL59="",BM59=""),"",IFERROR(IF($K59="%",BM59-BL59,BM59/BL59-1),""))</f>
        <v/>
      </c>
      <c r="BO59" s="5" t="str">
        <f aca="false">IF(OR(BL59="",BM59=""),"",IF($F59="Maior Melhor",IF(BM59&gt;=BL59,"Sim","Não"),IF(BM59&lt;=BL59,"Sim","Não")))</f>
        <v/>
      </c>
      <c r="BP59" s="8"/>
      <c r="BQ59" s="8"/>
      <c r="BR59" s="4" t="str">
        <f aca="false">IF(OR(BP59="",BQ59=""),"",IFERROR(IF($K59="%",BQ59-BP59,BQ59/BP59-1),""))</f>
        <v/>
      </c>
      <c r="BS59" s="5" t="str">
        <f aca="false">IF(OR(BP59="",BQ59=""),"",IF($F59="Maior Melhor",IF(BQ59&gt;=BP59,"Sim","Não"),IF(BQ59&lt;=BP59,"Sim","Não")))</f>
        <v/>
      </c>
      <c r="BT59" s="8"/>
      <c r="BU59" s="8"/>
      <c r="BV59" s="4" t="str">
        <f aca="false">IF(OR(BT59="",BU59=""),"",IFERROR(IF($K59="%",BU59-BT59,BU59/BT59-1),""))</f>
        <v/>
      </c>
      <c r="BW59" s="5" t="str">
        <f aca="false">IF(OR(BT59="",BU59=""),"",IF($F59="Maior Melhor",IF(BU59&gt;=BT59,"Sim","Não"),IF(BU59&lt;=BT59,"Sim","Não")))</f>
        <v/>
      </c>
      <c r="BX59" s="8"/>
      <c r="BY59" s="8"/>
      <c r="BZ59" s="4" t="str">
        <f aca="false">IF(OR(BX59="",BY59=""),"",IFERROR(IF($K59="%",BY59-BX59,BY59/BX59-1),""))</f>
        <v/>
      </c>
      <c r="CA59" s="5" t="str">
        <f aca="false">IF(OR(BX59="",BY59=""),"",IF($F59="Maior Melhor",IF(BY59&gt;=BX59,"Sim","Não"),IF(BY59&lt;=BX59,"Sim","Não")))</f>
        <v/>
      </c>
      <c r="CB59" s="8"/>
      <c r="CC59" s="8"/>
      <c r="CD59" s="4" t="str">
        <f aca="false">IF(OR(CB59="",CC59=""),"",IFERROR(IF($K59="%",CC59-CB59,CC59/CB59-1),""))</f>
        <v/>
      </c>
      <c r="CE59" s="5" t="str">
        <f aca="false">IF(OR(CB59="",CC59=""),"",IF($F59="Maior Melhor",IF(CC59&gt;=CB59,"Sim","Não"),IF(CC59&lt;=CB59,"Sim","Não")))</f>
        <v/>
      </c>
      <c r="CF59" s="8"/>
      <c r="CG59" s="8"/>
      <c r="CH59" s="4" t="str">
        <f aca="false">IF(OR(CF59="",CG59=""),"",IFERROR(IF($K59="%",CG59-CF59,CG59/CF59-1),""))</f>
        <v/>
      </c>
      <c r="CI59" s="5" t="str">
        <f aca="false">IF(OR(CF59="",CG59=""),"",IF($F59="Maior Melhor",IF(CG59&gt;=CF59,"Sim","Não"),IF(CG59&lt;=CF59,"Sim","Não")))</f>
        <v/>
      </c>
      <c r="CJ59" s="8"/>
      <c r="CK59" s="8"/>
      <c r="CL59" s="4" t="str">
        <f aca="false">IF(OR(CJ59="",CK59=""),"",IFERROR(IF($K59="%",CK59-CJ59,CK59/CJ59-1),""))</f>
        <v/>
      </c>
      <c r="CM59" s="5" t="str">
        <f aca="false">IF(OR(CJ59="",CK59=""),"",IF($F59="Maior Melhor",IF(CK59&gt;=CJ59,"Sim","Não"),IF(CK59&lt;=CJ59,"Sim","Não")))</f>
        <v/>
      </c>
      <c r="CN59" s="8"/>
      <c r="CO59" s="8"/>
      <c r="CP59" s="4" t="str">
        <f aca="false">IF(OR(CN59="",CO59=""),"",IFERROR(IF($K59="%",CO59-CN59,CO59/CN59-1),""))</f>
        <v/>
      </c>
      <c r="CQ59" s="5" t="str">
        <f aca="false">IF(OR(CN59="",CO59=""),"",IF($F59="Maior Melhor",IF(CO59&gt;=CN59,"Sim","Não"),IF(CO59&lt;=CN59,"Sim","Não")))</f>
        <v/>
      </c>
      <c r="CR59" s="2" t="s">
        <v>105</v>
      </c>
    </row>
    <row r="60" customFormat="false" ht="15" hidden="false" customHeight="false" outlineLevel="0" collapsed="false">
      <c r="A60" s="2" t="s">
        <v>144</v>
      </c>
      <c r="B60" s="2" t="s">
        <v>106</v>
      </c>
      <c r="C60" s="2" t="s">
        <v>111</v>
      </c>
      <c r="D60" s="2" t="s">
        <v>145</v>
      </c>
      <c r="E60" s="2" t="str">
        <f aca="false">C60&amp;D60</f>
        <v>UTD BARREIRASBlitz da CIPA</v>
      </c>
      <c r="F60" s="2" t="s">
        <v>100</v>
      </c>
      <c r="G60" s="2" t="s">
        <v>146</v>
      </c>
      <c r="H60" s="2" t="s">
        <v>102</v>
      </c>
      <c r="I60" s="2" t="s">
        <v>103</v>
      </c>
      <c r="J60" s="2" t="n">
        <v>2</v>
      </c>
      <c r="K60" s="2" t="s">
        <v>147</v>
      </c>
      <c r="L60" s="7" t="n">
        <v>10</v>
      </c>
      <c r="M60" s="7" t="n">
        <v>13</v>
      </c>
      <c r="N60" s="4" t="n">
        <f aca="false">IF(OR(L60="",M60=""),"",IFERROR(IF($K60="%",M60-L60,M60/L60-1),""))</f>
        <v>0.3</v>
      </c>
      <c r="O60" s="5" t="str">
        <f aca="false">IF(OR(L60="",M60=""),"",IF($F60="Maior Melhor",IF(M60&gt;=L60,"Sim","Não"),IF(M60&lt;=L60,"Sim","Não")))</f>
        <v>Sim</v>
      </c>
      <c r="P60" s="7" t="n">
        <v>10</v>
      </c>
      <c r="Q60" s="7" t="n">
        <v>12</v>
      </c>
      <c r="R60" s="4" t="n">
        <f aca="false">IF(OR(P60="",Q60=""),"",IFERROR(IF($K60="%",Q60-P60,Q60/P60-1),""))</f>
        <v>0.2</v>
      </c>
      <c r="S60" s="5" t="str">
        <f aca="false">IF(OR(P60="",Q60=""),"",IF($F60="Maior Melhor",IF(Q60&gt;=P60,"Sim","Não"),IF(Q60&lt;=P60,"Sim","Não")))</f>
        <v>Sim</v>
      </c>
      <c r="T60" s="7" t="n">
        <v>24</v>
      </c>
      <c r="U60" s="7" t="n">
        <v>41</v>
      </c>
      <c r="V60" s="4" t="n">
        <f aca="false">IF(OR(T60="",U60=""),"",IFERROR(IF($K60="%",U60-T60,U60/T60-1),""))</f>
        <v>0.708333333333333</v>
      </c>
      <c r="W60" s="5" t="str">
        <f aca="false">IF(OR(T60="",U60=""),"",IF($F60="Maior Melhor",IF(U60&gt;=T60,"Sim","Não"),IF(U60&lt;=T60,"Sim","Não")))</f>
        <v>Sim</v>
      </c>
      <c r="X60" s="7" t="n">
        <v>24</v>
      </c>
      <c r="Y60" s="7" t="n">
        <v>44</v>
      </c>
      <c r="Z60" s="4" t="n">
        <f aca="false">IF(OR(X60="",Y60=""),"",IFERROR(IF($K60="%",Y60-X60,Y60/X60-1),""))</f>
        <v>0.833333333333333</v>
      </c>
      <c r="AA60" s="5" t="str">
        <f aca="false">IF(OR(X60="",Y60=""),"",IF($F60="Maior Melhor",IF(Y60&gt;=X60,"Sim","Não"),IF(Y60&lt;=X60,"Sim","Não")))</f>
        <v>Sim</v>
      </c>
      <c r="AB60" s="7" t="n">
        <v>68</v>
      </c>
      <c r="AC60" s="7" t="n">
        <v>110</v>
      </c>
      <c r="AD60" s="4" t="n">
        <f aca="false">IF(OR(AB60="",AC60=""),"",IFERROR(IF($K60="%",AC60-AB60,AC60/AB60-1),""))</f>
        <v>0.617647058823529</v>
      </c>
      <c r="AE60" s="5" t="str">
        <f aca="false">IF(OR(AB60="",AC60=""),"",IF($F60="Maior Melhor",IF(AC60&gt;=AB60,"Sim","Não"),IF(AC60&lt;=AB60,"Sim","Não")))</f>
        <v>Sim</v>
      </c>
      <c r="AF60" s="7" t="n">
        <v>24</v>
      </c>
      <c r="AG60" s="7" t="n">
        <v>40</v>
      </c>
      <c r="AH60" s="4" t="n">
        <f aca="false">IF(OR(AF60="",AG60=""),"",IFERROR(IF($K60="%",AG60-AF60,AG60/AF60-1),""))</f>
        <v>0.666666666666667</v>
      </c>
      <c r="AI60" s="5" t="str">
        <f aca="false">IF(OR(AF60="",AG60=""),"",IF($F60="Maior Melhor",IF(AG60&gt;=AF60,"Sim","Não"),IF(AG60&lt;=AF60,"Sim","Não")))</f>
        <v>Sim</v>
      </c>
      <c r="AJ60" s="7" t="n">
        <v>92</v>
      </c>
      <c r="AK60" s="7" t="n">
        <v>150</v>
      </c>
      <c r="AL60" s="4" t="n">
        <f aca="false">IF(OR(AJ60="",AK60=""),"",IFERROR(IF($K60="%",AK60-AJ60,AK60/AJ60-1),""))</f>
        <v>0.630434782608696</v>
      </c>
      <c r="AM60" s="5" t="str">
        <f aca="false">IF(OR(AJ60="",AK60=""),"",IF($F60="Maior Melhor",IF(AK60&gt;=AJ60,"Sim","Não"),IF(AK60&lt;=AJ60,"Sim","Não")))</f>
        <v>Sim</v>
      </c>
      <c r="AN60" s="7" t="n">
        <v>24</v>
      </c>
      <c r="AO60" s="7" t="n">
        <v>48</v>
      </c>
      <c r="AP60" s="4" t="n">
        <f aca="false">IF(OR(AN60="",AO60=""),"",IFERROR(IF($K60="%",AO60-AN60,AO60/AN60-1),""))</f>
        <v>1</v>
      </c>
      <c r="AQ60" s="5" t="str">
        <f aca="false">IF(OR(AN60="",AO60=""),"",IF($F60="Maior Melhor",IF(AO60&gt;=AN60,"Sim","Não"),IF(AO60&lt;=AN60,"Sim","Não")))</f>
        <v>Sim</v>
      </c>
      <c r="AR60" s="7" t="n">
        <v>116</v>
      </c>
      <c r="AS60" s="7" t="n">
        <v>198</v>
      </c>
      <c r="AT60" s="4" t="n">
        <f aca="false">IF(OR(AR60="",AS60=""),"",IFERROR(IF($K60="%",AS60-AR60,AS60/AR60-1),""))</f>
        <v>0.706896551724138</v>
      </c>
      <c r="AU60" s="5" t="str">
        <f aca="false">IF(OR(AR60="",AS60=""),"",IF($F60="Maior Melhor",IF(AS60&gt;=AR60,"Sim","Não"),IF(AS60&lt;=AR60,"Sim","Não")))</f>
        <v>Sim</v>
      </c>
      <c r="AV60" s="7" t="n">
        <v>24</v>
      </c>
      <c r="AW60" s="7" t="n">
        <v>50</v>
      </c>
      <c r="AX60" s="4" t="n">
        <f aca="false">IF(OR(AV60="",AW60=""),"",IFERROR(IF($K60="%",AW60-AV60,AW60/AV60-1),""))</f>
        <v>1.08333333333333</v>
      </c>
      <c r="AY60" s="5" t="str">
        <f aca="false">IF(OR(AV60="",AW60=""),"",IF($F60="Maior Melhor",IF(AW60&gt;=AV60,"Sim","Não"),IF(AW60&lt;=AV60,"Sim","Não")))</f>
        <v>Sim</v>
      </c>
      <c r="AZ60" s="7" t="n">
        <v>145</v>
      </c>
      <c r="BA60" s="7" t="n">
        <v>248</v>
      </c>
      <c r="BB60" s="4" t="n">
        <f aca="false">IF(OR(AZ60="",BA60=""),"",IFERROR(IF($K60="%",BA60-AZ60,BA60/AZ60-1),""))</f>
        <v>0.710344827586207</v>
      </c>
      <c r="BC60" s="5" t="str">
        <f aca="false">IF(OR(AZ60="",BA60=""),"",IF($F60="Maior Melhor",IF(BA60&gt;=AZ60,"Sim","Não"),IF(BA60&lt;=AZ60,"Sim","Não")))</f>
        <v>Sim</v>
      </c>
      <c r="BD60" s="7" t="n">
        <v>24</v>
      </c>
      <c r="BE60" s="7" t="n">
        <v>41</v>
      </c>
      <c r="BF60" s="4" t="n">
        <f aca="false">IF(OR(BD60="",BE60=""),"",IFERROR(IF($K60="%",BE60-BD60,BE60/BD60-1),""))</f>
        <v>0.708333333333333</v>
      </c>
      <c r="BG60" s="5" t="str">
        <f aca="false">IF(OR(BD60="",BE60=""),"",IF($F60="Maior Melhor",IF(BE60&gt;=BD60,"Sim","Não"),IF(BE60&lt;=BD60,"Sim","Não")))</f>
        <v>Sim</v>
      </c>
      <c r="BH60" s="7" t="n">
        <v>169</v>
      </c>
      <c r="BI60" s="7" t="n">
        <v>289</v>
      </c>
      <c r="BJ60" s="4" t="n">
        <f aca="false">IF(OR(BH60="",BI60=""),"",IFERROR(IF($K60="%",BI60-BH60,BI60/BH60-1),""))</f>
        <v>0.710059171597633</v>
      </c>
      <c r="BK60" s="5" t="str">
        <f aca="false">IF(OR(BH60="",BI60=""),"",IF($F60="Maior Melhor",IF(BI60&gt;=BH60,"Sim","Não"),IF(BI60&lt;=BH60,"Sim","Não")))</f>
        <v>Sim</v>
      </c>
      <c r="BL60" s="8"/>
      <c r="BM60" s="8"/>
      <c r="BN60" s="4" t="str">
        <f aca="false">IF(OR(BL60="",BM60=""),"",IFERROR(IF($K60="%",BM60-BL60,BM60/BL60-1),""))</f>
        <v/>
      </c>
      <c r="BO60" s="5" t="str">
        <f aca="false">IF(OR(BL60="",BM60=""),"",IF($F60="Maior Melhor",IF(BM60&gt;=BL60,"Sim","Não"),IF(BM60&lt;=BL60,"Sim","Não")))</f>
        <v/>
      </c>
      <c r="BP60" s="8"/>
      <c r="BQ60" s="8"/>
      <c r="BR60" s="4" t="str">
        <f aca="false">IF(OR(BP60="",BQ60=""),"",IFERROR(IF($K60="%",BQ60-BP60,BQ60/BP60-1),""))</f>
        <v/>
      </c>
      <c r="BS60" s="5" t="str">
        <f aca="false">IF(OR(BP60="",BQ60=""),"",IF($F60="Maior Melhor",IF(BQ60&gt;=BP60,"Sim","Não"),IF(BQ60&lt;=BP60,"Sim","Não")))</f>
        <v/>
      </c>
      <c r="BT60" s="8"/>
      <c r="BU60" s="8"/>
      <c r="BV60" s="4" t="str">
        <f aca="false">IF(OR(BT60="",BU60=""),"",IFERROR(IF($K60="%",BU60-BT60,BU60/BT60-1),""))</f>
        <v/>
      </c>
      <c r="BW60" s="5" t="str">
        <f aca="false">IF(OR(BT60="",BU60=""),"",IF($F60="Maior Melhor",IF(BU60&gt;=BT60,"Sim","Não"),IF(BU60&lt;=BT60,"Sim","Não")))</f>
        <v/>
      </c>
      <c r="BX60" s="8"/>
      <c r="BY60" s="8"/>
      <c r="BZ60" s="4" t="str">
        <f aca="false">IF(OR(BX60="",BY60=""),"",IFERROR(IF($K60="%",BY60-BX60,BY60/BX60-1),""))</f>
        <v/>
      </c>
      <c r="CA60" s="5" t="str">
        <f aca="false">IF(OR(BX60="",BY60=""),"",IF($F60="Maior Melhor",IF(BY60&gt;=BX60,"Sim","Não"),IF(BY60&lt;=BX60,"Sim","Não")))</f>
        <v/>
      </c>
      <c r="CB60" s="8"/>
      <c r="CC60" s="8"/>
      <c r="CD60" s="4" t="str">
        <f aca="false">IF(OR(CB60="",CC60=""),"",IFERROR(IF($K60="%",CC60-CB60,CC60/CB60-1),""))</f>
        <v/>
      </c>
      <c r="CE60" s="5" t="str">
        <f aca="false">IF(OR(CB60="",CC60=""),"",IF($F60="Maior Melhor",IF(CC60&gt;=CB60,"Sim","Não"),IF(CC60&lt;=CB60,"Sim","Não")))</f>
        <v/>
      </c>
      <c r="CF60" s="8"/>
      <c r="CG60" s="8"/>
      <c r="CH60" s="4" t="str">
        <f aca="false">IF(OR(CF60="",CG60=""),"",IFERROR(IF($K60="%",CG60-CF60,CG60/CF60-1),""))</f>
        <v/>
      </c>
      <c r="CI60" s="5" t="str">
        <f aca="false">IF(OR(CF60="",CG60=""),"",IF($F60="Maior Melhor",IF(CG60&gt;=CF60,"Sim","Não"),IF(CG60&lt;=CF60,"Sim","Não")))</f>
        <v/>
      </c>
      <c r="CJ60" s="8"/>
      <c r="CK60" s="8"/>
      <c r="CL60" s="4" t="str">
        <f aca="false">IF(OR(CJ60="",CK60=""),"",IFERROR(IF($K60="%",CK60-CJ60,CK60/CJ60-1),""))</f>
        <v/>
      </c>
      <c r="CM60" s="5" t="str">
        <f aca="false">IF(OR(CJ60="",CK60=""),"",IF($F60="Maior Melhor",IF(CK60&gt;=CJ60,"Sim","Não"),IF(CK60&lt;=CJ60,"Sim","Não")))</f>
        <v/>
      </c>
      <c r="CN60" s="8"/>
      <c r="CO60" s="8"/>
      <c r="CP60" s="4" t="str">
        <f aca="false">IF(OR(CN60="",CO60=""),"",IFERROR(IF($K60="%",CO60-CN60,CO60/CN60-1),""))</f>
        <v/>
      </c>
      <c r="CQ60" s="5" t="str">
        <f aca="false">IF(OR(CN60="",CO60=""),"",IF($F60="Maior Melhor",IF(CO60&gt;=CN60,"Sim","Não"),IF(CO60&lt;=CN60,"Sim","Não")))</f>
        <v/>
      </c>
      <c r="CR60" s="2" t="s">
        <v>148</v>
      </c>
    </row>
    <row r="61" customFormat="false" ht="15" hidden="false" customHeight="false" outlineLevel="0" collapsed="false">
      <c r="A61" s="2" t="s">
        <v>144</v>
      </c>
      <c r="B61" s="2" t="s">
        <v>106</v>
      </c>
      <c r="C61" s="2" t="s">
        <v>113</v>
      </c>
      <c r="D61" s="2" t="s">
        <v>145</v>
      </c>
      <c r="E61" s="2" t="str">
        <f aca="false">C61&amp;D61</f>
        <v>UTD BOM JESUS DA LAPABlitz da CIPA</v>
      </c>
      <c r="F61" s="2" t="s">
        <v>100</v>
      </c>
      <c r="G61" s="2" t="s">
        <v>146</v>
      </c>
      <c r="H61" s="2" t="s">
        <v>102</v>
      </c>
      <c r="I61" s="2" t="s">
        <v>103</v>
      </c>
      <c r="J61" s="2" t="n">
        <v>2</v>
      </c>
      <c r="K61" s="2" t="s">
        <v>147</v>
      </c>
      <c r="L61" s="7" t="n">
        <v>6</v>
      </c>
      <c r="M61" s="7" t="n">
        <v>8</v>
      </c>
      <c r="N61" s="4" t="n">
        <f aca="false">IF(OR(L61="",M61=""),"",IFERROR(IF($K61="%",M61-L61,M61/L61-1),""))</f>
        <v>0.333333333333333</v>
      </c>
      <c r="O61" s="5" t="str">
        <f aca="false">IF(OR(L61="",M61=""),"",IF($F61="Maior Melhor",IF(M61&gt;=L61,"Sim","Não"),IF(M61&lt;=L61,"Sim","Não")))</f>
        <v>Sim</v>
      </c>
      <c r="P61" s="7" t="n">
        <v>6</v>
      </c>
      <c r="Q61" s="7" t="n">
        <v>10</v>
      </c>
      <c r="R61" s="4" t="n">
        <f aca="false">IF(OR(P61="",Q61=""),"",IFERROR(IF($K61="%",Q61-P61,Q61/P61-1),""))</f>
        <v>0.666666666666667</v>
      </c>
      <c r="S61" s="5" t="str">
        <f aca="false">IF(OR(P61="",Q61=""),"",IF($F61="Maior Melhor",IF(Q61&gt;=P61,"Sim","Não"),IF(Q61&lt;=P61,"Sim","Não")))</f>
        <v>Sim</v>
      </c>
      <c r="T61" s="7" t="n">
        <v>16</v>
      </c>
      <c r="U61" s="7" t="n">
        <v>43</v>
      </c>
      <c r="V61" s="4" t="n">
        <f aca="false">IF(OR(T61="",U61=""),"",IFERROR(IF($K61="%",U61-T61,U61/T61-1),""))</f>
        <v>1.6875</v>
      </c>
      <c r="W61" s="5" t="str">
        <f aca="false">IF(OR(T61="",U61=""),"",IF($F61="Maior Melhor",IF(U61&gt;=T61,"Sim","Não"),IF(U61&lt;=T61,"Sim","Não")))</f>
        <v>Sim</v>
      </c>
      <c r="X61" s="7" t="n">
        <v>16</v>
      </c>
      <c r="Y61" s="7" t="n">
        <v>30</v>
      </c>
      <c r="Z61" s="4" t="n">
        <f aca="false">IF(OR(X61="",Y61=""),"",IFERROR(IF($K61="%",Y61-X61,Y61/X61-1),""))</f>
        <v>0.875</v>
      </c>
      <c r="AA61" s="5" t="str">
        <f aca="false">IF(OR(X61="",Y61=""),"",IF($F61="Maior Melhor",IF(Y61&gt;=X61,"Sim","Não"),IF(Y61&lt;=X61,"Sim","Não")))</f>
        <v>Sim</v>
      </c>
      <c r="AB61" s="7" t="n">
        <v>44</v>
      </c>
      <c r="AC61" s="7" t="n">
        <v>91</v>
      </c>
      <c r="AD61" s="4" t="n">
        <f aca="false">IF(OR(AB61="",AC61=""),"",IFERROR(IF($K61="%",AC61-AB61,AC61/AB61-1),""))</f>
        <v>1.06818181818182</v>
      </c>
      <c r="AE61" s="5" t="str">
        <f aca="false">IF(OR(AB61="",AC61=""),"",IF($F61="Maior Melhor",IF(AC61&gt;=AB61,"Sim","Não"),IF(AC61&lt;=AB61,"Sim","Não")))</f>
        <v>Sim</v>
      </c>
      <c r="AF61" s="7" t="n">
        <v>16</v>
      </c>
      <c r="AG61" s="7" t="n">
        <v>37</v>
      </c>
      <c r="AH61" s="4" t="n">
        <f aca="false">IF(OR(AF61="",AG61=""),"",IFERROR(IF($K61="%",AG61-AF61,AG61/AF61-1),""))</f>
        <v>1.3125</v>
      </c>
      <c r="AI61" s="5" t="str">
        <f aca="false">IF(OR(AF61="",AG61=""),"",IF($F61="Maior Melhor",IF(AG61&gt;=AF61,"Sim","Não"),IF(AG61&lt;=AF61,"Sim","Não")))</f>
        <v>Sim</v>
      </c>
      <c r="AJ61" s="7" t="n">
        <v>60</v>
      </c>
      <c r="AK61" s="7" t="n">
        <v>128</v>
      </c>
      <c r="AL61" s="4" t="n">
        <f aca="false">IF(OR(AJ61="",AK61=""),"",IFERROR(IF($K61="%",AK61-AJ61,AK61/AJ61-1),""))</f>
        <v>1.13333333333333</v>
      </c>
      <c r="AM61" s="5" t="str">
        <f aca="false">IF(OR(AJ61="",AK61=""),"",IF($F61="Maior Melhor",IF(AK61&gt;=AJ61,"Sim","Não"),IF(AK61&lt;=AJ61,"Sim","Não")))</f>
        <v>Sim</v>
      </c>
      <c r="AN61" s="7" t="n">
        <v>16</v>
      </c>
      <c r="AO61" s="7" t="n">
        <v>33</v>
      </c>
      <c r="AP61" s="4" t="n">
        <f aca="false">IF(OR(AN61="",AO61=""),"",IFERROR(IF($K61="%",AO61-AN61,AO61/AN61-1),""))</f>
        <v>1.0625</v>
      </c>
      <c r="AQ61" s="5" t="str">
        <f aca="false">IF(OR(AN61="",AO61=""),"",IF($F61="Maior Melhor",IF(AO61&gt;=AN61,"Sim","Não"),IF(AO61&lt;=AN61,"Sim","Não")))</f>
        <v>Sim</v>
      </c>
      <c r="AR61" s="7" t="n">
        <v>76</v>
      </c>
      <c r="AS61" s="7" t="n">
        <v>161</v>
      </c>
      <c r="AT61" s="4" t="n">
        <f aca="false">IF(OR(AR61="",AS61=""),"",IFERROR(IF($K61="%",AS61-AR61,AS61/AR61-1),""))</f>
        <v>1.11842105263158</v>
      </c>
      <c r="AU61" s="5" t="str">
        <f aca="false">IF(OR(AR61="",AS61=""),"",IF($F61="Maior Melhor",IF(AS61&gt;=AR61,"Sim","Não"),IF(AS61&lt;=AR61,"Sim","Não")))</f>
        <v>Sim</v>
      </c>
      <c r="AV61" s="7" t="n">
        <v>16</v>
      </c>
      <c r="AW61" s="7" t="n">
        <v>45</v>
      </c>
      <c r="AX61" s="4" t="n">
        <f aca="false">IF(OR(AV61="",AW61=""),"",IFERROR(IF($K61="%",AW61-AV61,AW61/AV61-1),""))</f>
        <v>1.8125</v>
      </c>
      <c r="AY61" s="5" t="str">
        <f aca="false">IF(OR(AV61="",AW61=""),"",IF($F61="Maior Melhor",IF(AW61&gt;=AV61,"Sim","Não"),IF(AW61&lt;=AV61,"Sim","Não")))</f>
        <v>Sim</v>
      </c>
      <c r="AZ61" s="7" t="n">
        <v>98</v>
      </c>
      <c r="BA61" s="7" t="n">
        <v>206</v>
      </c>
      <c r="BB61" s="4" t="n">
        <f aca="false">IF(OR(AZ61="",BA61=""),"",IFERROR(IF($K61="%",BA61-AZ61,BA61/AZ61-1),""))</f>
        <v>1.10204081632653</v>
      </c>
      <c r="BC61" s="5" t="str">
        <f aca="false">IF(OR(AZ61="",BA61=""),"",IF($F61="Maior Melhor",IF(BA61&gt;=AZ61,"Sim","Não"),IF(BA61&lt;=AZ61,"Sim","Não")))</f>
        <v>Sim</v>
      </c>
      <c r="BD61" s="7" t="n">
        <v>16</v>
      </c>
      <c r="BE61" s="7" t="n">
        <v>25</v>
      </c>
      <c r="BF61" s="4" t="n">
        <f aca="false">IF(OR(BD61="",BE61=""),"",IFERROR(IF($K61="%",BE61-BD61,BE61/BD61-1),""))</f>
        <v>0.5625</v>
      </c>
      <c r="BG61" s="5" t="str">
        <f aca="false">IF(OR(BD61="",BE61=""),"",IF($F61="Maior Melhor",IF(BE61&gt;=BD61,"Sim","Não"),IF(BE61&lt;=BD61,"Sim","Não")))</f>
        <v>Sim</v>
      </c>
      <c r="BH61" s="7" t="n">
        <v>114</v>
      </c>
      <c r="BI61" s="7" t="n">
        <v>231</v>
      </c>
      <c r="BJ61" s="4" t="n">
        <f aca="false">IF(OR(BH61="",BI61=""),"",IFERROR(IF($K61="%",BI61-BH61,BI61/BH61-1),""))</f>
        <v>1.02631578947368</v>
      </c>
      <c r="BK61" s="5" t="str">
        <f aca="false">IF(OR(BH61="",BI61=""),"",IF($F61="Maior Melhor",IF(BI61&gt;=BH61,"Sim","Não"),IF(BI61&lt;=BH61,"Sim","Não")))</f>
        <v>Sim</v>
      </c>
      <c r="BL61" s="8"/>
      <c r="BM61" s="8"/>
      <c r="BN61" s="4" t="str">
        <f aca="false">IF(OR(BL61="",BM61=""),"",IFERROR(IF($K61="%",BM61-BL61,BM61/BL61-1),""))</f>
        <v/>
      </c>
      <c r="BO61" s="5" t="str">
        <f aca="false">IF(OR(BL61="",BM61=""),"",IF($F61="Maior Melhor",IF(BM61&gt;=BL61,"Sim","Não"),IF(BM61&lt;=BL61,"Sim","Não")))</f>
        <v/>
      </c>
      <c r="BP61" s="8"/>
      <c r="BQ61" s="8"/>
      <c r="BR61" s="4" t="str">
        <f aca="false">IF(OR(BP61="",BQ61=""),"",IFERROR(IF($K61="%",BQ61-BP61,BQ61/BP61-1),""))</f>
        <v/>
      </c>
      <c r="BS61" s="5" t="str">
        <f aca="false">IF(OR(BP61="",BQ61=""),"",IF($F61="Maior Melhor",IF(BQ61&gt;=BP61,"Sim","Não"),IF(BQ61&lt;=BP61,"Sim","Não")))</f>
        <v/>
      </c>
      <c r="BT61" s="8"/>
      <c r="BU61" s="8"/>
      <c r="BV61" s="4" t="str">
        <f aca="false">IF(OR(BT61="",BU61=""),"",IFERROR(IF($K61="%",BU61-BT61,BU61/BT61-1),""))</f>
        <v/>
      </c>
      <c r="BW61" s="5" t="str">
        <f aca="false">IF(OR(BT61="",BU61=""),"",IF($F61="Maior Melhor",IF(BU61&gt;=BT61,"Sim","Não"),IF(BU61&lt;=BT61,"Sim","Não")))</f>
        <v/>
      </c>
      <c r="BX61" s="8"/>
      <c r="BY61" s="8"/>
      <c r="BZ61" s="4" t="str">
        <f aca="false">IF(OR(BX61="",BY61=""),"",IFERROR(IF($K61="%",BY61-BX61,BY61/BX61-1),""))</f>
        <v/>
      </c>
      <c r="CA61" s="5" t="str">
        <f aca="false">IF(OR(BX61="",BY61=""),"",IF($F61="Maior Melhor",IF(BY61&gt;=BX61,"Sim","Não"),IF(BY61&lt;=BX61,"Sim","Não")))</f>
        <v/>
      </c>
      <c r="CB61" s="8"/>
      <c r="CC61" s="8"/>
      <c r="CD61" s="4" t="str">
        <f aca="false">IF(OR(CB61="",CC61=""),"",IFERROR(IF($K61="%",CC61-CB61,CC61/CB61-1),""))</f>
        <v/>
      </c>
      <c r="CE61" s="5" t="str">
        <f aca="false">IF(OR(CB61="",CC61=""),"",IF($F61="Maior Melhor",IF(CC61&gt;=CB61,"Sim","Não"),IF(CC61&lt;=CB61,"Sim","Não")))</f>
        <v/>
      </c>
      <c r="CF61" s="8"/>
      <c r="CG61" s="8"/>
      <c r="CH61" s="4" t="str">
        <f aca="false">IF(OR(CF61="",CG61=""),"",IFERROR(IF($K61="%",CG61-CF61,CG61/CF61-1),""))</f>
        <v/>
      </c>
      <c r="CI61" s="5" t="str">
        <f aca="false">IF(OR(CF61="",CG61=""),"",IF($F61="Maior Melhor",IF(CG61&gt;=CF61,"Sim","Não"),IF(CG61&lt;=CF61,"Sim","Não")))</f>
        <v/>
      </c>
      <c r="CJ61" s="8"/>
      <c r="CK61" s="8"/>
      <c r="CL61" s="4" t="str">
        <f aca="false">IF(OR(CJ61="",CK61=""),"",IFERROR(IF($K61="%",CK61-CJ61,CK61/CJ61-1),""))</f>
        <v/>
      </c>
      <c r="CM61" s="5" t="str">
        <f aca="false">IF(OR(CJ61="",CK61=""),"",IF($F61="Maior Melhor",IF(CK61&gt;=CJ61,"Sim","Não"),IF(CK61&lt;=CJ61,"Sim","Não")))</f>
        <v/>
      </c>
      <c r="CN61" s="8"/>
      <c r="CO61" s="8"/>
      <c r="CP61" s="4" t="str">
        <f aca="false">IF(OR(CN61="",CO61=""),"",IFERROR(IF($K61="%",CO61-CN61,CO61/CN61-1),""))</f>
        <v/>
      </c>
      <c r="CQ61" s="5" t="str">
        <f aca="false">IF(OR(CN61="",CO61=""),"",IF($F61="Maior Melhor",IF(CO61&gt;=CN61,"Sim","Não"),IF(CO61&lt;=CN61,"Sim","Não")))</f>
        <v/>
      </c>
      <c r="CR61" s="2" t="s">
        <v>149</v>
      </c>
    </row>
    <row r="62" customFormat="false" ht="15" hidden="false" customHeight="false" outlineLevel="0" collapsed="false">
      <c r="A62" s="2" t="s">
        <v>144</v>
      </c>
      <c r="B62" s="2" t="s">
        <v>108</v>
      </c>
      <c r="C62" s="2" t="s">
        <v>115</v>
      </c>
      <c r="D62" s="2" t="s">
        <v>145</v>
      </c>
      <c r="E62" s="2" t="str">
        <f aca="false">C62&amp;D62</f>
        <v>UTD BRUMADOBlitz da CIPA</v>
      </c>
      <c r="F62" s="2" t="s">
        <v>100</v>
      </c>
      <c r="G62" s="2" t="s">
        <v>146</v>
      </c>
      <c r="H62" s="2" t="s">
        <v>102</v>
      </c>
      <c r="I62" s="2" t="s">
        <v>103</v>
      </c>
      <c r="J62" s="2" t="n">
        <v>2</v>
      </c>
      <c r="K62" s="2" t="s">
        <v>147</v>
      </c>
      <c r="L62" s="7" t="n">
        <v>6</v>
      </c>
      <c r="M62" s="7" t="n">
        <v>8</v>
      </c>
      <c r="N62" s="4" t="n">
        <f aca="false">IF(OR(L62="",M62=""),"",IFERROR(IF($K62="%",M62-L62,M62/L62-1),""))</f>
        <v>0.333333333333333</v>
      </c>
      <c r="O62" s="5" t="str">
        <f aca="false">IF(OR(L62="",M62=""),"",IF($F62="Maior Melhor",IF(M62&gt;=L62,"Sim","Não"),IF(M62&lt;=L62,"Sim","Não")))</f>
        <v>Sim</v>
      </c>
      <c r="P62" s="7" t="n">
        <v>6</v>
      </c>
      <c r="Q62" s="7" t="n">
        <v>8</v>
      </c>
      <c r="R62" s="4" t="n">
        <f aca="false">IF(OR(P62="",Q62=""),"",IFERROR(IF($K62="%",Q62-P62,Q62/P62-1),""))</f>
        <v>0.333333333333333</v>
      </c>
      <c r="S62" s="5" t="str">
        <f aca="false">IF(OR(P62="",Q62=""),"",IF($F62="Maior Melhor",IF(Q62&gt;=P62,"Sim","Não"),IF(Q62&lt;=P62,"Sim","Não")))</f>
        <v>Sim</v>
      </c>
      <c r="T62" s="7" t="n">
        <v>24</v>
      </c>
      <c r="U62" s="7" t="n">
        <v>32</v>
      </c>
      <c r="V62" s="4" t="n">
        <f aca="false">IF(OR(T62="",U62=""),"",IFERROR(IF($K62="%",U62-T62,U62/T62-1),""))</f>
        <v>0.333333333333333</v>
      </c>
      <c r="W62" s="5" t="str">
        <f aca="false">IF(OR(T62="",U62=""),"",IF($F62="Maior Melhor",IF(U62&gt;=T62,"Sim","Não"),IF(U62&lt;=T62,"Sim","Não")))</f>
        <v>Sim</v>
      </c>
      <c r="X62" s="7" t="n">
        <v>24</v>
      </c>
      <c r="Y62" s="7" t="n">
        <v>38</v>
      </c>
      <c r="Z62" s="4" t="n">
        <f aca="false">IF(OR(X62="",Y62=""),"",IFERROR(IF($K62="%",Y62-X62,Y62/X62-1),""))</f>
        <v>0.583333333333333</v>
      </c>
      <c r="AA62" s="5" t="str">
        <f aca="false">IF(OR(X62="",Y62=""),"",IF($F62="Maior Melhor",IF(Y62&gt;=X62,"Sim","Não"),IF(Y62&lt;=X62,"Sim","Não")))</f>
        <v>Sim</v>
      </c>
      <c r="AB62" s="7" t="n">
        <v>60</v>
      </c>
      <c r="AC62" s="7" t="n">
        <v>86</v>
      </c>
      <c r="AD62" s="4" t="n">
        <f aca="false">IF(OR(AB62="",AC62=""),"",IFERROR(IF($K62="%",AC62-AB62,AC62/AB62-1),""))</f>
        <v>0.433333333333333</v>
      </c>
      <c r="AE62" s="5" t="str">
        <f aca="false">IF(OR(AB62="",AC62=""),"",IF($F62="Maior Melhor",IF(AC62&gt;=AB62,"Sim","Não"),IF(AC62&lt;=AB62,"Sim","Não")))</f>
        <v>Sim</v>
      </c>
      <c r="AF62" s="7" t="n">
        <v>24</v>
      </c>
      <c r="AG62" s="7" t="n">
        <v>24</v>
      </c>
      <c r="AH62" s="4" t="n">
        <f aca="false">IF(OR(AF62="",AG62=""),"",IFERROR(IF($K62="%",AG62-AF62,AG62/AF62-1),""))</f>
        <v>0</v>
      </c>
      <c r="AI62" s="5" t="str">
        <f aca="false">IF(OR(AF62="",AG62=""),"",IF($F62="Maior Melhor",IF(AG62&gt;=AF62,"Sim","Não"),IF(AG62&lt;=AF62,"Sim","Não")))</f>
        <v>Sim</v>
      </c>
      <c r="AJ62" s="7" t="n">
        <v>84</v>
      </c>
      <c r="AK62" s="7" t="n">
        <v>110</v>
      </c>
      <c r="AL62" s="4" t="n">
        <f aca="false">IF(OR(AJ62="",AK62=""),"",IFERROR(IF($K62="%",AK62-AJ62,AK62/AJ62-1),""))</f>
        <v>0.30952380952381</v>
      </c>
      <c r="AM62" s="5" t="str">
        <f aca="false">IF(OR(AJ62="",AK62=""),"",IF($F62="Maior Melhor",IF(AK62&gt;=AJ62,"Sim","Não"),IF(AK62&lt;=AJ62,"Sim","Não")))</f>
        <v>Sim</v>
      </c>
      <c r="AN62" s="7" t="n">
        <v>24</v>
      </c>
      <c r="AO62" s="7" t="n">
        <v>25</v>
      </c>
      <c r="AP62" s="4" t="n">
        <f aca="false">IF(OR(AN62="",AO62=""),"",IFERROR(IF($K62="%",AO62-AN62,AO62/AN62-1),""))</f>
        <v>0.0416666666666667</v>
      </c>
      <c r="AQ62" s="5" t="str">
        <f aca="false">IF(OR(AN62="",AO62=""),"",IF($F62="Maior Melhor",IF(AO62&gt;=AN62,"Sim","Não"),IF(AO62&lt;=AN62,"Sim","Não")))</f>
        <v>Sim</v>
      </c>
      <c r="AR62" s="7" t="n">
        <v>108</v>
      </c>
      <c r="AS62" s="7" t="n">
        <v>135</v>
      </c>
      <c r="AT62" s="4" t="n">
        <f aca="false">IF(OR(AR62="",AS62=""),"",IFERROR(IF($K62="%",AS62-AR62,AS62/AR62-1),""))</f>
        <v>0.25</v>
      </c>
      <c r="AU62" s="5" t="str">
        <f aca="false">IF(OR(AR62="",AS62=""),"",IF($F62="Maior Melhor",IF(AS62&gt;=AR62,"Sim","Não"),IF(AS62&lt;=AR62,"Sim","Não")))</f>
        <v>Sim</v>
      </c>
      <c r="AV62" s="7" t="n">
        <v>24</v>
      </c>
      <c r="AW62" s="7" t="n">
        <v>41</v>
      </c>
      <c r="AX62" s="4" t="n">
        <f aca="false">IF(OR(AV62="",AW62=""),"",IFERROR(IF($K62="%",AW62-AV62,AW62/AV62-1),""))</f>
        <v>0.708333333333333</v>
      </c>
      <c r="AY62" s="5" t="str">
        <f aca="false">IF(OR(AV62="",AW62=""),"",IF($F62="Maior Melhor",IF(AW62&gt;=AV62,"Sim","Não"),IF(AW62&lt;=AV62,"Sim","Não")))</f>
        <v>Sim</v>
      </c>
      <c r="AZ62" s="7" t="n">
        <v>136</v>
      </c>
      <c r="BA62" s="7" t="n">
        <v>176</v>
      </c>
      <c r="BB62" s="4" t="n">
        <f aca="false">IF(OR(AZ62="",BA62=""),"",IFERROR(IF($K62="%",BA62-AZ62,BA62/AZ62-1),""))</f>
        <v>0.294117647058824</v>
      </c>
      <c r="BC62" s="5" t="str">
        <f aca="false">IF(OR(AZ62="",BA62=""),"",IF($F62="Maior Melhor",IF(BA62&gt;=AZ62,"Sim","Não"),IF(BA62&lt;=AZ62,"Sim","Não")))</f>
        <v>Sim</v>
      </c>
      <c r="BD62" s="7" t="n">
        <v>24</v>
      </c>
      <c r="BE62" s="7" t="n">
        <v>22</v>
      </c>
      <c r="BF62" s="4" t="n">
        <f aca="false">IF(OR(BD62="",BE62=""),"",IFERROR(IF($K62="%",BE62-BD62,BE62/BD62-1),""))</f>
        <v>-0.0833333333333334</v>
      </c>
      <c r="BG62" s="5" t="str">
        <f aca="false">IF(OR(BD62="",BE62=""),"",IF($F62="Maior Melhor",IF(BE62&gt;=BD62,"Sim","Não"),IF(BE62&lt;=BD62,"Sim","Não")))</f>
        <v>Não</v>
      </c>
      <c r="BH62" s="7" t="n">
        <v>160</v>
      </c>
      <c r="BI62" s="7" t="n">
        <v>198</v>
      </c>
      <c r="BJ62" s="4" t="n">
        <f aca="false">IF(OR(BH62="",BI62=""),"",IFERROR(IF($K62="%",BI62-BH62,BI62/BH62-1),""))</f>
        <v>0.2375</v>
      </c>
      <c r="BK62" s="5" t="str">
        <f aca="false">IF(OR(BH62="",BI62=""),"",IF($F62="Maior Melhor",IF(BI62&gt;=BH62,"Sim","Não"),IF(BI62&lt;=BH62,"Sim","Não")))</f>
        <v>Sim</v>
      </c>
      <c r="BL62" s="8"/>
      <c r="BM62" s="8"/>
      <c r="BN62" s="4" t="str">
        <f aca="false">IF(OR(BL62="",BM62=""),"",IFERROR(IF($K62="%",BM62-BL62,BM62/BL62-1),""))</f>
        <v/>
      </c>
      <c r="BO62" s="5" t="str">
        <f aca="false">IF(OR(BL62="",BM62=""),"",IF($F62="Maior Melhor",IF(BM62&gt;=BL62,"Sim","Não"),IF(BM62&lt;=BL62,"Sim","Não")))</f>
        <v/>
      </c>
      <c r="BP62" s="8"/>
      <c r="BQ62" s="8"/>
      <c r="BR62" s="4" t="str">
        <f aca="false">IF(OR(BP62="",BQ62=""),"",IFERROR(IF($K62="%",BQ62-BP62,BQ62/BP62-1),""))</f>
        <v/>
      </c>
      <c r="BS62" s="5" t="str">
        <f aca="false">IF(OR(BP62="",BQ62=""),"",IF($F62="Maior Melhor",IF(BQ62&gt;=BP62,"Sim","Não"),IF(BQ62&lt;=BP62,"Sim","Não")))</f>
        <v/>
      </c>
      <c r="BT62" s="8"/>
      <c r="BU62" s="8"/>
      <c r="BV62" s="4" t="str">
        <f aca="false">IF(OR(BT62="",BU62=""),"",IFERROR(IF($K62="%",BU62-BT62,BU62/BT62-1),""))</f>
        <v/>
      </c>
      <c r="BW62" s="5" t="str">
        <f aca="false">IF(OR(BT62="",BU62=""),"",IF($F62="Maior Melhor",IF(BU62&gt;=BT62,"Sim","Não"),IF(BU62&lt;=BT62,"Sim","Não")))</f>
        <v/>
      </c>
      <c r="BX62" s="8"/>
      <c r="BY62" s="8"/>
      <c r="BZ62" s="4" t="str">
        <f aca="false">IF(OR(BX62="",BY62=""),"",IFERROR(IF($K62="%",BY62-BX62,BY62/BX62-1),""))</f>
        <v/>
      </c>
      <c r="CA62" s="5" t="str">
        <f aca="false">IF(OR(BX62="",BY62=""),"",IF($F62="Maior Melhor",IF(BY62&gt;=BX62,"Sim","Não"),IF(BY62&lt;=BX62,"Sim","Não")))</f>
        <v/>
      </c>
      <c r="CB62" s="8"/>
      <c r="CC62" s="8"/>
      <c r="CD62" s="4" t="str">
        <f aca="false">IF(OR(CB62="",CC62=""),"",IFERROR(IF($K62="%",CC62-CB62,CC62/CB62-1),""))</f>
        <v/>
      </c>
      <c r="CE62" s="5" t="str">
        <f aca="false">IF(OR(CB62="",CC62=""),"",IF($F62="Maior Melhor",IF(CC62&gt;=CB62,"Sim","Não"),IF(CC62&lt;=CB62,"Sim","Não")))</f>
        <v/>
      </c>
      <c r="CF62" s="8"/>
      <c r="CG62" s="8"/>
      <c r="CH62" s="4" t="str">
        <f aca="false">IF(OR(CF62="",CG62=""),"",IFERROR(IF($K62="%",CG62-CF62,CG62/CF62-1),""))</f>
        <v/>
      </c>
      <c r="CI62" s="5" t="str">
        <f aca="false">IF(OR(CF62="",CG62=""),"",IF($F62="Maior Melhor",IF(CG62&gt;=CF62,"Sim","Não"),IF(CG62&lt;=CF62,"Sim","Não")))</f>
        <v/>
      </c>
      <c r="CJ62" s="8"/>
      <c r="CK62" s="8"/>
      <c r="CL62" s="4" t="str">
        <f aca="false">IF(OR(CJ62="",CK62=""),"",IFERROR(IF($K62="%",CK62-CJ62,CK62/CJ62-1),""))</f>
        <v/>
      </c>
      <c r="CM62" s="5" t="str">
        <f aca="false">IF(OR(CJ62="",CK62=""),"",IF($F62="Maior Melhor",IF(CK62&gt;=CJ62,"Sim","Não"),IF(CK62&lt;=CJ62,"Sim","Não")))</f>
        <v/>
      </c>
      <c r="CN62" s="8"/>
      <c r="CO62" s="8"/>
      <c r="CP62" s="4" t="str">
        <f aca="false">IF(OR(CN62="",CO62=""),"",IFERROR(IF($K62="%",CO62-CN62,CO62/CN62-1),""))</f>
        <v/>
      </c>
      <c r="CQ62" s="5" t="str">
        <f aca="false">IF(OR(CN62="",CO62=""),"",IF($F62="Maior Melhor",IF(CO62&gt;=CN62,"Sim","Não"),IF(CO62&lt;=CN62,"Sim","Não")))</f>
        <v/>
      </c>
      <c r="CR62" s="2" t="s">
        <v>105</v>
      </c>
    </row>
    <row r="63" customFormat="false" ht="15" hidden="false" customHeight="false" outlineLevel="0" collapsed="false">
      <c r="A63" s="2" t="s">
        <v>144</v>
      </c>
      <c r="B63" s="2" t="s">
        <v>108</v>
      </c>
      <c r="C63" s="2" t="s">
        <v>117</v>
      </c>
      <c r="D63" s="2" t="s">
        <v>145</v>
      </c>
      <c r="E63" s="2" t="str">
        <f aca="false">C63&amp;D63</f>
        <v>UTD GUANAMBIBlitz da CIPA</v>
      </c>
      <c r="F63" s="2" t="s">
        <v>100</v>
      </c>
      <c r="G63" s="2" t="s">
        <v>146</v>
      </c>
      <c r="H63" s="2" t="s">
        <v>102</v>
      </c>
      <c r="I63" s="2" t="s">
        <v>103</v>
      </c>
      <c r="J63" s="2" t="n">
        <v>2</v>
      </c>
      <c r="K63" s="2" t="s">
        <v>147</v>
      </c>
      <c r="L63" s="7" t="n">
        <v>6</v>
      </c>
      <c r="M63" s="7" t="n">
        <v>6</v>
      </c>
      <c r="N63" s="4" t="n">
        <f aca="false">IF(OR(L63="",M63=""),"",IFERROR(IF($K63="%",M63-L63,M63/L63-1),""))</f>
        <v>0</v>
      </c>
      <c r="O63" s="5" t="str">
        <f aca="false">IF(OR(L63="",M63=""),"",IF($F63="Maior Melhor",IF(M63&gt;=L63,"Sim","Não"),IF(M63&lt;=L63,"Sim","Não")))</f>
        <v>Sim</v>
      </c>
      <c r="P63" s="7" t="n">
        <v>6</v>
      </c>
      <c r="Q63" s="7" t="n">
        <v>8</v>
      </c>
      <c r="R63" s="4" t="n">
        <f aca="false">IF(OR(P63="",Q63=""),"",IFERROR(IF($K63="%",Q63-P63,Q63/P63-1),""))</f>
        <v>0.333333333333333</v>
      </c>
      <c r="S63" s="5" t="str">
        <f aca="false">IF(OR(P63="",Q63=""),"",IF($F63="Maior Melhor",IF(Q63&gt;=P63,"Sim","Não"),IF(Q63&lt;=P63,"Sim","Não")))</f>
        <v>Sim</v>
      </c>
      <c r="T63" s="7" t="n">
        <v>16</v>
      </c>
      <c r="U63" s="7" t="n">
        <v>24</v>
      </c>
      <c r="V63" s="4" t="n">
        <f aca="false">IF(OR(T63="",U63=""),"",IFERROR(IF($K63="%",U63-T63,U63/T63-1),""))</f>
        <v>0.5</v>
      </c>
      <c r="W63" s="5" t="str">
        <f aca="false">IF(OR(T63="",U63=""),"",IF($F63="Maior Melhor",IF(U63&gt;=T63,"Sim","Não"),IF(U63&lt;=T63,"Sim","Não")))</f>
        <v>Sim</v>
      </c>
      <c r="X63" s="7" t="n">
        <v>16</v>
      </c>
      <c r="Y63" s="7" t="n">
        <v>26</v>
      </c>
      <c r="Z63" s="4" t="n">
        <f aca="false">IF(OR(X63="",Y63=""),"",IFERROR(IF($K63="%",Y63-X63,Y63/X63-1),""))</f>
        <v>0.625</v>
      </c>
      <c r="AA63" s="5" t="str">
        <f aca="false">IF(OR(X63="",Y63=""),"",IF($F63="Maior Melhor",IF(Y63&gt;=X63,"Sim","Não"),IF(Y63&lt;=X63,"Sim","Não")))</f>
        <v>Sim</v>
      </c>
      <c r="AB63" s="7" t="n">
        <v>44</v>
      </c>
      <c r="AC63" s="7" t="n">
        <v>64</v>
      </c>
      <c r="AD63" s="4" t="n">
        <f aca="false">IF(OR(AB63="",AC63=""),"",IFERROR(IF($K63="%",AC63-AB63,AC63/AB63-1),""))</f>
        <v>0.454545454545455</v>
      </c>
      <c r="AE63" s="5" t="str">
        <f aca="false">IF(OR(AB63="",AC63=""),"",IF($F63="Maior Melhor",IF(AC63&gt;=AB63,"Sim","Não"),IF(AC63&lt;=AB63,"Sim","Não")))</f>
        <v>Sim</v>
      </c>
      <c r="AF63" s="7" t="n">
        <v>16</v>
      </c>
      <c r="AG63" s="7" t="n">
        <v>25</v>
      </c>
      <c r="AH63" s="4" t="n">
        <f aca="false">IF(OR(AF63="",AG63=""),"",IFERROR(IF($K63="%",AG63-AF63,AG63/AF63-1),""))</f>
        <v>0.5625</v>
      </c>
      <c r="AI63" s="5" t="str">
        <f aca="false">IF(OR(AF63="",AG63=""),"",IF($F63="Maior Melhor",IF(AG63&gt;=AF63,"Sim","Não"),IF(AG63&lt;=AF63,"Sim","Não")))</f>
        <v>Sim</v>
      </c>
      <c r="AJ63" s="7" t="n">
        <v>60</v>
      </c>
      <c r="AK63" s="7" t="n">
        <v>89</v>
      </c>
      <c r="AL63" s="4" t="n">
        <f aca="false">IF(OR(AJ63="",AK63=""),"",IFERROR(IF($K63="%",AK63-AJ63,AK63/AJ63-1),""))</f>
        <v>0.483333333333333</v>
      </c>
      <c r="AM63" s="5" t="str">
        <f aca="false">IF(OR(AJ63="",AK63=""),"",IF($F63="Maior Melhor",IF(AK63&gt;=AJ63,"Sim","Não"),IF(AK63&lt;=AJ63,"Sim","Não")))</f>
        <v>Sim</v>
      </c>
      <c r="AN63" s="7" t="n">
        <v>16</v>
      </c>
      <c r="AO63" s="7" t="n">
        <v>25</v>
      </c>
      <c r="AP63" s="4" t="n">
        <f aca="false">IF(OR(AN63="",AO63=""),"",IFERROR(IF($K63="%",AO63-AN63,AO63/AN63-1),""))</f>
        <v>0.5625</v>
      </c>
      <c r="AQ63" s="5" t="str">
        <f aca="false">IF(OR(AN63="",AO63=""),"",IF($F63="Maior Melhor",IF(AO63&gt;=AN63,"Sim","Não"),IF(AO63&lt;=AN63,"Sim","Não")))</f>
        <v>Sim</v>
      </c>
      <c r="AR63" s="7" t="n">
        <v>76</v>
      </c>
      <c r="AS63" s="7" t="n">
        <v>114</v>
      </c>
      <c r="AT63" s="4" t="n">
        <f aca="false">IF(OR(AR63="",AS63=""),"",IFERROR(IF($K63="%",AS63-AR63,AS63/AR63-1),""))</f>
        <v>0.5</v>
      </c>
      <c r="AU63" s="5" t="str">
        <f aca="false">IF(OR(AR63="",AS63=""),"",IF($F63="Maior Melhor",IF(AS63&gt;=AR63,"Sim","Não"),IF(AS63&lt;=AR63,"Sim","Não")))</f>
        <v>Sim</v>
      </c>
      <c r="AV63" s="7" t="n">
        <v>16</v>
      </c>
      <c r="AW63" s="7" t="n">
        <v>29</v>
      </c>
      <c r="AX63" s="4" t="n">
        <f aca="false">IF(OR(AV63="",AW63=""),"",IFERROR(IF($K63="%",AW63-AV63,AW63/AV63-1),""))</f>
        <v>0.8125</v>
      </c>
      <c r="AY63" s="5" t="str">
        <f aca="false">IF(OR(AV63="",AW63=""),"",IF($F63="Maior Melhor",IF(AW63&gt;=AV63,"Sim","Não"),IF(AW63&lt;=AV63,"Sim","Não")))</f>
        <v>Sim</v>
      </c>
      <c r="AZ63" s="7" t="n">
        <v>94</v>
      </c>
      <c r="BA63" s="7" t="n">
        <v>143</v>
      </c>
      <c r="BB63" s="4" t="n">
        <f aca="false">IF(OR(AZ63="",BA63=""),"",IFERROR(IF($K63="%",BA63-AZ63,BA63/AZ63-1),""))</f>
        <v>0.521276595744681</v>
      </c>
      <c r="BC63" s="5" t="str">
        <f aca="false">IF(OR(AZ63="",BA63=""),"",IF($F63="Maior Melhor",IF(BA63&gt;=AZ63,"Sim","Não"),IF(BA63&lt;=AZ63,"Sim","Não")))</f>
        <v>Sim</v>
      </c>
      <c r="BD63" s="7" t="n">
        <v>16</v>
      </c>
      <c r="BE63" s="7" t="n">
        <v>24</v>
      </c>
      <c r="BF63" s="4" t="n">
        <f aca="false">IF(OR(BD63="",BE63=""),"",IFERROR(IF($K63="%",BE63-BD63,BE63/BD63-1),""))</f>
        <v>0.5</v>
      </c>
      <c r="BG63" s="5" t="str">
        <f aca="false">IF(OR(BD63="",BE63=""),"",IF($F63="Maior Melhor",IF(BE63&gt;=BD63,"Sim","Não"),IF(BE63&lt;=BD63,"Sim","Não")))</f>
        <v>Sim</v>
      </c>
      <c r="BH63" s="7" t="n">
        <v>110</v>
      </c>
      <c r="BI63" s="7" t="n">
        <v>167</v>
      </c>
      <c r="BJ63" s="4" t="n">
        <f aca="false">IF(OR(BH63="",BI63=""),"",IFERROR(IF($K63="%",BI63-BH63,BI63/BH63-1),""))</f>
        <v>0.518181818181818</v>
      </c>
      <c r="BK63" s="5" t="str">
        <f aca="false">IF(OR(BH63="",BI63=""),"",IF($F63="Maior Melhor",IF(BI63&gt;=BH63,"Sim","Não"),IF(BI63&lt;=BH63,"Sim","Não")))</f>
        <v>Sim</v>
      </c>
      <c r="BL63" s="8"/>
      <c r="BM63" s="8"/>
      <c r="BN63" s="4" t="str">
        <f aca="false">IF(OR(BL63="",BM63=""),"",IFERROR(IF($K63="%",BM63-BL63,BM63/BL63-1),""))</f>
        <v/>
      </c>
      <c r="BO63" s="5" t="str">
        <f aca="false">IF(OR(BL63="",BM63=""),"",IF($F63="Maior Melhor",IF(BM63&gt;=BL63,"Sim","Não"),IF(BM63&lt;=BL63,"Sim","Não")))</f>
        <v/>
      </c>
      <c r="BP63" s="8"/>
      <c r="BQ63" s="8"/>
      <c r="BR63" s="4" t="str">
        <f aca="false">IF(OR(BP63="",BQ63=""),"",IFERROR(IF($K63="%",BQ63-BP63,BQ63/BP63-1),""))</f>
        <v/>
      </c>
      <c r="BS63" s="5" t="str">
        <f aca="false">IF(OR(BP63="",BQ63=""),"",IF($F63="Maior Melhor",IF(BQ63&gt;=BP63,"Sim","Não"),IF(BQ63&lt;=BP63,"Sim","Não")))</f>
        <v/>
      </c>
      <c r="BT63" s="8"/>
      <c r="BU63" s="8"/>
      <c r="BV63" s="4" t="str">
        <f aca="false">IF(OR(BT63="",BU63=""),"",IFERROR(IF($K63="%",BU63-BT63,BU63/BT63-1),""))</f>
        <v/>
      </c>
      <c r="BW63" s="5" t="str">
        <f aca="false">IF(OR(BT63="",BU63=""),"",IF($F63="Maior Melhor",IF(BU63&gt;=BT63,"Sim","Não"),IF(BU63&lt;=BT63,"Sim","Não")))</f>
        <v/>
      </c>
      <c r="BX63" s="8"/>
      <c r="BY63" s="8"/>
      <c r="BZ63" s="4" t="str">
        <f aca="false">IF(OR(BX63="",BY63=""),"",IFERROR(IF($K63="%",BY63-BX63,BY63/BX63-1),""))</f>
        <v/>
      </c>
      <c r="CA63" s="5" t="str">
        <f aca="false">IF(OR(BX63="",BY63=""),"",IF($F63="Maior Melhor",IF(BY63&gt;=BX63,"Sim","Não"),IF(BY63&lt;=BX63,"Sim","Não")))</f>
        <v/>
      </c>
      <c r="CB63" s="8"/>
      <c r="CC63" s="8"/>
      <c r="CD63" s="4" t="str">
        <f aca="false">IF(OR(CB63="",CC63=""),"",IFERROR(IF($K63="%",CC63-CB63,CC63/CB63-1),""))</f>
        <v/>
      </c>
      <c r="CE63" s="5" t="str">
        <f aca="false">IF(OR(CB63="",CC63=""),"",IF($F63="Maior Melhor",IF(CC63&gt;=CB63,"Sim","Não"),IF(CC63&lt;=CB63,"Sim","Não")))</f>
        <v/>
      </c>
      <c r="CF63" s="8"/>
      <c r="CG63" s="8"/>
      <c r="CH63" s="4" t="str">
        <f aca="false">IF(OR(CF63="",CG63=""),"",IFERROR(IF($K63="%",CG63-CF63,CG63/CF63-1),""))</f>
        <v/>
      </c>
      <c r="CI63" s="5" t="str">
        <f aca="false">IF(OR(CF63="",CG63=""),"",IF($F63="Maior Melhor",IF(CG63&gt;=CF63,"Sim","Não"),IF(CG63&lt;=CF63,"Sim","Não")))</f>
        <v/>
      </c>
      <c r="CJ63" s="8"/>
      <c r="CK63" s="8"/>
      <c r="CL63" s="4" t="str">
        <f aca="false">IF(OR(CJ63="",CK63=""),"",IFERROR(IF($K63="%",CK63-CJ63,CK63/CJ63-1),""))</f>
        <v/>
      </c>
      <c r="CM63" s="5" t="str">
        <f aca="false">IF(OR(CJ63="",CK63=""),"",IF($F63="Maior Melhor",IF(CK63&gt;=CJ63,"Sim","Não"),IF(CK63&lt;=CJ63,"Sim","Não")))</f>
        <v/>
      </c>
      <c r="CN63" s="8"/>
      <c r="CO63" s="8"/>
      <c r="CP63" s="4" t="str">
        <f aca="false">IF(OR(CN63="",CO63=""),"",IFERROR(IF($K63="%",CO63-CN63,CO63/CN63-1),""))</f>
        <v/>
      </c>
      <c r="CQ63" s="5" t="str">
        <f aca="false">IF(OR(CN63="",CO63=""),"",IF($F63="Maior Melhor",IF(CO63&gt;=CN63,"Sim","Não"),IF(CO63&lt;=CN63,"Sim","Não")))</f>
        <v/>
      </c>
      <c r="CR63" s="2" t="s">
        <v>105</v>
      </c>
    </row>
    <row r="64" customFormat="false" ht="15" hidden="false" customHeight="false" outlineLevel="0" collapsed="false">
      <c r="A64" s="2" t="s">
        <v>144</v>
      </c>
      <c r="B64" s="2" t="s">
        <v>106</v>
      </c>
      <c r="C64" s="2" t="s">
        <v>118</v>
      </c>
      <c r="D64" s="2" t="s">
        <v>145</v>
      </c>
      <c r="E64" s="2" t="str">
        <f aca="false">C64&amp;D64</f>
        <v>UTD IBOTIRAMABlitz da CIPA</v>
      </c>
      <c r="F64" s="2" t="s">
        <v>100</v>
      </c>
      <c r="G64" s="2" t="s">
        <v>146</v>
      </c>
      <c r="H64" s="2" t="s">
        <v>119</v>
      </c>
      <c r="I64" s="2" t="s">
        <v>103</v>
      </c>
      <c r="J64" s="2" t="n">
        <v>2</v>
      </c>
      <c r="K64" s="2" t="s">
        <v>147</v>
      </c>
      <c r="L64" s="7" t="n">
        <v>6</v>
      </c>
      <c r="M64" s="7" t="n">
        <v>15</v>
      </c>
      <c r="N64" s="4" t="n">
        <f aca="false">IF(OR(L64="",M64=""),"",IFERROR(IF($K64="%",M64-L64,M64/L64-1),""))</f>
        <v>1.5</v>
      </c>
      <c r="O64" s="5" t="str">
        <f aca="false">IF(OR(L64="",M64=""),"",IF($F64="Maior Melhor",IF(M64&gt;=L64,"Sim","Não"),IF(M64&lt;=L64,"Sim","Não")))</f>
        <v>Sim</v>
      </c>
      <c r="P64" s="7" t="n">
        <v>6</v>
      </c>
      <c r="Q64" s="7" t="n">
        <v>0</v>
      </c>
      <c r="R64" s="4" t="n">
        <f aca="false">IF(OR(P64="",Q64=""),"",IFERROR(IF($K64="%",Q64-P64,Q64/P64-1),""))</f>
        <v>-1</v>
      </c>
      <c r="S64" s="5" t="str">
        <f aca="false">IF(OR(P64="",Q64=""),"",IF($F64="Maior Melhor",IF(Q64&gt;=P64,"Sim","Não"),IF(Q64&lt;=P64,"Sim","Não")))</f>
        <v>Não</v>
      </c>
      <c r="T64" s="7" t="n">
        <v>16</v>
      </c>
      <c r="U64" s="7" t="n">
        <v>25</v>
      </c>
      <c r="V64" s="4" t="n">
        <f aca="false">IF(OR(T64="",U64=""),"",IFERROR(IF($K64="%",U64-T64,U64/T64-1),""))</f>
        <v>0.5625</v>
      </c>
      <c r="W64" s="5" t="str">
        <f aca="false">IF(OR(T64="",U64=""),"",IF($F64="Maior Melhor",IF(U64&gt;=T64,"Sim","Não"),IF(U64&lt;=T64,"Sim","Não")))</f>
        <v>Sim</v>
      </c>
      <c r="X64" s="7" t="n">
        <v>16</v>
      </c>
      <c r="Y64" s="7" t="n">
        <v>28</v>
      </c>
      <c r="Z64" s="4" t="n">
        <f aca="false">IF(OR(X64="",Y64=""),"",IFERROR(IF($K64="%",Y64-X64,Y64/X64-1),""))</f>
        <v>0.75</v>
      </c>
      <c r="AA64" s="5" t="str">
        <f aca="false">IF(OR(X64="",Y64=""),"",IF($F64="Maior Melhor",IF(Y64&gt;=X64,"Sim","Não"),IF(Y64&lt;=X64,"Sim","Não")))</f>
        <v>Sim</v>
      </c>
      <c r="AB64" s="7" t="n">
        <v>44</v>
      </c>
      <c r="AC64" s="7" t="n">
        <v>68</v>
      </c>
      <c r="AD64" s="4" t="n">
        <f aca="false">IF(OR(AB64="",AC64=""),"",IFERROR(IF($K64="%",AC64-AB64,AC64/AB64-1),""))</f>
        <v>0.545454545454545</v>
      </c>
      <c r="AE64" s="5" t="str">
        <f aca="false">IF(OR(AB64="",AC64=""),"",IF($F64="Maior Melhor",IF(AC64&gt;=AB64,"Sim","Não"),IF(AC64&lt;=AB64,"Sim","Não")))</f>
        <v>Sim</v>
      </c>
      <c r="AF64" s="7" t="n">
        <v>16</v>
      </c>
      <c r="AG64" s="7" t="n">
        <v>27</v>
      </c>
      <c r="AH64" s="4" t="n">
        <f aca="false">IF(OR(AF64="",AG64=""),"",IFERROR(IF($K64="%",AG64-AF64,AG64/AF64-1),""))</f>
        <v>0.6875</v>
      </c>
      <c r="AI64" s="5" t="str">
        <f aca="false">IF(OR(AF64="",AG64=""),"",IF($F64="Maior Melhor",IF(AG64&gt;=AF64,"Sim","Não"),IF(AG64&lt;=AF64,"Sim","Não")))</f>
        <v>Sim</v>
      </c>
      <c r="AJ64" s="7" t="n">
        <v>60</v>
      </c>
      <c r="AK64" s="7" t="n">
        <v>95</v>
      </c>
      <c r="AL64" s="4" t="n">
        <f aca="false">IF(OR(AJ64="",AK64=""),"",IFERROR(IF($K64="%",AK64-AJ64,AK64/AJ64-1),""))</f>
        <v>0.583333333333333</v>
      </c>
      <c r="AM64" s="5" t="str">
        <f aca="false">IF(OR(AJ64="",AK64=""),"",IF($F64="Maior Melhor",IF(AK64&gt;=AJ64,"Sim","Não"),IF(AK64&lt;=AJ64,"Sim","Não")))</f>
        <v>Sim</v>
      </c>
      <c r="AN64" s="7" t="n">
        <v>16</v>
      </c>
      <c r="AO64" s="7" t="n">
        <v>26</v>
      </c>
      <c r="AP64" s="4" t="n">
        <f aca="false">IF(OR(AN64="",AO64=""),"",IFERROR(IF($K64="%",AO64-AN64,AO64/AN64-1),""))</f>
        <v>0.625</v>
      </c>
      <c r="AQ64" s="5" t="str">
        <f aca="false">IF(OR(AN64="",AO64=""),"",IF($F64="Maior Melhor",IF(AO64&gt;=AN64,"Sim","Não"),IF(AO64&lt;=AN64,"Sim","Não")))</f>
        <v>Sim</v>
      </c>
      <c r="AR64" s="7" t="n">
        <v>76</v>
      </c>
      <c r="AS64" s="7" t="n">
        <v>121</v>
      </c>
      <c r="AT64" s="4" t="n">
        <f aca="false">IF(OR(AR64="",AS64=""),"",IFERROR(IF($K64="%",AS64-AR64,AS64/AR64-1),""))</f>
        <v>0.592105263157895</v>
      </c>
      <c r="AU64" s="5" t="str">
        <f aca="false">IF(OR(AR64="",AS64=""),"",IF($F64="Maior Melhor",IF(AS64&gt;=AR64,"Sim","Não"),IF(AS64&lt;=AR64,"Sim","Não")))</f>
        <v>Sim</v>
      </c>
      <c r="AV64" s="7" t="n">
        <v>16</v>
      </c>
      <c r="AW64" s="7" t="n">
        <v>24</v>
      </c>
      <c r="AX64" s="4" t="n">
        <f aca="false">IF(OR(AV64="",AW64=""),"",IFERROR(IF($K64="%",AW64-AV64,AW64/AV64-1),""))</f>
        <v>0.5</v>
      </c>
      <c r="AY64" s="5" t="str">
        <f aca="false">IF(OR(AV64="",AW64=""),"",IF($F64="Maior Melhor",IF(AW64&gt;=AV64,"Sim","Não"),IF(AW64&lt;=AV64,"Sim","Não")))</f>
        <v>Sim</v>
      </c>
      <c r="AZ64" s="7" t="n">
        <v>95</v>
      </c>
      <c r="BA64" s="7" t="n">
        <v>145</v>
      </c>
      <c r="BB64" s="4" t="n">
        <f aca="false">IF(OR(AZ64="",BA64=""),"",IFERROR(IF($K64="%",BA64-AZ64,BA64/AZ64-1),""))</f>
        <v>0.526315789473684</v>
      </c>
      <c r="BC64" s="5" t="str">
        <f aca="false">IF(OR(AZ64="",BA64=""),"",IF($F64="Maior Melhor",IF(BA64&gt;=AZ64,"Sim","Não"),IF(BA64&lt;=AZ64,"Sim","Não")))</f>
        <v>Sim</v>
      </c>
      <c r="BD64" s="7" t="n">
        <v>16</v>
      </c>
      <c r="BE64" s="7" t="n">
        <v>24</v>
      </c>
      <c r="BF64" s="4" t="n">
        <f aca="false">IF(OR(BD64="",BE64=""),"",IFERROR(IF($K64="%",BE64-BD64,BE64/BD64-1),""))</f>
        <v>0.5</v>
      </c>
      <c r="BG64" s="5" t="str">
        <f aca="false">IF(OR(BD64="",BE64=""),"",IF($F64="Maior Melhor",IF(BE64&gt;=BD64,"Sim","Não"),IF(BE64&lt;=BD64,"Sim","Não")))</f>
        <v>Sim</v>
      </c>
      <c r="BH64" s="7" t="n">
        <v>111</v>
      </c>
      <c r="BI64" s="7" t="n">
        <v>169</v>
      </c>
      <c r="BJ64" s="4" t="n">
        <f aca="false">IF(OR(BH64="",BI64=""),"",IFERROR(IF($K64="%",BI64-BH64,BI64/BH64-1),""))</f>
        <v>0.522522522522523</v>
      </c>
      <c r="BK64" s="5" t="str">
        <f aca="false">IF(OR(BH64="",BI64=""),"",IF($F64="Maior Melhor",IF(BI64&gt;=BH64,"Sim","Não"),IF(BI64&lt;=BH64,"Sim","Não")))</f>
        <v>Sim</v>
      </c>
      <c r="BL64" s="8"/>
      <c r="BM64" s="8"/>
      <c r="BN64" s="4" t="str">
        <f aca="false">IF(OR(BL64="",BM64=""),"",IFERROR(IF($K64="%",BM64-BL64,BM64/BL64-1),""))</f>
        <v/>
      </c>
      <c r="BO64" s="5" t="str">
        <f aca="false">IF(OR(BL64="",BM64=""),"",IF($F64="Maior Melhor",IF(BM64&gt;=BL64,"Sim","Não"),IF(BM64&lt;=BL64,"Sim","Não")))</f>
        <v/>
      </c>
      <c r="BP64" s="8"/>
      <c r="BQ64" s="8"/>
      <c r="BR64" s="4" t="str">
        <f aca="false">IF(OR(BP64="",BQ64=""),"",IFERROR(IF($K64="%",BQ64-BP64,BQ64/BP64-1),""))</f>
        <v/>
      </c>
      <c r="BS64" s="5" t="str">
        <f aca="false">IF(OR(BP64="",BQ64=""),"",IF($F64="Maior Melhor",IF(BQ64&gt;=BP64,"Sim","Não"),IF(BQ64&lt;=BP64,"Sim","Não")))</f>
        <v/>
      </c>
      <c r="BT64" s="8"/>
      <c r="BU64" s="8"/>
      <c r="BV64" s="4" t="str">
        <f aca="false">IF(OR(BT64="",BU64=""),"",IFERROR(IF($K64="%",BU64-BT64,BU64/BT64-1),""))</f>
        <v/>
      </c>
      <c r="BW64" s="5" t="str">
        <f aca="false">IF(OR(BT64="",BU64=""),"",IF($F64="Maior Melhor",IF(BU64&gt;=BT64,"Sim","Não"),IF(BU64&lt;=BT64,"Sim","Não")))</f>
        <v/>
      </c>
      <c r="BX64" s="8"/>
      <c r="BY64" s="8"/>
      <c r="BZ64" s="4" t="str">
        <f aca="false">IF(OR(BX64="",BY64=""),"",IFERROR(IF($K64="%",BY64-BX64,BY64/BX64-1),""))</f>
        <v/>
      </c>
      <c r="CA64" s="5" t="str">
        <f aca="false">IF(OR(BX64="",BY64=""),"",IF($F64="Maior Melhor",IF(BY64&gt;=BX64,"Sim","Não"),IF(BY64&lt;=BX64,"Sim","Não")))</f>
        <v/>
      </c>
      <c r="CB64" s="8"/>
      <c r="CC64" s="8"/>
      <c r="CD64" s="4" t="str">
        <f aca="false">IF(OR(CB64="",CC64=""),"",IFERROR(IF($K64="%",CC64-CB64,CC64/CB64-1),""))</f>
        <v/>
      </c>
      <c r="CE64" s="5" t="str">
        <f aca="false">IF(OR(CB64="",CC64=""),"",IF($F64="Maior Melhor",IF(CC64&gt;=CB64,"Sim","Não"),IF(CC64&lt;=CB64,"Sim","Não")))</f>
        <v/>
      </c>
      <c r="CF64" s="8"/>
      <c r="CG64" s="8"/>
      <c r="CH64" s="4" t="str">
        <f aca="false">IF(OR(CF64="",CG64=""),"",IFERROR(IF($K64="%",CG64-CF64,CG64/CF64-1),""))</f>
        <v/>
      </c>
      <c r="CI64" s="5" t="str">
        <f aca="false">IF(OR(CF64="",CG64=""),"",IF($F64="Maior Melhor",IF(CG64&gt;=CF64,"Sim","Não"),IF(CG64&lt;=CF64,"Sim","Não")))</f>
        <v/>
      </c>
      <c r="CJ64" s="8"/>
      <c r="CK64" s="8"/>
      <c r="CL64" s="4" t="str">
        <f aca="false">IF(OR(CJ64="",CK64=""),"",IFERROR(IF($K64="%",CK64-CJ64,CK64/CJ64-1),""))</f>
        <v/>
      </c>
      <c r="CM64" s="5" t="str">
        <f aca="false">IF(OR(CJ64="",CK64=""),"",IF($F64="Maior Melhor",IF(CK64&gt;=CJ64,"Sim","Não"),IF(CK64&lt;=CJ64,"Sim","Não")))</f>
        <v/>
      </c>
      <c r="CN64" s="8"/>
      <c r="CO64" s="8"/>
      <c r="CP64" s="4" t="str">
        <f aca="false">IF(OR(CN64="",CO64=""),"",IFERROR(IF($K64="%",CO64-CN64,CO64/CN64-1),""))</f>
        <v/>
      </c>
      <c r="CQ64" s="5" t="str">
        <f aca="false">IF(OR(CN64="",CO64=""),"",IF($F64="Maior Melhor",IF(CO64&gt;=CN64,"Sim","Não"),IF(CO64&lt;=CN64,"Sim","Não")))</f>
        <v/>
      </c>
      <c r="CR64" s="2" t="s">
        <v>150</v>
      </c>
    </row>
    <row r="65" customFormat="false" ht="15" hidden="false" customHeight="false" outlineLevel="0" collapsed="false">
      <c r="A65" s="2" t="s">
        <v>144</v>
      </c>
      <c r="B65" s="2" t="s">
        <v>97</v>
      </c>
      <c r="C65" s="2" t="s">
        <v>121</v>
      </c>
      <c r="D65" s="2" t="s">
        <v>145</v>
      </c>
      <c r="E65" s="2" t="str">
        <f aca="false">C65&amp;D65</f>
        <v>UTD IRECÊBlitz da CIPA</v>
      </c>
      <c r="F65" s="2" t="s">
        <v>100</v>
      </c>
      <c r="G65" s="2" t="s">
        <v>146</v>
      </c>
      <c r="H65" s="2" t="s">
        <v>102</v>
      </c>
      <c r="I65" s="2" t="s">
        <v>103</v>
      </c>
      <c r="J65" s="2" t="n">
        <v>2</v>
      </c>
      <c r="K65" s="2" t="s">
        <v>147</v>
      </c>
      <c r="L65" s="7" t="n">
        <v>6</v>
      </c>
      <c r="M65" s="7" t="n">
        <v>6</v>
      </c>
      <c r="N65" s="4" t="n">
        <f aca="false">IF(OR(L65="",M65=""),"",IFERROR(IF($K65="%",M65-L65,M65/L65-1),""))</f>
        <v>0</v>
      </c>
      <c r="O65" s="5" t="str">
        <f aca="false">IF(OR(L65="",M65=""),"",IF($F65="Maior Melhor",IF(M65&gt;=L65,"Sim","Não"),IF(M65&lt;=L65,"Sim","Não")))</f>
        <v>Sim</v>
      </c>
      <c r="P65" s="7" t="n">
        <v>6</v>
      </c>
      <c r="Q65" s="7" t="n">
        <v>11</v>
      </c>
      <c r="R65" s="4" t="n">
        <f aca="false">IF(OR(P65="",Q65=""),"",IFERROR(IF($K65="%",Q65-P65,Q65/P65-1),""))</f>
        <v>0.833333333333333</v>
      </c>
      <c r="S65" s="5" t="str">
        <f aca="false">IF(OR(P65="",Q65=""),"",IF($F65="Maior Melhor",IF(Q65&gt;=P65,"Sim","Não"),IF(Q65&lt;=P65,"Sim","Não")))</f>
        <v>Sim</v>
      </c>
      <c r="T65" s="7" t="n">
        <v>24</v>
      </c>
      <c r="U65" s="7" t="n">
        <v>46</v>
      </c>
      <c r="V65" s="4" t="n">
        <f aca="false">IF(OR(T65="",U65=""),"",IFERROR(IF($K65="%",U65-T65,U65/T65-1),""))</f>
        <v>0.916666666666667</v>
      </c>
      <c r="W65" s="5" t="str">
        <f aca="false">IF(OR(T65="",U65=""),"",IF($F65="Maior Melhor",IF(U65&gt;=T65,"Sim","Não"),IF(U65&lt;=T65,"Sim","Não")))</f>
        <v>Sim</v>
      </c>
      <c r="X65" s="7" t="n">
        <v>24</v>
      </c>
      <c r="Y65" s="7" t="n">
        <v>45</v>
      </c>
      <c r="Z65" s="4" t="n">
        <f aca="false">IF(OR(X65="",Y65=""),"",IFERROR(IF($K65="%",Y65-X65,Y65/X65-1),""))</f>
        <v>0.875</v>
      </c>
      <c r="AA65" s="5" t="str">
        <f aca="false">IF(OR(X65="",Y65=""),"",IF($F65="Maior Melhor",IF(Y65&gt;=X65,"Sim","Não"),IF(Y65&lt;=X65,"Sim","Não")))</f>
        <v>Sim</v>
      </c>
      <c r="AB65" s="7" t="n">
        <v>60</v>
      </c>
      <c r="AC65" s="7" t="n">
        <v>108</v>
      </c>
      <c r="AD65" s="4" t="n">
        <f aca="false">IF(OR(AB65="",AC65=""),"",IFERROR(IF($K65="%",AC65-AB65,AC65/AB65-1),""))</f>
        <v>0.8</v>
      </c>
      <c r="AE65" s="5" t="str">
        <f aca="false">IF(OR(AB65="",AC65=""),"",IF($F65="Maior Melhor",IF(AC65&gt;=AB65,"Sim","Não"),IF(AC65&lt;=AB65,"Sim","Não")))</f>
        <v>Sim</v>
      </c>
      <c r="AF65" s="7" t="n">
        <v>24</v>
      </c>
      <c r="AG65" s="7" t="n">
        <v>9</v>
      </c>
      <c r="AH65" s="4" t="n">
        <f aca="false">IF(OR(AF65="",AG65=""),"",IFERROR(IF($K65="%",AG65-AF65,AG65/AF65-1),""))</f>
        <v>-0.625</v>
      </c>
      <c r="AI65" s="5" t="str">
        <f aca="false">IF(OR(AF65="",AG65=""),"",IF($F65="Maior Melhor",IF(AG65&gt;=AF65,"Sim","Não"),IF(AG65&lt;=AF65,"Sim","Não")))</f>
        <v>Não</v>
      </c>
      <c r="AJ65" s="7" t="n">
        <v>84</v>
      </c>
      <c r="AK65" s="7" t="n">
        <v>117</v>
      </c>
      <c r="AL65" s="4" t="n">
        <f aca="false">IF(OR(AJ65="",AK65=""),"",IFERROR(IF($K65="%",AK65-AJ65,AK65/AJ65-1),""))</f>
        <v>0.392857142857143</v>
      </c>
      <c r="AM65" s="5" t="str">
        <f aca="false">IF(OR(AJ65="",AK65=""),"",IF($F65="Maior Melhor",IF(AK65&gt;=AJ65,"Sim","Não"),IF(AK65&lt;=AJ65,"Sim","Não")))</f>
        <v>Sim</v>
      </c>
      <c r="AN65" s="7" t="n">
        <v>24</v>
      </c>
      <c r="AO65" s="7" t="n">
        <v>28</v>
      </c>
      <c r="AP65" s="4" t="n">
        <f aca="false">IF(OR(AN65="",AO65=""),"",IFERROR(IF($K65="%",AO65-AN65,AO65/AN65-1),""))</f>
        <v>0.166666666666667</v>
      </c>
      <c r="AQ65" s="5" t="str">
        <f aca="false">IF(OR(AN65="",AO65=""),"",IF($F65="Maior Melhor",IF(AO65&gt;=AN65,"Sim","Não"),IF(AO65&lt;=AN65,"Sim","Não")))</f>
        <v>Sim</v>
      </c>
      <c r="AR65" s="7" t="n">
        <v>108</v>
      </c>
      <c r="AS65" s="7" t="n">
        <v>164</v>
      </c>
      <c r="AT65" s="4" t="n">
        <f aca="false">IF(OR(AR65="",AS65=""),"",IFERROR(IF($K65="%",AS65-AR65,AS65/AR65-1),""))</f>
        <v>0.518518518518519</v>
      </c>
      <c r="AU65" s="5" t="str">
        <f aca="false">IF(OR(AR65="",AS65=""),"",IF($F65="Maior Melhor",IF(AS65&gt;=AR65,"Sim","Não"),IF(AS65&lt;=AR65,"Sim","Não")))</f>
        <v>Sim</v>
      </c>
      <c r="AV65" s="7" t="n">
        <v>24</v>
      </c>
      <c r="AW65" s="7" t="n">
        <v>46</v>
      </c>
      <c r="AX65" s="4" t="n">
        <f aca="false">IF(OR(AV65="",AW65=""),"",IFERROR(IF($K65="%",AW65-AV65,AW65/AV65-1),""))</f>
        <v>0.916666666666667</v>
      </c>
      <c r="AY65" s="5" t="str">
        <f aca="false">IF(OR(AV65="",AW65=""),"",IF($F65="Maior Melhor",IF(AW65&gt;=AV65,"Sim","Não"),IF(AW65&lt;=AV65,"Sim","Não")))</f>
        <v>Sim</v>
      </c>
      <c r="AZ65" s="7" t="n">
        <v>137</v>
      </c>
      <c r="BA65" s="7" t="n">
        <v>210</v>
      </c>
      <c r="BB65" s="4" t="n">
        <f aca="false">IF(OR(AZ65="",BA65=""),"",IFERROR(IF($K65="%",BA65-AZ65,BA65/AZ65-1),""))</f>
        <v>0.532846715328467</v>
      </c>
      <c r="BC65" s="5" t="str">
        <f aca="false">IF(OR(AZ65="",BA65=""),"",IF($F65="Maior Melhor",IF(BA65&gt;=AZ65,"Sim","Não"),IF(BA65&lt;=AZ65,"Sim","Não")))</f>
        <v>Sim</v>
      </c>
      <c r="BD65" s="7" t="n">
        <v>24</v>
      </c>
      <c r="BE65" s="7" t="n">
        <v>44</v>
      </c>
      <c r="BF65" s="4" t="n">
        <f aca="false">IF(OR(BD65="",BE65=""),"",IFERROR(IF($K65="%",BE65-BD65,BE65/BD65-1),""))</f>
        <v>0.833333333333333</v>
      </c>
      <c r="BG65" s="5" t="str">
        <f aca="false">IF(OR(BD65="",BE65=""),"",IF($F65="Maior Melhor",IF(BE65&gt;=BD65,"Sim","Não"),IF(BE65&lt;=BD65,"Sim","Não")))</f>
        <v>Sim</v>
      </c>
      <c r="BH65" s="7" t="n">
        <v>161</v>
      </c>
      <c r="BI65" s="7" t="n">
        <v>254</v>
      </c>
      <c r="BJ65" s="4" t="n">
        <f aca="false">IF(OR(BH65="",BI65=""),"",IFERROR(IF($K65="%",BI65-BH65,BI65/BH65-1),""))</f>
        <v>0.577639751552795</v>
      </c>
      <c r="BK65" s="5" t="str">
        <f aca="false">IF(OR(BH65="",BI65=""),"",IF($F65="Maior Melhor",IF(BI65&gt;=BH65,"Sim","Não"),IF(BI65&lt;=BH65,"Sim","Não")))</f>
        <v>Sim</v>
      </c>
      <c r="BL65" s="8"/>
      <c r="BM65" s="8"/>
      <c r="BN65" s="4" t="str">
        <f aca="false">IF(OR(BL65="",BM65=""),"",IFERROR(IF($K65="%",BM65-BL65,BM65/BL65-1),""))</f>
        <v/>
      </c>
      <c r="BO65" s="5" t="str">
        <f aca="false">IF(OR(BL65="",BM65=""),"",IF($F65="Maior Melhor",IF(BM65&gt;=BL65,"Sim","Não"),IF(BM65&lt;=BL65,"Sim","Não")))</f>
        <v/>
      </c>
      <c r="BP65" s="8"/>
      <c r="BQ65" s="8"/>
      <c r="BR65" s="4" t="str">
        <f aca="false">IF(OR(BP65="",BQ65=""),"",IFERROR(IF($K65="%",BQ65-BP65,BQ65/BP65-1),""))</f>
        <v/>
      </c>
      <c r="BS65" s="5" t="str">
        <f aca="false">IF(OR(BP65="",BQ65=""),"",IF($F65="Maior Melhor",IF(BQ65&gt;=BP65,"Sim","Não"),IF(BQ65&lt;=BP65,"Sim","Não")))</f>
        <v/>
      </c>
      <c r="BT65" s="8"/>
      <c r="BU65" s="8"/>
      <c r="BV65" s="4" t="str">
        <f aca="false">IF(OR(BT65="",BU65=""),"",IFERROR(IF($K65="%",BU65-BT65,BU65/BT65-1),""))</f>
        <v/>
      </c>
      <c r="BW65" s="5" t="str">
        <f aca="false">IF(OR(BT65="",BU65=""),"",IF($F65="Maior Melhor",IF(BU65&gt;=BT65,"Sim","Não"),IF(BU65&lt;=BT65,"Sim","Não")))</f>
        <v/>
      </c>
      <c r="BX65" s="8"/>
      <c r="BY65" s="8"/>
      <c r="BZ65" s="4" t="str">
        <f aca="false">IF(OR(BX65="",BY65=""),"",IFERROR(IF($K65="%",BY65-BX65,BY65/BX65-1),""))</f>
        <v/>
      </c>
      <c r="CA65" s="5" t="str">
        <f aca="false">IF(OR(BX65="",BY65=""),"",IF($F65="Maior Melhor",IF(BY65&gt;=BX65,"Sim","Não"),IF(BY65&lt;=BX65,"Sim","Não")))</f>
        <v/>
      </c>
      <c r="CB65" s="8"/>
      <c r="CC65" s="8"/>
      <c r="CD65" s="4" t="str">
        <f aca="false">IF(OR(CB65="",CC65=""),"",IFERROR(IF($K65="%",CC65-CB65,CC65/CB65-1),""))</f>
        <v/>
      </c>
      <c r="CE65" s="5" t="str">
        <f aca="false">IF(OR(CB65="",CC65=""),"",IF($F65="Maior Melhor",IF(CC65&gt;=CB65,"Sim","Não"),IF(CC65&lt;=CB65,"Sim","Não")))</f>
        <v/>
      </c>
      <c r="CF65" s="8"/>
      <c r="CG65" s="8"/>
      <c r="CH65" s="4" t="str">
        <f aca="false">IF(OR(CF65="",CG65=""),"",IFERROR(IF($K65="%",CG65-CF65,CG65/CF65-1),""))</f>
        <v/>
      </c>
      <c r="CI65" s="5" t="str">
        <f aca="false">IF(OR(CF65="",CG65=""),"",IF($F65="Maior Melhor",IF(CG65&gt;=CF65,"Sim","Não"),IF(CG65&lt;=CF65,"Sim","Não")))</f>
        <v/>
      </c>
      <c r="CJ65" s="8"/>
      <c r="CK65" s="8"/>
      <c r="CL65" s="4" t="str">
        <f aca="false">IF(OR(CJ65="",CK65=""),"",IFERROR(IF($K65="%",CK65-CJ65,CK65/CJ65-1),""))</f>
        <v/>
      </c>
      <c r="CM65" s="5" t="str">
        <f aca="false">IF(OR(CJ65="",CK65=""),"",IF($F65="Maior Melhor",IF(CK65&gt;=CJ65,"Sim","Não"),IF(CK65&lt;=CJ65,"Sim","Não")))</f>
        <v/>
      </c>
      <c r="CN65" s="8"/>
      <c r="CO65" s="8"/>
      <c r="CP65" s="4" t="str">
        <f aca="false">IF(OR(CN65="",CO65=""),"",IFERROR(IF($K65="%",CO65-CN65,CO65/CN65-1),""))</f>
        <v/>
      </c>
      <c r="CQ65" s="5" t="str">
        <f aca="false">IF(OR(CN65="",CO65=""),"",IF($F65="Maior Melhor",IF(CO65&gt;=CN65,"Sim","Não"),IF(CO65&lt;=CN65,"Sim","Não")))</f>
        <v/>
      </c>
      <c r="CR65" s="2" t="s">
        <v>105</v>
      </c>
    </row>
    <row r="66" customFormat="false" ht="15" hidden="false" customHeight="false" outlineLevel="0" collapsed="false">
      <c r="A66" s="2" t="s">
        <v>144</v>
      </c>
      <c r="B66" s="2" t="s">
        <v>97</v>
      </c>
      <c r="C66" s="2" t="s">
        <v>122</v>
      </c>
      <c r="D66" s="2" t="s">
        <v>145</v>
      </c>
      <c r="E66" s="2" t="str">
        <f aca="false">C66&amp;D66</f>
        <v>UTD ITABERABABlitz da CIPA</v>
      </c>
      <c r="F66" s="2" t="s">
        <v>100</v>
      </c>
      <c r="G66" s="2" t="s">
        <v>146</v>
      </c>
      <c r="H66" s="2" t="s">
        <v>102</v>
      </c>
      <c r="I66" s="2" t="s">
        <v>103</v>
      </c>
      <c r="J66" s="2" t="n">
        <v>2</v>
      </c>
      <c r="K66" s="2" t="s">
        <v>147</v>
      </c>
      <c r="L66" s="7" t="n">
        <v>6</v>
      </c>
      <c r="M66" s="7" t="n">
        <v>11</v>
      </c>
      <c r="N66" s="4" t="n">
        <f aca="false">IF(OR(L66="",M66=""),"",IFERROR(IF($K66="%",M66-L66,M66/L66-1),""))</f>
        <v>0.833333333333333</v>
      </c>
      <c r="O66" s="5" t="str">
        <f aca="false">IF(OR(L66="",M66=""),"",IF($F66="Maior Melhor",IF(M66&gt;=L66,"Sim","Não"),IF(M66&lt;=L66,"Sim","Não")))</f>
        <v>Sim</v>
      </c>
      <c r="P66" s="7" t="n">
        <v>6</v>
      </c>
      <c r="Q66" s="7" t="n">
        <v>7</v>
      </c>
      <c r="R66" s="4" t="n">
        <f aca="false">IF(OR(P66="",Q66=""),"",IFERROR(IF($K66="%",Q66-P66,Q66/P66-1),""))</f>
        <v>0.166666666666667</v>
      </c>
      <c r="S66" s="5" t="str">
        <f aca="false">IF(OR(P66="",Q66=""),"",IF($F66="Maior Melhor",IF(Q66&gt;=P66,"Sim","Não"),IF(Q66&lt;=P66,"Sim","Não")))</f>
        <v>Sim</v>
      </c>
      <c r="T66" s="7" t="n">
        <v>16</v>
      </c>
      <c r="U66" s="7" t="n">
        <v>26</v>
      </c>
      <c r="V66" s="4" t="n">
        <f aca="false">IF(OR(T66="",U66=""),"",IFERROR(IF($K66="%",U66-T66,U66/T66-1),""))</f>
        <v>0.625</v>
      </c>
      <c r="W66" s="5" t="str">
        <f aca="false">IF(OR(T66="",U66=""),"",IF($F66="Maior Melhor",IF(U66&gt;=T66,"Sim","Não"),IF(U66&lt;=T66,"Sim","Não")))</f>
        <v>Sim</v>
      </c>
      <c r="X66" s="7" t="n">
        <v>16</v>
      </c>
      <c r="Y66" s="7" t="n">
        <v>25</v>
      </c>
      <c r="Z66" s="4" t="n">
        <f aca="false">IF(OR(X66="",Y66=""),"",IFERROR(IF($K66="%",Y66-X66,Y66/X66-1),""))</f>
        <v>0.5625</v>
      </c>
      <c r="AA66" s="5" t="str">
        <f aca="false">IF(OR(X66="",Y66=""),"",IF($F66="Maior Melhor",IF(Y66&gt;=X66,"Sim","Não"),IF(Y66&lt;=X66,"Sim","Não")))</f>
        <v>Sim</v>
      </c>
      <c r="AB66" s="7" t="n">
        <v>44</v>
      </c>
      <c r="AC66" s="7" t="n">
        <v>69</v>
      </c>
      <c r="AD66" s="4" t="n">
        <f aca="false">IF(OR(AB66="",AC66=""),"",IFERROR(IF($K66="%",AC66-AB66,AC66/AB66-1),""))</f>
        <v>0.568181818181818</v>
      </c>
      <c r="AE66" s="5" t="str">
        <f aca="false">IF(OR(AB66="",AC66=""),"",IF($F66="Maior Melhor",IF(AC66&gt;=AB66,"Sim","Não"),IF(AC66&lt;=AB66,"Sim","Não")))</f>
        <v>Sim</v>
      </c>
      <c r="AF66" s="7" t="n">
        <v>16</v>
      </c>
      <c r="AG66" s="7" t="n">
        <v>25</v>
      </c>
      <c r="AH66" s="4" t="n">
        <f aca="false">IF(OR(AF66="",AG66=""),"",IFERROR(IF($K66="%",AG66-AF66,AG66/AF66-1),""))</f>
        <v>0.5625</v>
      </c>
      <c r="AI66" s="5" t="str">
        <f aca="false">IF(OR(AF66="",AG66=""),"",IF($F66="Maior Melhor",IF(AG66&gt;=AF66,"Sim","Não"),IF(AG66&lt;=AF66,"Sim","Não")))</f>
        <v>Sim</v>
      </c>
      <c r="AJ66" s="7" t="n">
        <v>60</v>
      </c>
      <c r="AK66" s="7" t="n">
        <v>94</v>
      </c>
      <c r="AL66" s="4" t="n">
        <f aca="false">IF(OR(AJ66="",AK66=""),"",IFERROR(IF($K66="%",AK66-AJ66,AK66/AJ66-1),""))</f>
        <v>0.566666666666667</v>
      </c>
      <c r="AM66" s="5" t="str">
        <f aca="false">IF(OR(AJ66="",AK66=""),"",IF($F66="Maior Melhor",IF(AK66&gt;=AJ66,"Sim","Não"),IF(AK66&lt;=AJ66,"Sim","Não")))</f>
        <v>Sim</v>
      </c>
      <c r="AN66" s="7" t="n">
        <v>16</v>
      </c>
      <c r="AO66" s="7" t="n">
        <v>26</v>
      </c>
      <c r="AP66" s="4" t="n">
        <f aca="false">IF(OR(AN66="",AO66=""),"",IFERROR(IF($K66="%",AO66-AN66,AO66/AN66-1),""))</f>
        <v>0.625</v>
      </c>
      <c r="AQ66" s="5" t="str">
        <f aca="false">IF(OR(AN66="",AO66=""),"",IF($F66="Maior Melhor",IF(AO66&gt;=AN66,"Sim","Não"),IF(AO66&lt;=AN66,"Sim","Não")))</f>
        <v>Sim</v>
      </c>
      <c r="AR66" s="7" t="n">
        <v>76</v>
      </c>
      <c r="AS66" s="7" t="n">
        <v>120</v>
      </c>
      <c r="AT66" s="4" t="n">
        <f aca="false">IF(OR(AR66="",AS66=""),"",IFERROR(IF($K66="%",AS66-AR66,AS66/AR66-1),""))</f>
        <v>0.578947368421053</v>
      </c>
      <c r="AU66" s="5" t="str">
        <f aca="false">IF(OR(AR66="",AS66=""),"",IF($F66="Maior Melhor",IF(AS66&gt;=AR66,"Sim","Não"),IF(AS66&lt;=AR66,"Sim","Não")))</f>
        <v>Sim</v>
      </c>
      <c r="AV66" s="7" t="n">
        <v>16</v>
      </c>
      <c r="AW66" s="7" t="n">
        <v>27</v>
      </c>
      <c r="AX66" s="4" t="n">
        <f aca="false">IF(OR(AV66="",AW66=""),"",IFERROR(IF($K66="%",AW66-AV66,AW66/AV66-1),""))</f>
        <v>0.6875</v>
      </c>
      <c r="AY66" s="5" t="str">
        <f aca="false">IF(OR(AV66="",AW66=""),"",IF($F66="Maior Melhor",IF(AW66&gt;=AV66,"Sim","Não"),IF(AW66&lt;=AV66,"Sim","Não")))</f>
        <v>Sim</v>
      </c>
      <c r="AZ66" s="7" t="n">
        <v>98</v>
      </c>
      <c r="BA66" s="7" t="n">
        <v>147</v>
      </c>
      <c r="BB66" s="4" t="n">
        <f aca="false">IF(OR(AZ66="",BA66=""),"",IFERROR(IF($K66="%",BA66-AZ66,BA66/AZ66-1),""))</f>
        <v>0.5</v>
      </c>
      <c r="BC66" s="5" t="str">
        <f aca="false">IF(OR(AZ66="",BA66=""),"",IF($F66="Maior Melhor",IF(BA66&gt;=AZ66,"Sim","Não"),IF(BA66&lt;=AZ66,"Sim","Não")))</f>
        <v>Sim</v>
      </c>
      <c r="BD66" s="7" t="n">
        <v>16</v>
      </c>
      <c r="BE66" s="7" t="n">
        <v>28</v>
      </c>
      <c r="BF66" s="4" t="n">
        <f aca="false">IF(OR(BD66="",BE66=""),"",IFERROR(IF($K66="%",BE66-BD66,BE66/BD66-1),""))</f>
        <v>0.75</v>
      </c>
      <c r="BG66" s="5" t="str">
        <f aca="false">IF(OR(BD66="",BE66=""),"",IF($F66="Maior Melhor",IF(BE66&gt;=BD66,"Sim","Não"),IF(BE66&lt;=BD66,"Sim","Não")))</f>
        <v>Sim</v>
      </c>
      <c r="BH66" s="7" t="n">
        <v>114</v>
      </c>
      <c r="BI66" s="7" t="n">
        <v>175</v>
      </c>
      <c r="BJ66" s="4" t="n">
        <f aca="false">IF(OR(BH66="",BI66=""),"",IFERROR(IF($K66="%",BI66-BH66,BI66/BH66-1),""))</f>
        <v>0.535087719298246</v>
      </c>
      <c r="BK66" s="5" t="str">
        <f aca="false">IF(OR(BH66="",BI66=""),"",IF($F66="Maior Melhor",IF(BI66&gt;=BH66,"Sim","Não"),IF(BI66&lt;=BH66,"Sim","Não")))</f>
        <v>Sim</v>
      </c>
      <c r="BL66" s="8"/>
      <c r="BM66" s="8"/>
      <c r="BN66" s="4" t="str">
        <f aca="false">IF(OR(BL66="",BM66=""),"",IFERROR(IF($K66="%",BM66-BL66,BM66/BL66-1),""))</f>
        <v/>
      </c>
      <c r="BO66" s="5" t="str">
        <f aca="false">IF(OR(BL66="",BM66=""),"",IF($F66="Maior Melhor",IF(BM66&gt;=BL66,"Sim","Não"),IF(BM66&lt;=BL66,"Sim","Não")))</f>
        <v/>
      </c>
      <c r="BP66" s="8"/>
      <c r="BQ66" s="8"/>
      <c r="BR66" s="4" t="str">
        <f aca="false">IF(OR(BP66="",BQ66=""),"",IFERROR(IF($K66="%",BQ66-BP66,BQ66/BP66-1),""))</f>
        <v/>
      </c>
      <c r="BS66" s="5" t="str">
        <f aca="false">IF(OR(BP66="",BQ66=""),"",IF($F66="Maior Melhor",IF(BQ66&gt;=BP66,"Sim","Não"),IF(BQ66&lt;=BP66,"Sim","Não")))</f>
        <v/>
      </c>
      <c r="BT66" s="8"/>
      <c r="BU66" s="8"/>
      <c r="BV66" s="4" t="str">
        <f aca="false">IF(OR(BT66="",BU66=""),"",IFERROR(IF($K66="%",BU66-BT66,BU66/BT66-1),""))</f>
        <v/>
      </c>
      <c r="BW66" s="5" t="str">
        <f aca="false">IF(OR(BT66="",BU66=""),"",IF($F66="Maior Melhor",IF(BU66&gt;=BT66,"Sim","Não"),IF(BU66&lt;=BT66,"Sim","Não")))</f>
        <v/>
      </c>
      <c r="BX66" s="8"/>
      <c r="BY66" s="8"/>
      <c r="BZ66" s="4" t="str">
        <f aca="false">IF(OR(BX66="",BY66=""),"",IFERROR(IF($K66="%",BY66-BX66,BY66/BX66-1),""))</f>
        <v/>
      </c>
      <c r="CA66" s="5" t="str">
        <f aca="false">IF(OR(BX66="",BY66=""),"",IF($F66="Maior Melhor",IF(BY66&gt;=BX66,"Sim","Não"),IF(BY66&lt;=BX66,"Sim","Não")))</f>
        <v/>
      </c>
      <c r="CB66" s="8"/>
      <c r="CC66" s="8"/>
      <c r="CD66" s="4" t="str">
        <f aca="false">IF(OR(CB66="",CC66=""),"",IFERROR(IF($K66="%",CC66-CB66,CC66/CB66-1),""))</f>
        <v/>
      </c>
      <c r="CE66" s="5" t="str">
        <f aca="false">IF(OR(CB66="",CC66=""),"",IF($F66="Maior Melhor",IF(CC66&gt;=CB66,"Sim","Não"),IF(CC66&lt;=CB66,"Sim","Não")))</f>
        <v/>
      </c>
      <c r="CF66" s="8"/>
      <c r="CG66" s="8"/>
      <c r="CH66" s="4" t="str">
        <f aca="false">IF(OR(CF66="",CG66=""),"",IFERROR(IF($K66="%",CG66-CF66,CG66/CF66-1),""))</f>
        <v/>
      </c>
      <c r="CI66" s="5" t="str">
        <f aca="false">IF(OR(CF66="",CG66=""),"",IF($F66="Maior Melhor",IF(CG66&gt;=CF66,"Sim","Não"),IF(CG66&lt;=CF66,"Sim","Não")))</f>
        <v/>
      </c>
      <c r="CJ66" s="8"/>
      <c r="CK66" s="8"/>
      <c r="CL66" s="4" t="str">
        <f aca="false">IF(OR(CJ66="",CK66=""),"",IFERROR(IF($K66="%",CK66-CJ66,CK66/CJ66-1),""))</f>
        <v/>
      </c>
      <c r="CM66" s="5" t="str">
        <f aca="false">IF(OR(CJ66="",CK66=""),"",IF($F66="Maior Melhor",IF(CK66&gt;=CJ66,"Sim","Não"),IF(CK66&lt;=CJ66,"Sim","Não")))</f>
        <v/>
      </c>
      <c r="CN66" s="8"/>
      <c r="CO66" s="8"/>
      <c r="CP66" s="4" t="str">
        <f aca="false">IF(OR(CN66="",CO66=""),"",IFERROR(IF($K66="%",CO66-CN66,CO66/CN66-1),""))</f>
        <v/>
      </c>
      <c r="CQ66" s="5" t="str">
        <f aca="false">IF(OR(CN66="",CO66=""),"",IF($F66="Maior Melhor",IF(CO66&gt;=CN66,"Sim","Não"),IF(CO66&lt;=CN66,"Sim","Não")))</f>
        <v/>
      </c>
      <c r="CR66" s="2" t="s">
        <v>135</v>
      </c>
    </row>
    <row r="67" customFormat="false" ht="15" hidden="false" customHeight="false" outlineLevel="0" collapsed="false">
      <c r="A67" s="2" t="s">
        <v>144</v>
      </c>
      <c r="B67" s="2" t="s">
        <v>108</v>
      </c>
      <c r="C67" s="2" t="s">
        <v>124</v>
      </c>
      <c r="D67" s="2" t="s">
        <v>145</v>
      </c>
      <c r="E67" s="2" t="str">
        <f aca="false">C67&amp;D67</f>
        <v>UTD ITAPETINGABlitz da CIPA</v>
      </c>
      <c r="F67" s="2" t="s">
        <v>100</v>
      </c>
      <c r="G67" s="2" t="s">
        <v>146</v>
      </c>
      <c r="H67" s="2" t="s">
        <v>102</v>
      </c>
      <c r="I67" s="2" t="s">
        <v>103</v>
      </c>
      <c r="J67" s="2" t="n">
        <v>2</v>
      </c>
      <c r="K67" s="2" t="s">
        <v>147</v>
      </c>
      <c r="L67" s="7" t="n">
        <v>6</v>
      </c>
      <c r="M67" s="7" t="n">
        <v>17</v>
      </c>
      <c r="N67" s="4" t="n">
        <f aca="false">IF(OR(L67="",M67=""),"",IFERROR(IF($K67="%",M67-L67,M67/L67-1),""))</f>
        <v>1.83333333333333</v>
      </c>
      <c r="O67" s="5" t="str">
        <f aca="false">IF(OR(L67="",M67=""),"",IF($F67="Maior Melhor",IF(M67&gt;=L67,"Sim","Não"),IF(M67&lt;=L67,"Sim","Não")))</f>
        <v>Sim</v>
      </c>
      <c r="P67" s="7" t="n">
        <v>6</v>
      </c>
      <c r="Q67" s="7" t="n">
        <v>10</v>
      </c>
      <c r="R67" s="4" t="n">
        <f aca="false">IF(OR(P67="",Q67=""),"",IFERROR(IF($K67="%",Q67-P67,Q67/P67-1),""))</f>
        <v>0.666666666666667</v>
      </c>
      <c r="S67" s="5" t="str">
        <f aca="false">IF(OR(P67="",Q67=""),"",IF($F67="Maior Melhor",IF(Q67&gt;=P67,"Sim","Não"),IF(Q67&lt;=P67,"Sim","Não")))</f>
        <v>Sim</v>
      </c>
      <c r="T67" s="7" t="n">
        <v>16</v>
      </c>
      <c r="U67" s="7" t="n">
        <v>36</v>
      </c>
      <c r="V67" s="4" t="n">
        <f aca="false">IF(OR(T67="",U67=""),"",IFERROR(IF($K67="%",U67-T67,U67/T67-1),""))</f>
        <v>1.25</v>
      </c>
      <c r="W67" s="5" t="str">
        <f aca="false">IF(OR(T67="",U67=""),"",IF($F67="Maior Melhor",IF(U67&gt;=T67,"Sim","Não"),IF(U67&lt;=T67,"Sim","Não")))</f>
        <v>Sim</v>
      </c>
      <c r="X67" s="7" t="n">
        <v>16</v>
      </c>
      <c r="Y67" s="7" t="n">
        <v>24</v>
      </c>
      <c r="Z67" s="4" t="n">
        <f aca="false">IF(OR(X67="",Y67=""),"",IFERROR(IF($K67="%",Y67-X67,Y67/X67-1),""))</f>
        <v>0.5</v>
      </c>
      <c r="AA67" s="5" t="str">
        <f aca="false">IF(OR(X67="",Y67=""),"",IF($F67="Maior Melhor",IF(Y67&gt;=X67,"Sim","Não"),IF(Y67&lt;=X67,"Sim","Não")))</f>
        <v>Sim</v>
      </c>
      <c r="AB67" s="7" t="n">
        <v>44</v>
      </c>
      <c r="AC67" s="7" t="n">
        <v>87</v>
      </c>
      <c r="AD67" s="4" t="n">
        <f aca="false">IF(OR(AB67="",AC67=""),"",IFERROR(IF($K67="%",AC67-AB67,AC67/AB67-1),""))</f>
        <v>0.977272727272727</v>
      </c>
      <c r="AE67" s="5" t="str">
        <f aca="false">IF(OR(AB67="",AC67=""),"",IF($F67="Maior Melhor",IF(AC67&gt;=AB67,"Sim","Não"),IF(AC67&lt;=AB67,"Sim","Não")))</f>
        <v>Sim</v>
      </c>
      <c r="AF67" s="7" t="n">
        <v>16</v>
      </c>
      <c r="AG67" s="7" t="n">
        <v>26</v>
      </c>
      <c r="AH67" s="4" t="n">
        <f aca="false">IF(OR(AF67="",AG67=""),"",IFERROR(IF($K67="%",AG67-AF67,AG67/AF67-1),""))</f>
        <v>0.625</v>
      </c>
      <c r="AI67" s="5" t="str">
        <f aca="false">IF(OR(AF67="",AG67=""),"",IF($F67="Maior Melhor",IF(AG67&gt;=AF67,"Sim","Não"),IF(AG67&lt;=AF67,"Sim","Não")))</f>
        <v>Sim</v>
      </c>
      <c r="AJ67" s="7" t="n">
        <v>60</v>
      </c>
      <c r="AK67" s="7" t="n">
        <v>113</v>
      </c>
      <c r="AL67" s="4" t="n">
        <f aca="false">IF(OR(AJ67="",AK67=""),"",IFERROR(IF($K67="%",AK67-AJ67,AK67/AJ67-1),""))</f>
        <v>0.883333333333333</v>
      </c>
      <c r="AM67" s="5" t="str">
        <f aca="false">IF(OR(AJ67="",AK67=""),"",IF($F67="Maior Melhor",IF(AK67&gt;=AJ67,"Sim","Não"),IF(AK67&lt;=AJ67,"Sim","Não")))</f>
        <v>Sim</v>
      </c>
      <c r="AN67" s="7" t="n">
        <v>16</v>
      </c>
      <c r="AO67" s="7" t="n">
        <v>28</v>
      </c>
      <c r="AP67" s="4" t="n">
        <f aca="false">IF(OR(AN67="",AO67=""),"",IFERROR(IF($K67="%",AO67-AN67,AO67/AN67-1),""))</f>
        <v>0.75</v>
      </c>
      <c r="AQ67" s="5" t="str">
        <f aca="false">IF(OR(AN67="",AO67=""),"",IF($F67="Maior Melhor",IF(AO67&gt;=AN67,"Sim","Não"),IF(AO67&lt;=AN67,"Sim","Não")))</f>
        <v>Sim</v>
      </c>
      <c r="AR67" s="7" t="n">
        <v>76</v>
      </c>
      <c r="AS67" s="7" t="n">
        <v>141</v>
      </c>
      <c r="AT67" s="4" t="n">
        <f aca="false">IF(OR(AR67="",AS67=""),"",IFERROR(IF($K67="%",AS67-AR67,AS67/AR67-1),""))</f>
        <v>0.855263157894737</v>
      </c>
      <c r="AU67" s="5" t="str">
        <f aca="false">IF(OR(AR67="",AS67=""),"",IF($F67="Maior Melhor",IF(AS67&gt;=AR67,"Sim","Não"),IF(AS67&lt;=AR67,"Sim","Não")))</f>
        <v>Sim</v>
      </c>
      <c r="AV67" s="7" t="n">
        <v>16</v>
      </c>
      <c r="AW67" s="7" t="n">
        <v>35</v>
      </c>
      <c r="AX67" s="4" t="n">
        <f aca="false">IF(OR(AV67="",AW67=""),"",IFERROR(IF($K67="%",AW67-AV67,AW67/AV67-1),""))</f>
        <v>1.1875</v>
      </c>
      <c r="AY67" s="5" t="str">
        <f aca="false">IF(OR(AV67="",AW67=""),"",IF($F67="Maior Melhor",IF(AW67&gt;=AV67,"Sim","Não"),IF(AW67&lt;=AV67,"Sim","Não")))</f>
        <v>Sim</v>
      </c>
      <c r="AZ67" s="7" t="n">
        <v>107</v>
      </c>
      <c r="BA67" s="7" t="n">
        <v>176</v>
      </c>
      <c r="BB67" s="4" t="n">
        <f aca="false">IF(OR(AZ67="",BA67=""),"",IFERROR(IF($K67="%",BA67-AZ67,BA67/AZ67-1),""))</f>
        <v>0.644859813084112</v>
      </c>
      <c r="BC67" s="5" t="str">
        <f aca="false">IF(OR(AZ67="",BA67=""),"",IF($F67="Maior Melhor",IF(BA67&gt;=AZ67,"Sim","Não"),IF(BA67&lt;=AZ67,"Sim","Não")))</f>
        <v>Sim</v>
      </c>
      <c r="BD67" s="7" t="n">
        <v>16</v>
      </c>
      <c r="BE67" s="7" t="n">
        <v>21</v>
      </c>
      <c r="BF67" s="4" t="n">
        <f aca="false">IF(OR(BD67="",BE67=""),"",IFERROR(IF($K67="%",BE67-BD67,BE67/BD67-1),""))</f>
        <v>0.3125</v>
      </c>
      <c r="BG67" s="5" t="str">
        <f aca="false">IF(OR(BD67="",BE67=""),"",IF($F67="Maior Melhor",IF(BE67&gt;=BD67,"Sim","Não"),IF(BE67&lt;=BD67,"Sim","Não")))</f>
        <v>Sim</v>
      </c>
      <c r="BH67" s="7" t="n">
        <v>123</v>
      </c>
      <c r="BI67" s="7" t="n">
        <v>197</v>
      </c>
      <c r="BJ67" s="4" t="n">
        <f aca="false">IF(OR(BH67="",BI67=""),"",IFERROR(IF($K67="%",BI67-BH67,BI67/BH67-1),""))</f>
        <v>0.601626016260163</v>
      </c>
      <c r="BK67" s="5" t="str">
        <f aca="false">IF(OR(BH67="",BI67=""),"",IF($F67="Maior Melhor",IF(BI67&gt;=BH67,"Sim","Não"),IF(BI67&lt;=BH67,"Sim","Não")))</f>
        <v>Sim</v>
      </c>
      <c r="BL67" s="8"/>
      <c r="BM67" s="8"/>
      <c r="BN67" s="4" t="str">
        <f aca="false">IF(OR(BL67="",BM67=""),"",IFERROR(IF($K67="%",BM67-BL67,BM67/BL67-1),""))</f>
        <v/>
      </c>
      <c r="BO67" s="5" t="str">
        <f aca="false">IF(OR(BL67="",BM67=""),"",IF($F67="Maior Melhor",IF(BM67&gt;=BL67,"Sim","Não"),IF(BM67&lt;=BL67,"Sim","Não")))</f>
        <v/>
      </c>
      <c r="BP67" s="8"/>
      <c r="BQ67" s="8"/>
      <c r="BR67" s="4" t="str">
        <f aca="false">IF(OR(BP67="",BQ67=""),"",IFERROR(IF($K67="%",BQ67-BP67,BQ67/BP67-1),""))</f>
        <v/>
      </c>
      <c r="BS67" s="5" t="str">
        <f aca="false">IF(OR(BP67="",BQ67=""),"",IF($F67="Maior Melhor",IF(BQ67&gt;=BP67,"Sim","Não"),IF(BQ67&lt;=BP67,"Sim","Não")))</f>
        <v/>
      </c>
      <c r="BT67" s="8"/>
      <c r="BU67" s="8"/>
      <c r="BV67" s="4" t="str">
        <f aca="false">IF(OR(BT67="",BU67=""),"",IFERROR(IF($K67="%",BU67-BT67,BU67/BT67-1),""))</f>
        <v/>
      </c>
      <c r="BW67" s="5" t="str">
        <f aca="false">IF(OR(BT67="",BU67=""),"",IF($F67="Maior Melhor",IF(BU67&gt;=BT67,"Sim","Não"),IF(BU67&lt;=BT67,"Sim","Não")))</f>
        <v/>
      </c>
      <c r="BX67" s="8"/>
      <c r="BY67" s="8"/>
      <c r="BZ67" s="4" t="str">
        <f aca="false">IF(OR(BX67="",BY67=""),"",IFERROR(IF($K67="%",BY67-BX67,BY67/BX67-1),""))</f>
        <v/>
      </c>
      <c r="CA67" s="5" t="str">
        <f aca="false">IF(OR(BX67="",BY67=""),"",IF($F67="Maior Melhor",IF(BY67&gt;=BX67,"Sim","Não"),IF(BY67&lt;=BX67,"Sim","Não")))</f>
        <v/>
      </c>
      <c r="CB67" s="8"/>
      <c r="CC67" s="8"/>
      <c r="CD67" s="4" t="str">
        <f aca="false">IF(OR(CB67="",CC67=""),"",IFERROR(IF($K67="%",CC67-CB67,CC67/CB67-1),""))</f>
        <v/>
      </c>
      <c r="CE67" s="5" t="str">
        <f aca="false">IF(OR(CB67="",CC67=""),"",IF($F67="Maior Melhor",IF(CC67&gt;=CB67,"Sim","Não"),IF(CC67&lt;=CB67,"Sim","Não")))</f>
        <v/>
      </c>
      <c r="CF67" s="8"/>
      <c r="CG67" s="8"/>
      <c r="CH67" s="4" t="str">
        <f aca="false">IF(OR(CF67="",CG67=""),"",IFERROR(IF($K67="%",CG67-CF67,CG67/CF67-1),""))</f>
        <v/>
      </c>
      <c r="CI67" s="5" t="str">
        <f aca="false">IF(OR(CF67="",CG67=""),"",IF($F67="Maior Melhor",IF(CG67&gt;=CF67,"Sim","Não"),IF(CG67&lt;=CF67,"Sim","Não")))</f>
        <v/>
      </c>
      <c r="CJ67" s="8"/>
      <c r="CK67" s="8"/>
      <c r="CL67" s="4" t="str">
        <f aca="false">IF(OR(CJ67="",CK67=""),"",IFERROR(IF($K67="%",CK67-CJ67,CK67/CJ67-1),""))</f>
        <v/>
      </c>
      <c r="CM67" s="5" t="str">
        <f aca="false">IF(OR(CJ67="",CK67=""),"",IF($F67="Maior Melhor",IF(CK67&gt;=CJ67,"Sim","Não"),IF(CK67&lt;=CJ67,"Sim","Não")))</f>
        <v/>
      </c>
      <c r="CN67" s="8"/>
      <c r="CO67" s="8"/>
      <c r="CP67" s="4" t="str">
        <f aca="false">IF(OR(CN67="",CO67=""),"",IFERROR(IF($K67="%",CO67-CN67,CO67/CN67-1),""))</f>
        <v/>
      </c>
      <c r="CQ67" s="5" t="str">
        <f aca="false">IF(OR(CN67="",CO67=""),"",IF($F67="Maior Melhor",IF(CO67&gt;=CN67,"Sim","Não"),IF(CO67&lt;=CN67,"Sim","Não")))</f>
        <v/>
      </c>
      <c r="CR67" s="2" t="s">
        <v>105</v>
      </c>
    </row>
    <row r="68" customFormat="false" ht="15" hidden="false" customHeight="false" outlineLevel="0" collapsed="false">
      <c r="A68" s="2" t="s">
        <v>144</v>
      </c>
      <c r="B68" s="2" t="s">
        <v>97</v>
      </c>
      <c r="C68" s="2" t="s">
        <v>125</v>
      </c>
      <c r="D68" s="2" t="s">
        <v>145</v>
      </c>
      <c r="E68" s="2" t="str">
        <f aca="false">C68&amp;D68</f>
        <v>UTD JEQUIÉBlitz da CIPA</v>
      </c>
      <c r="F68" s="2" t="s">
        <v>100</v>
      </c>
      <c r="G68" s="2" t="s">
        <v>146</v>
      </c>
      <c r="H68" s="2" t="s">
        <v>102</v>
      </c>
      <c r="I68" s="2" t="s">
        <v>103</v>
      </c>
      <c r="J68" s="2" t="n">
        <v>2</v>
      </c>
      <c r="K68" s="2" t="s">
        <v>147</v>
      </c>
      <c r="L68" s="7" t="n">
        <v>6</v>
      </c>
      <c r="M68" s="7" t="n">
        <v>8</v>
      </c>
      <c r="N68" s="4" t="n">
        <f aca="false">IF(OR(L68="",M68=""),"",IFERROR(IF($K68="%",M68-L68,M68/L68-1),""))</f>
        <v>0.333333333333333</v>
      </c>
      <c r="O68" s="5" t="str">
        <f aca="false">IF(OR(L68="",M68=""),"",IF($F68="Maior Melhor",IF(M68&gt;=L68,"Sim","Não"),IF(M68&lt;=L68,"Sim","Não")))</f>
        <v>Sim</v>
      </c>
      <c r="P68" s="7" t="n">
        <v>6</v>
      </c>
      <c r="Q68" s="7" t="n">
        <v>6</v>
      </c>
      <c r="R68" s="4" t="n">
        <f aca="false">IF(OR(P68="",Q68=""),"",IFERROR(IF($K68="%",Q68-P68,Q68/P68-1),""))</f>
        <v>0</v>
      </c>
      <c r="S68" s="5" t="str">
        <f aca="false">IF(OR(P68="",Q68=""),"",IF($F68="Maior Melhor",IF(Q68&gt;=P68,"Sim","Não"),IF(Q68&lt;=P68,"Sim","Não")))</f>
        <v>Sim</v>
      </c>
      <c r="T68" s="7" t="n">
        <v>16</v>
      </c>
      <c r="U68" s="7" t="n">
        <v>22</v>
      </c>
      <c r="V68" s="4" t="n">
        <f aca="false">IF(OR(T68="",U68=""),"",IFERROR(IF($K68="%",U68-T68,U68/T68-1),""))</f>
        <v>0.375</v>
      </c>
      <c r="W68" s="5" t="str">
        <f aca="false">IF(OR(T68="",U68=""),"",IF($F68="Maior Melhor",IF(U68&gt;=T68,"Sim","Não"),IF(U68&lt;=T68,"Sim","Não")))</f>
        <v>Sim</v>
      </c>
      <c r="X68" s="7" t="n">
        <v>16</v>
      </c>
      <c r="Y68" s="7" t="n">
        <v>25</v>
      </c>
      <c r="Z68" s="4" t="n">
        <f aca="false">IF(OR(X68="",Y68=""),"",IFERROR(IF($K68="%",Y68-X68,Y68/X68-1),""))</f>
        <v>0.5625</v>
      </c>
      <c r="AA68" s="5" t="str">
        <f aca="false">IF(OR(X68="",Y68=""),"",IF($F68="Maior Melhor",IF(Y68&gt;=X68,"Sim","Não"),IF(Y68&lt;=X68,"Sim","Não")))</f>
        <v>Sim</v>
      </c>
      <c r="AB68" s="7" t="n">
        <v>44</v>
      </c>
      <c r="AC68" s="7" t="n">
        <v>61</v>
      </c>
      <c r="AD68" s="4" t="n">
        <f aca="false">IF(OR(AB68="",AC68=""),"",IFERROR(IF($K68="%",AC68-AB68,AC68/AB68-1),""))</f>
        <v>0.386363636363636</v>
      </c>
      <c r="AE68" s="5" t="str">
        <f aca="false">IF(OR(AB68="",AC68=""),"",IF($F68="Maior Melhor",IF(AC68&gt;=AB68,"Sim","Não"),IF(AC68&lt;=AB68,"Sim","Não")))</f>
        <v>Sim</v>
      </c>
      <c r="AF68" s="7" t="n">
        <v>16</v>
      </c>
      <c r="AG68" s="7" t="n">
        <v>18</v>
      </c>
      <c r="AH68" s="4" t="n">
        <f aca="false">IF(OR(AF68="",AG68=""),"",IFERROR(IF($K68="%",AG68-AF68,AG68/AF68-1),""))</f>
        <v>0.125</v>
      </c>
      <c r="AI68" s="5" t="str">
        <f aca="false">IF(OR(AF68="",AG68=""),"",IF($F68="Maior Melhor",IF(AG68&gt;=AF68,"Sim","Não"),IF(AG68&lt;=AF68,"Sim","Não")))</f>
        <v>Sim</v>
      </c>
      <c r="AJ68" s="7" t="n">
        <v>60</v>
      </c>
      <c r="AK68" s="7" t="n">
        <v>79</v>
      </c>
      <c r="AL68" s="4" t="n">
        <f aca="false">IF(OR(AJ68="",AK68=""),"",IFERROR(IF($K68="%",AK68-AJ68,AK68/AJ68-1),""))</f>
        <v>0.316666666666667</v>
      </c>
      <c r="AM68" s="5" t="str">
        <f aca="false">IF(OR(AJ68="",AK68=""),"",IF($F68="Maior Melhor",IF(AK68&gt;=AJ68,"Sim","Não"),IF(AK68&lt;=AJ68,"Sim","Não")))</f>
        <v>Sim</v>
      </c>
      <c r="AN68" s="7" t="n">
        <v>16</v>
      </c>
      <c r="AO68" s="7" t="n">
        <v>24</v>
      </c>
      <c r="AP68" s="4" t="n">
        <f aca="false">IF(OR(AN68="",AO68=""),"",IFERROR(IF($K68="%",AO68-AN68,AO68/AN68-1),""))</f>
        <v>0.5</v>
      </c>
      <c r="AQ68" s="5" t="str">
        <f aca="false">IF(OR(AN68="",AO68=""),"",IF($F68="Maior Melhor",IF(AO68&gt;=AN68,"Sim","Não"),IF(AO68&lt;=AN68,"Sim","Não")))</f>
        <v>Sim</v>
      </c>
      <c r="AR68" s="7" t="n">
        <v>76</v>
      </c>
      <c r="AS68" s="7" t="n">
        <v>103</v>
      </c>
      <c r="AT68" s="4" t="n">
        <f aca="false">IF(OR(AR68="",AS68=""),"",IFERROR(IF($K68="%",AS68-AR68,AS68/AR68-1),""))</f>
        <v>0.355263157894737</v>
      </c>
      <c r="AU68" s="5" t="str">
        <f aca="false">IF(OR(AR68="",AS68=""),"",IF($F68="Maior Melhor",IF(AS68&gt;=AR68,"Sim","Não"),IF(AS68&lt;=AR68,"Sim","Não")))</f>
        <v>Sim</v>
      </c>
      <c r="AV68" s="7" t="n">
        <v>16</v>
      </c>
      <c r="AW68" s="7" t="n">
        <v>20</v>
      </c>
      <c r="AX68" s="4" t="n">
        <f aca="false">IF(OR(AV68="",AW68=""),"",IFERROR(IF($K68="%",AW68-AV68,AW68/AV68-1),""))</f>
        <v>0.25</v>
      </c>
      <c r="AY68" s="5" t="str">
        <f aca="false">IF(OR(AV68="",AW68=""),"",IF($F68="Maior Melhor",IF(AW68&gt;=AV68,"Sim","Não"),IF(AW68&lt;=AV68,"Sim","Não")))</f>
        <v>Sim</v>
      </c>
      <c r="AZ68" s="7" t="n">
        <v>94</v>
      </c>
      <c r="BA68" s="7" t="n">
        <v>123</v>
      </c>
      <c r="BB68" s="4" t="n">
        <f aca="false">IF(OR(AZ68="",BA68=""),"",IFERROR(IF($K68="%",BA68-AZ68,BA68/AZ68-1),""))</f>
        <v>0.308510638297872</v>
      </c>
      <c r="BC68" s="5" t="str">
        <f aca="false">IF(OR(AZ68="",BA68=""),"",IF($F68="Maior Melhor",IF(BA68&gt;=AZ68,"Sim","Não"),IF(BA68&lt;=AZ68,"Sim","Não")))</f>
        <v>Sim</v>
      </c>
      <c r="BD68" s="7" t="n">
        <v>16</v>
      </c>
      <c r="BE68" s="7" t="n">
        <v>24</v>
      </c>
      <c r="BF68" s="4" t="n">
        <f aca="false">IF(OR(BD68="",BE68=""),"",IFERROR(IF($K68="%",BE68-BD68,BE68/BD68-1),""))</f>
        <v>0.5</v>
      </c>
      <c r="BG68" s="5" t="str">
        <f aca="false">IF(OR(BD68="",BE68=""),"",IF($F68="Maior Melhor",IF(BE68&gt;=BD68,"Sim","Não"),IF(BE68&lt;=BD68,"Sim","Não")))</f>
        <v>Sim</v>
      </c>
      <c r="BH68" s="7" t="n">
        <v>110</v>
      </c>
      <c r="BI68" s="7" t="n">
        <v>147</v>
      </c>
      <c r="BJ68" s="4" t="n">
        <f aca="false">IF(OR(BH68="",BI68=""),"",IFERROR(IF($K68="%",BI68-BH68,BI68/BH68-1),""))</f>
        <v>0.336363636363636</v>
      </c>
      <c r="BK68" s="5" t="str">
        <f aca="false">IF(OR(BH68="",BI68=""),"",IF($F68="Maior Melhor",IF(BI68&gt;=BH68,"Sim","Não"),IF(BI68&lt;=BH68,"Sim","Não")))</f>
        <v>Sim</v>
      </c>
      <c r="BL68" s="8"/>
      <c r="BM68" s="8"/>
      <c r="BN68" s="4" t="str">
        <f aca="false">IF(OR(BL68="",BM68=""),"",IFERROR(IF($K68="%",BM68-BL68,BM68/BL68-1),""))</f>
        <v/>
      </c>
      <c r="BO68" s="5" t="str">
        <f aca="false">IF(OR(BL68="",BM68=""),"",IF($F68="Maior Melhor",IF(BM68&gt;=BL68,"Sim","Não"),IF(BM68&lt;=BL68,"Sim","Não")))</f>
        <v/>
      </c>
      <c r="BP68" s="8"/>
      <c r="BQ68" s="8"/>
      <c r="BR68" s="4" t="str">
        <f aca="false">IF(OR(BP68="",BQ68=""),"",IFERROR(IF($K68="%",BQ68-BP68,BQ68/BP68-1),""))</f>
        <v/>
      </c>
      <c r="BS68" s="5" t="str">
        <f aca="false">IF(OR(BP68="",BQ68=""),"",IF($F68="Maior Melhor",IF(BQ68&gt;=BP68,"Sim","Não"),IF(BQ68&lt;=BP68,"Sim","Não")))</f>
        <v/>
      </c>
      <c r="BT68" s="8"/>
      <c r="BU68" s="8"/>
      <c r="BV68" s="4" t="str">
        <f aca="false">IF(OR(BT68="",BU68=""),"",IFERROR(IF($K68="%",BU68-BT68,BU68/BT68-1),""))</f>
        <v/>
      </c>
      <c r="BW68" s="5" t="str">
        <f aca="false">IF(OR(BT68="",BU68=""),"",IF($F68="Maior Melhor",IF(BU68&gt;=BT68,"Sim","Não"),IF(BU68&lt;=BT68,"Sim","Não")))</f>
        <v/>
      </c>
      <c r="BX68" s="8"/>
      <c r="BY68" s="8"/>
      <c r="BZ68" s="4" t="str">
        <f aca="false">IF(OR(BX68="",BY68=""),"",IFERROR(IF($K68="%",BY68-BX68,BY68/BX68-1),""))</f>
        <v/>
      </c>
      <c r="CA68" s="5" t="str">
        <f aca="false">IF(OR(BX68="",BY68=""),"",IF($F68="Maior Melhor",IF(BY68&gt;=BX68,"Sim","Não"),IF(BY68&lt;=BX68,"Sim","Não")))</f>
        <v/>
      </c>
      <c r="CB68" s="8"/>
      <c r="CC68" s="8"/>
      <c r="CD68" s="4" t="str">
        <f aca="false">IF(OR(CB68="",CC68=""),"",IFERROR(IF($K68="%",CC68-CB68,CC68/CB68-1),""))</f>
        <v/>
      </c>
      <c r="CE68" s="5" t="str">
        <f aca="false">IF(OR(CB68="",CC68=""),"",IF($F68="Maior Melhor",IF(CC68&gt;=CB68,"Sim","Não"),IF(CC68&lt;=CB68,"Sim","Não")))</f>
        <v/>
      </c>
      <c r="CF68" s="8"/>
      <c r="CG68" s="8"/>
      <c r="CH68" s="4" t="str">
        <f aca="false">IF(OR(CF68="",CG68=""),"",IFERROR(IF($K68="%",CG68-CF68,CG68/CF68-1),""))</f>
        <v/>
      </c>
      <c r="CI68" s="5" t="str">
        <f aca="false">IF(OR(CF68="",CG68=""),"",IF($F68="Maior Melhor",IF(CG68&gt;=CF68,"Sim","Não"),IF(CG68&lt;=CF68,"Sim","Não")))</f>
        <v/>
      </c>
      <c r="CJ68" s="8"/>
      <c r="CK68" s="8"/>
      <c r="CL68" s="4" t="str">
        <f aca="false">IF(OR(CJ68="",CK68=""),"",IFERROR(IF($K68="%",CK68-CJ68,CK68/CJ68-1),""))</f>
        <v/>
      </c>
      <c r="CM68" s="5" t="str">
        <f aca="false">IF(OR(CJ68="",CK68=""),"",IF($F68="Maior Melhor",IF(CK68&gt;=CJ68,"Sim","Não"),IF(CK68&lt;=CJ68,"Sim","Não")))</f>
        <v/>
      </c>
      <c r="CN68" s="8"/>
      <c r="CO68" s="8"/>
      <c r="CP68" s="4" t="str">
        <f aca="false">IF(OR(CN68="",CO68=""),"",IFERROR(IF($K68="%",CO68-CN68,CO68/CN68-1),""))</f>
        <v/>
      </c>
      <c r="CQ68" s="5" t="str">
        <f aca="false">IF(OR(CN68="",CO68=""),"",IF($F68="Maior Melhor",IF(CO68&gt;=CN68,"Sim","Não"),IF(CO68&lt;=CN68,"Sim","Não")))</f>
        <v/>
      </c>
      <c r="CR68" s="2" t="s">
        <v>105</v>
      </c>
    </row>
    <row r="69" customFormat="false" ht="15" hidden="false" customHeight="false" outlineLevel="0" collapsed="false">
      <c r="A69" s="2" t="s">
        <v>144</v>
      </c>
      <c r="B69" s="2" t="s">
        <v>97</v>
      </c>
      <c r="C69" s="2" t="s">
        <v>126</v>
      </c>
      <c r="D69" s="2" t="s">
        <v>145</v>
      </c>
      <c r="E69" s="2" t="str">
        <f aca="false">C69&amp;D69</f>
        <v>UTD LIVRAMENTO DE NOSSA SENHORABlitz da CIPA</v>
      </c>
      <c r="F69" s="2" t="s">
        <v>100</v>
      </c>
      <c r="G69" s="2" t="s">
        <v>146</v>
      </c>
      <c r="H69" s="2" t="s">
        <v>102</v>
      </c>
      <c r="I69" s="2" t="s">
        <v>103</v>
      </c>
      <c r="J69" s="2" t="n">
        <v>2</v>
      </c>
      <c r="K69" s="2" t="s">
        <v>147</v>
      </c>
      <c r="L69" s="7" t="n">
        <v>4</v>
      </c>
      <c r="M69" s="7" t="n">
        <v>4</v>
      </c>
      <c r="N69" s="4" t="n">
        <f aca="false">IF(OR(L69="",M69=""),"",IFERROR(IF($K69="%",M69-L69,M69/L69-1),""))</f>
        <v>0</v>
      </c>
      <c r="O69" s="5" t="str">
        <f aca="false">IF(OR(L69="",M69=""),"",IF($F69="Maior Melhor",IF(M69&gt;=L69,"Sim","Não"),IF(M69&lt;=L69,"Sim","Não")))</f>
        <v>Sim</v>
      </c>
      <c r="P69" s="7" t="n">
        <v>4</v>
      </c>
      <c r="Q69" s="7" t="n">
        <v>4</v>
      </c>
      <c r="R69" s="4" t="n">
        <f aca="false">IF(OR(P69="",Q69=""),"",IFERROR(IF($K69="%",Q69-P69,Q69/P69-1),""))</f>
        <v>0</v>
      </c>
      <c r="S69" s="5" t="str">
        <f aca="false">IF(OR(P69="",Q69=""),"",IF($F69="Maior Melhor",IF(Q69&gt;=P69,"Sim","Não"),IF(Q69&lt;=P69,"Sim","Não")))</f>
        <v>Sim</v>
      </c>
      <c r="T69" s="7" t="n">
        <v>16</v>
      </c>
      <c r="U69" s="7" t="n">
        <v>17</v>
      </c>
      <c r="V69" s="4" t="n">
        <f aca="false">IF(OR(T69="",U69=""),"",IFERROR(IF($K69="%",U69-T69,U69/T69-1),""))</f>
        <v>0.0625</v>
      </c>
      <c r="W69" s="5" t="str">
        <f aca="false">IF(OR(T69="",U69=""),"",IF($F69="Maior Melhor",IF(U69&gt;=T69,"Sim","Não"),IF(U69&lt;=T69,"Sim","Não")))</f>
        <v>Sim</v>
      </c>
      <c r="X69" s="7" t="n">
        <v>16</v>
      </c>
      <c r="Y69" s="7" t="n">
        <v>24</v>
      </c>
      <c r="Z69" s="4" t="n">
        <f aca="false">IF(OR(X69="",Y69=""),"",IFERROR(IF($K69="%",Y69-X69,Y69/X69-1),""))</f>
        <v>0.5</v>
      </c>
      <c r="AA69" s="5" t="str">
        <f aca="false">IF(OR(X69="",Y69=""),"",IF($F69="Maior Melhor",IF(Y69&gt;=X69,"Sim","Não"),IF(Y69&lt;=X69,"Sim","Não")))</f>
        <v>Sim</v>
      </c>
      <c r="AB69" s="7" t="n">
        <v>40</v>
      </c>
      <c r="AC69" s="7" t="n">
        <v>49</v>
      </c>
      <c r="AD69" s="4" t="n">
        <f aca="false">IF(OR(AB69="",AC69=""),"",IFERROR(IF($K69="%",AC69-AB69,AC69/AB69-1),""))</f>
        <v>0.225</v>
      </c>
      <c r="AE69" s="5" t="str">
        <f aca="false">IF(OR(AB69="",AC69=""),"",IF($F69="Maior Melhor",IF(AC69&gt;=AB69,"Sim","Não"),IF(AC69&lt;=AB69,"Sim","Não")))</f>
        <v>Sim</v>
      </c>
      <c r="AF69" s="7" t="n">
        <v>16</v>
      </c>
      <c r="AG69" s="7" t="n">
        <v>16</v>
      </c>
      <c r="AH69" s="4" t="n">
        <f aca="false">IF(OR(AF69="",AG69=""),"",IFERROR(IF($K69="%",AG69-AF69,AG69/AF69-1),""))</f>
        <v>0</v>
      </c>
      <c r="AI69" s="5" t="str">
        <f aca="false">IF(OR(AF69="",AG69=""),"",IF($F69="Maior Melhor",IF(AG69&gt;=AF69,"Sim","Não"),IF(AG69&lt;=AF69,"Sim","Não")))</f>
        <v>Sim</v>
      </c>
      <c r="AJ69" s="7" t="n">
        <v>56</v>
      </c>
      <c r="AK69" s="7" t="n">
        <v>65</v>
      </c>
      <c r="AL69" s="4" t="n">
        <f aca="false">IF(OR(AJ69="",AK69=""),"",IFERROR(IF($K69="%",AK69-AJ69,AK69/AJ69-1),""))</f>
        <v>0.160714285714286</v>
      </c>
      <c r="AM69" s="5" t="str">
        <f aca="false">IF(OR(AJ69="",AK69=""),"",IF($F69="Maior Melhor",IF(AK69&gt;=AJ69,"Sim","Não"),IF(AK69&lt;=AJ69,"Sim","Não")))</f>
        <v>Sim</v>
      </c>
      <c r="AN69" s="7" t="n">
        <v>16</v>
      </c>
      <c r="AO69" s="7" t="n">
        <v>16</v>
      </c>
      <c r="AP69" s="4" t="n">
        <f aca="false">IF(OR(AN69="",AO69=""),"",IFERROR(IF($K69="%",AO69-AN69,AO69/AN69-1),""))</f>
        <v>0</v>
      </c>
      <c r="AQ69" s="5" t="str">
        <f aca="false">IF(OR(AN69="",AO69=""),"",IF($F69="Maior Melhor",IF(AO69&gt;=AN69,"Sim","Não"),IF(AO69&lt;=AN69,"Sim","Não")))</f>
        <v>Sim</v>
      </c>
      <c r="AR69" s="7" t="n">
        <v>72</v>
      </c>
      <c r="AS69" s="7" t="n">
        <v>81</v>
      </c>
      <c r="AT69" s="4" t="n">
        <f aca="false">IF(OR(AR69="",AS69=""),"",IFERROR(IF($K69="%",AS69-AR69,AS69/AR69-1),""))</f>
        <v>0.125</v>
      </c>
      <c r="AU69" s="5" t="str">
        <f aca="false">IF(OR(AR69="",AS69=""),"",IF($F69="Maior Melhor",IF(AS69&gt;=AR69,"Sim","Não"),IF(AS69&lt;=AR69,"Sim","Não")))</f>
        <v>Sim</v>
      </c>
      <c r="AV69" s="7" t="n">
        <v>16</v>
      </c>
      <c r="AW69" s="7" t="n">
        <v>16</v>
      </c>
      <c r="AX69" s="4" t="n">
        <f aca="false">IF(OR(AV69="",AW69=""),"",IFERROR(IF($K69="%",AW69-AV69,AW69/AV69-1),""))</f>
        <v>0</v>
      </c>
      <c r="AY69" s="5" t="str">
        <f aca="false">IF(OR(AV69="",AW69=""),"",IF($F69="Maior Melhor",IF(AW69&gt;=AV69,"Sim","Não"),IF(AW69&lt;=AV69,"Sim","Não")))</f>
        <v>Sim</v>
      </c>
      <c r="AZ69" s="7" t="n">
        <v>88</v>
      </c>
      <c r="BA69" s="7" t="n">
        <v>97</v>
      </c>
      <c r="BB69" s="4" t="n">
        <f aca="false">IF(OR(AZ69="",BA69=""),"",IFERROR(IF($K69="%",BA69-AZ69,BA69/AZ69-1),""))</f>
        <v>0.102272727272727</v>
      </c>
      <c r="BC69" s="5" t="str">
        <f aca="false">IF(OR(AZ69="",BA69=""),"",IF($F69="Maior Melhor",IF(BA69&gt;=AZ69,"Sim","Não"),IF(BA69&lt;=AZ69,"Sim","Não")))</f>
        <v>Sim</v>
      </c>
      <c r="BD69" s="7" t="n">
        <v>16</v>
      </c>
      <c r="BE69" s="7" t="n">
        <v>16</v>
      </c>
      <c r="BF69" s="4" t="n">
        <f aca="false">IF(OR(BD69="",BE69=""),"",IFERROR(IF($K69="%",BE69-BD69,BE69/BD69-1),""))</f>
        <v>0</v>
      </c>
      <c r="BG69" s="5" t="str">
        <f aca="false">IF(OR(BD69="",BE69=""),"",IF($F69="Maior Melhor",IF(BE69&gt;=BD69,"Sim","Não"),IF(BE69&lt;=BD69,"Sim","Não")))</f>
        <v>Sim</v>
      </c>
      <c r="BH69" s="7" t="n">
        <v>104</v>
      </c>
      <c r="BI69" s="7" t="n">
        <v>113</v>
      </c>
      <c r="BJ69" s="4" t="n">
        <f aca="false">IF(OR(BH69="",BI69=""),"",IFERROR(IF($K69="%",BI69-BH69,BI69/BH69-1),""))</f>
        <v>0.0865384615384615</v>
      </c>
      <c r="BK69" s="5" t="str">
        <f aca="false">IF(OR(BH69="",BI69=""),"",IF($F69="Maior Melhor",IF(BI69&gt;=BH69,"Sim","Não"),IF(BI69&lt;=BH69,"Sim","Não")))</f>
        <v>Sim</v>
      </c>
      <c r="BL69" s="8"/>
      <c r="BM69" s="8"/>
      <c r="BN69" s="4" t="str">
        <f aca="false">IF(OR(BL69="",BM69=""),"",IFERROR(IF($K69="%",BM69-BL69,BM69/BL69-1),""))</f>
        <v/>
      </c>
      <c r="BO69" s="5" t="str">
        <f aca="false">IF(OR(BL69="",BM69=""),"",IF($F69="Maior Melhor",IF(BM69&gt;=BL69,"Sim","Não"),IF(BM69&lt;=BL69,"Sim","Não")))</f>
        <v/>
      </c>
      <c r="BP69" s="8"/>
      <c r="BQ69" s="8"/>
      <c r="BR69" s="4" t="str">
        <f aca="false">IF(OR(BP69="",BQ69=""),"",IFERROR(IF($K69="%",BQ69-BP69,BQ69/BP69-1),""))</f>
        <v/>
      </c>
      <c r="BS69" s="5" t="str">
        <f aca="false">IF(OR(BP69="",BQ69=""),"",IF($F69="Maior Melhor",IF(BQ69&gt;=BP69,"Sim","Não"),IF(BQ69&lt;=BP69,"Sim","Não")))</f>
        <v/>
      </c>
      <c r="BT69" s="8"/>
      <c r="BU69" s="8"/>
      <c r="BV69" s="4" t="str">
        <f aca="false">IF(OR(BT69="",BU69=""),"",IFERROR(IF($K69="%",BU69-BT69,BU69/BT69-1),""))</f>
        <v/>
      </c>
      <c r="BW69" s="5" t="str">
        <f aca="false">IF(OR(BT69="",BU69=""),"",IF($F69="Maior Melhor",IF(BU69&gt;=BT69,"Sim","Não"),IF(BU69&lt;=BT69,"Sim","Não")))</f>
        <v/>
      </c>
      <c r="BX69" s="8"/>
      <c r="BY69" s="8"/>
      <c r="BZ69" s="4" t="str">
        <f aca="false">IF(OR(BX69="",BY69=""),"",IFERROR(IF($K69="%",BY69-BX69,BY69/BX69-1),""))</f>
        <v/>
      </c>
      <c r="CA69" s="5" t="str">
        <f aca="false">IF(OR(BX69="",BY69=""),"",IF($F69="Maior Melhor",IF(BY69&gt;=BX69,"Sim","Não"),IF(BY69&lt;=BX69,"Sim","Não")))</f>
        <v/>
      </c>
      <c r="CB69" s="8"/>
      <c r="CC69" s="8"/>
      <c r="CD69" s="4" t="str">
        <f aca="false">IF(OR(CB69="",CC69=""),"",IFERROR(IF($K69="%",CC69-CB69,CC69/CB69-1),""))</f>
        <v/>
      </c>
      <c r="CE69" s="5" t="str">
        <f aca="false">IF(OR(CB69="",CC69=""),"",IF($F69="Maior Melhor",IF(CC69&gt;=CB69,"Sim","Não"),IF(CC69&lt;=CB69,"Sim","Não")))</f>
        <v/>
      </c>
      <c r="CF69" s="8"/>
      <c r="CG69" s="8"/>
      <c r="CH69" s="4" t="str">
        <f aca="false">IF(OR(CF69="",CG69=""),"",IFERROR(IF($K69="%",CG69-CF69,CG69/CF69-1),""))</f>
        <v/>
      </c>
      <c r="CI69" s="5" t="str">
        <f aca="false">IF(OR(CF69="",CG69=""),"",IF($F69="Maior Melhor",IF(CG69&gt;=CF69,"Sim","Não"),IF(CG69&lt;=CF69,"Sim","Não")))</f>
        <v/>
      </c>
      <c r="CJ69" s="8"/>
      <c r="CK69" s="8"/>
      <c r="CL69" s="4" t="str">
        <f aca="false">IF(OR(CJ69="",CK69=""),"",IFERROR(IF($K69="%",CK69-CJ69,CK69/CJ69-1),""))</f>
        <v/>
      </c>
      <c r="CM69" s="5" t="str">
        <f aca="false">IF(OR(CJ69="",CK69=""),"",IF($F69="Maior Melhor",IF(CK69&gt;=CJ69,"Sim","Não"),IF(CK69&lt;=CJ69,"Sim","Não")))</f>
        <v/>
      </c>
      <c r="CN69" s="8"/>
      <c r="CO69" s="8"/>
      <c r="CP69" s="4" t="str">
        <f aca="false">IF(OR(CN69="",CO69=""),"",IFERROR(IF($K69="%",CO69-CN69,CO69/CN69-1),""))</f>
        <v/>
      </c>
      <c r="CQ69" s="5" t="str">
        <f aca="false">IF(OR(CN69="",CO69=""),"",IF($F69="Maior Melhor",IF(CO69&gt;=CN69,"Sim","Não"),IF(CO69&lt;=CN69,"Sim","Não")))</f>
        <v/>
      </c>
      <c r="CR69" s="2" t="s">
        <v>105</v>
      </c>
    </row>
    <row r="70" customFormat="false" ht="15" hidden="false" customHeight="false" outlineLevel="0" collapsed="false">
      <c r="A70" s="2" t="s">
        <v>144</v>
      </c>
      <c r="B70" s="2" t="s">
        <v>106</v>
      </c>
      <c r="C70" s="2" t="s">
        <v>127</v>
      </c>
      <c r="D70" s="2" t="s">
        <v>145</v>
      </c>
      <c r="E70" s="2" t="str">
        <f aca="false">C70&amp;D70</f>
        <v>UTD LUIS EDUARDO MAGALHAESBlitz da CIPA</v>
      </c>
      <c r="F70" s="2" t="s">
        <v>100</v>
      </c>
      <c r="G70" s="2" t="s">
        <v>146</v>
      </c>
      <c r="H70" s="2" t="s">
        <v>102</v>
      </c>
      <c r="I70" s="2" t="s">
        <v>103</v>
      </c>
      <c r="J70" s="2" t="n">
        <v>2</v>
      </c>
      <c r="K70" s="2" t="s">
        <v>147</v>
      </c>
      <c r="L70" s="7" t="n">
        <v>6</v>
      </c>
      <c r="M70" s="7" t="n">
        <v>8</v>
      </c>
      <c r="N70" s="4" t="n">
        <f aca="false">IF(OR(L70="",M70=""),"",IFERROR(IF($K70="%",M70-L70,M70/L70-1),""))</f>
        <v>0.333333333333333</v>
      </c>
      <c r="O70" s="5" t="str">
        <f aca="false">IF(OR(L70="",M70=""),"",IF($F70="Maior Melhor",IF(M70&gt;=L70,"Sim","Não"),IF(M70&lt;=L70,"Sim","Não")))</f>
        <v>Sim</v>
      </c>
      <c r="P70" s="7" t="n">
        <v>6</v>
      </c>
      <c r="Q70" s="7" t="n">
        <v>7</v>
      </c>
      <c r="R70" s="4" t="n">
        <f aca="false">IF(OR(P70="",Q70=""),"",IFERROR(IF($K70="%",Q70-P70,Q70/P70-1),""))</f>
        <v>0.166666666666667</v>
      </c>
      <c r="S70" s="5" t="str">
        <f aca="false">IF(OR(P70="",Q70=""),"",IF($F70="Maior Melhor",IF(Q70&gt;=P70,"Sim","Não"),IF(Q70&lt;=P70,"Sim","Não")))</f>
        <v>Sim</v>
      </c>
      <c r="T70" s="7" t="n">
        <v>16</v>
      </c>
      <c r="U70" s="7" t="n">
        <v>27</v>
      </c>
      <c r="V70" s="4" t="n">
        <f aca="false">IF(OR(T70="",U70=""),"",IFERROR(IF($K70="%",U70-T70,U70/T70-1),""))</f>
        <v>0.6875</v>
      </c>
      <c r="W70" s="5" t="str">
        <f aca="false">IF(OR(T70="",U70=""),"",IF($F70="Maior Melhor",IF(U70&gt;=T70,"Sim","Não"),IF(U70&lt;=T70,"Sim","Não")))</f>
        <v>Sim</v>
      </c>
      <c r="X70" s="7" t="n">
        <v>16</v>
      </c>
      <c r="Y70" s="7" t="n">
        <v>24</v>
      </c>
      <c r="Z70" s="4" t="n">
        <f aca="false">IF(OR(X70="",Y70=""),"",IFERROR(IF($K70="%",Y70-X70,Y70/X70-1),""))</f>
        <v>0.5</v>
      </c>
      <c r="AA70" s="5" t="str">
        <f aca="false">IF(OR(X70="",Y70=""),"",IF($F70="Maior Melhor",IF(Y70&gt;=X70,"Sim","Não"),IF(Y70&lt;=X70,"Sim","Não")))</f>
        <v>Sim</v>
      </c>
      <c r="AB70" s="7" t="n">
        <v>44</v>
      </c>
      <c r="AC70" s="7" t="n">
        <v>66</v>
      </c>
      <c r="AD70" s="4" t="n">
        <f aca="false">IF(OR(AB70="",AC70=""),"",IFERROR(IF($K70="%",AC70-AB70,AC70/AB70-1),""))</f>
        <v>0.5</v>
      </c>
      <c r="AE70" s="5" t="str">
        <f aca="false">IF(OR(AB70="",AC70=""),"",IF($F70="Maior Melhor",IF(AC70&gt;=AB70,"Sim","Não"),IF(AC70&lt;=AB70,"Sim","Não")))</f>
        <v>Sim</v>
      </c>
      <c r="AF70" s="7" t="n">
        <v>16</v>
      </c>
      <c r="AG70" s="7" t="n">
        <v>18</v>
      </c>
      <c r="AH70" s="4" t="n">
        <f aca="false">IF(OR(AF70="",AG70=""),"",IFERROR(IF($K70="%",AG70-AF70,AG70/AF70-1),""))</f>
        <v>0.125</v>
      </c>
      <c r="AI70" s="5" t="str">
        <f aca="false">IF(OR(AF70="",AG70=""),"",IF($F70="Maior Melhor",IF(AG70&gt;=AF70,"Sim","Não"),IF(AG70&lt;=AF70,"Sim","Não")))</f>
        <v>Sim</v>
      </c>
      <c r="AJ70" s="7" t="n">
        <v>60</v>
      </c>
      <c r="AK70" s="7" t="n">
        <v>84</v>
      </c>
      <c r="AL70" s="4" t="n">
        <f aca="false">IF(OR(AJ70="",AK70=""),"",IFERROR(IF($K70="%",AK70-AJ70,AK70/AJ70-1),""))</f>
        <v>0.4</v>
      </c>
      <c r="AM70" s="5" t="str">
        <f aca="false">IF(OR(AJ70="",AK70=""),"",IF($F70="Maior Melhor",IF(AK70&gt;=AJ70,"Sim","Não"),IF(AK70&lt;=AJ70,"Sim","Não")))</f>
        <v>Sim</v>
      </c>
      <c r="AN70" s="7" t="n">
        <v>16</v>
      </c>
      <c r="AO70" s="7" t="n">
        <v>33</v>
      </c>
      <c r="AP70" s="4" t="n">
        <f aca="false">IF(OR(AN70="",AO70=""),"",IFERROR(IF($K70="%",AO70-AN70,AO70/AN70-1),""))</f>
        <v>1.0625</v>
      </c>
      <c r="AQ70" s="5" t="str">
        <f aca="false">IF(OR(AN70="",AO70=""),"",IF($F70="Maior Melhor",IF(AO70&gt;=AN70,"Sim","Não"),IF(AO70&lt;=AN70,"Sim","Não")))</f>
        <v>Sim</v>
      </c>
      <c r="AR70" s="7" t="n">
        <v>76</v>
      </c>
      <c r="AS70" s="7" t="n">
        <v>117</v>
      </c>
      <c r="AT70" s="4" t="n">
        <f aca="false">IF(OR(AR70="",AS70=""),"",IFERROR(IF($K70="%",AS70-AR70,AS70/AR70-1),""))</f>
        <v>0.539473684210526</v>
      </c>
      <c r="AU70" s="5" t="str">
        <f aca="false">IF(OR(AR70="",AS70=""),"",IF($F70="Maior Melhor",IF(AS70&gt;=AR70,"Sim","Não"),IF(AS70&lt;=AR70,"Sim","Não")))</f>
        <v>Sim</v>
      </c>
      <c r="AV70" s="7" t="n">
        <v>16</v>
      </c>
      <c r="AW70" s="7" t="n">
        <v>46</v>
      </c>
      <c r="AX70" s="4" t="n">
        <f aca="false">IF(OR(AV70="",AW70=""),"",IFERROR(IF($K70="%",AW70-AV70,AW70/AV70-1),""))</f>
        <v>1.875</v>
      </c>
      <c r="AY70" s="5" t="str">
        <f aca="false">IF(OR(AV70="",AW70=""),"",IF($F70="Maior Melhor",IF(AW70&gt;=AV70,"Sim","Não"),IF(AW70&lt;=AV70,"Sim","Não")))</f>
        <v>Sim</v>
      </c>
      <c r="AZ70" s="7" t="n">
        <v>95</v>
      </c>
      <c r="BA70" s="7" t="n">
        <v>163</v>
      </c>
      <c r="BB70" s="4" t="n">
        <f aca="false">IF(OR(AZ70="",BA70=""),"",IFERROR(IF($K70="%",BA70-AZ70,BA70/AZ70-1),""))</f>
        <v>0.715789473684211</v>
      </c>
      <c r="BC70" s="5" t="str">
        <f aca="false">IF(OR(AZ70="",BA70=""),"",IF($F70="Maior Melhor",IF(BA70&gt;=AZ70,"Sim","Não"),IF(BA70&lt;=AZ70,"Sim","Não")))</f>
        <v>Sim</v>
      </c>
      <c r="BD70" s="7" t="n">
        <v>16</v>
      </c>
      <c r="BE70" s="7" t="n">
        <v>24</v>
      </c>
      <c r="BF70" s="4" t="n">
        <f aca="false">IF(OR(BD70="",BE70=""),"",IFERROR(IF($K70="%",BE70-BD70,BE70/BD70-1),""))</f>
        <v>0.5</v>
      </c>
      <c r="BG70" s="5" t="str">
        <f aca="false">IF(OR(BD70="",BE70=""),"",IF($F70="Maior Melhor",IF(BE70&gt;=BD70,"Sim","Não"),IF(BE70&lt;=BD70,"Sim","Não")))</f>
        <v>Sim</v>
      </c>
      <c r="BH70" s="7" t="n">
        <v>111</v>
      </c>
      <c r="BI70" s="7" t="n">
        <v>187</v>
      </c>
      <c r="BJ70" s="4" t="n">
        <f aca="false">IF(OR(BH70="",BI70=""),"",IFERROR(IF($K70="%",BI70-BH70,BI70/BH70-1),""))</f>
        <v>0.684684684684685</v>
      </c>
      <c r="BK70" s="5" t="str">
        <f aca="false">IF(OR(BH70="",BI70=""),"",IF($F70="Maior Melhor",IF(BI70&gt;=BH70,"Sim","Não"),IF(BI70&lt;=BH70,"Sim","Não")))</f>
        <v>Sim</v>
      </c>
      <c r="BL70" s="8"/>
      <c r="BM70" s="8"/>
      <c r="BN70" s="4" t="str">
        <f aca="false">IF(OR(BL70="",BM70=""),"",IFERROR(IF($K70="%",BM70-BL70,BM70/BL70-1),""))</f>
        <v/>
      </c>
      <c r="BO70" s="5" t="str">
        <f aca="false">IF(OR(BL70="",BM70=""),"",IF($F70="Maior Melhor",IF(BM70&gt;=BL70,"Sim","Não"),IF(BM70&lt;=BL70,"Sim","Não")))</f>
        <v/>
      </c>
      <c r="BP70" s="8"/>
      <c r="BQ70" s="8"/>
      <c r="BR70" s="4" t="str">
        <f aca="false">IF(OR(BP70="",BQ70=""),"",IFERROR(IF($K70="%",BQ70-BP70,BQ70/BP70-1),""))</f>
        <v/>
      </c>
      <c r="BS70" s="5" t="str">
        <f aca="false">IF(OR(BP70="",BQ70=""),"",IF($F70="Maior Melhor",IF(BQ70&gt;=BP70,"Sim","Não"),IF(BQ70&lt;=BP70,"Sim","Não")))</f>
        <v/>
      </c>
      <c r="BT70" s="8"/>
      <c r="BU70" s="8"/>
      <c r="BV70" s="4" t="str">
        <f aca="false">IF(OR(BT70="",BU70=""),"",IFERROR(IF($K70="%",BU70-BT70,BU70/BT70-1),""))</f>
        <v/>
      </c>
      <c r="BW70" s="5" t="str">
        <f aca="false">IF(OR(BT70="",BU70=""),"",IF($F70="Maior Melhor",IF(BU70&gt;=BT70,"Sim","Não"),IF(BU70&lt;=BT70,"Sim","Não")))</f>
        <v/>
      </c>
      <c r="BX70" s="8"/>
      <c r="BY70" s="8"/>
      <c r="BZ70" s="4" t="str">
        <f aca="false">IF(OR(BX70="",BY70=""),"",IFERROR(IF($K70="%",BY70-BX70,BY70/BX70-1),""))</f>
        <v/>
      </c>
      <c r="CA70" s="5" t="str">
        <f aca="false">IF(OR(BX70="",BY70=""),"",IF($F70="Maior Melhor",IF(BY70&gt;=BX70,"Sim","Não"),IF(BY70&lt;=BX70,"Sim","Não")))</f>
        <v/>
      </c>
      <c r="CB70" s="8"/>
      <c r="CC70" s="8"/>
      <c r="CD70" s="4" t="str">
        <f aca="false">IF(OR(CB70="",CC70=""),"",IFERROR(IF($K70="%",CC70-CB70,CC70/CB70-1),""))</f>
        <v/>
      </c>
      <c r="CE70" s="5" t="str">
        <f aca="false">IF(OR(CB70="",CC70=""),"",IF($F70="Maior Melhor",IF(CC70&gt;=CB70,"Sim","Não"),IF(CC70&lt;=CB70,"Sim","Não")))</f>
        <v/>
      </c>
      <c r="CF70" s="8"/>
      <c r="CG70" s="8"/>
      <c r="CH70" s="4" t="str">
        <f aca="false">IF(OR(CF70="",CG70=""),"",IFERROR(IF($K70="%",CG70-CF70,CG70/CF70-1),""))</f>
        <v/>
      </c>
      <c r="CI70" s="5" t="str">
        <f aca="false">IF(OR(CF70="",CG70=""),"",IF($F70="Maior Melhor",IF(CG70&gt;=CF70,"Sim","Não"),IF(CG70&lt;=CF70,"Sim","Não")))</f>
        <v/>
      </c>
      <c r="CJ70" s="8"/>
      <c r="CK70" s="8"/>
      <c r="CL70" s="4" t="str">
        <f aca="false">IF(OR(CJ70="",CK70=""),"",IFERROR(IF($K70="%",CK70-CJ70,CK70/CJ70-1),""))</f>
        <v/>
      </c>
      <c r="CM70" s="5" t="str">
        <f aca="false">IF(OR(CJ70="",CK70=""),"",IF($F70="Maior Melhor",IF(CK70&gt;=CJ70,"Sim","Não"),IF(CK70&lt;=CJ70,"Sim","Não")))</f>
        <v/>
      </c>
      <c r="CN70" s="8"/>
      <c r="CO70" s="8"/>
      <c r="CP70" s="4" t="str">
        <f aca="false">IF(OR(CN70="",CO70=""),"",IFERROR(IF($K70="%",CO70-CN70,CO70/CN70-1),""))</f>
        <v/>
      </c>
      <c r="CQ70" s="5" t="str">
        <f aca="false">IF(OR(CN70="",CO70=""),"",IF($F70="Maior Melhor",IF(CO70&gt;=CN70,"Sim","Não"),IF(CO70&lt;=CN70,"Sim","Não")))</f>
        <v/>
      </c>
      <c r="CR70" s="2" t="s">
        <v>105</v>
      </c>
    </row>
    <row r="71" customFormat="false" ht="15" hidden="false" customHeight="false" outlineLevel="0" collapsed="false">
      <c r="A71" s="2" t="s">
        <v>144</v>
      </c>
      <c r="B71" s="2" t="s">
        <v>106</v>
      </c>
      <c r="C71" s="2" t="s">
        <v>128</v>
      </c>
      <c r="D71" s="2" t="s">
        <v>145</v>
      </c>
      <c r="E71" s="2" t="str">
        <f aca="false">C71&amp;D71</f>
        <v>UTD SANTA MARIA DA VITORIABlitz da CIPA</v>
      </c>
      <c r="F71" s="2" t="s">
        <v>100</v>
      </c>
      <c r="G71" s="2" t="s">
        <v>146</v>
      </c>
      <c r="H71" s="2" t="s">
        <v>102</v>
      </c>
      <c r="I71" s="2" t="s">
        <v>103</v>
      </c>
      <c r="J71" s="2" t="n">
        <v>2</v>
      </c>
      <c r="K71" s="2" t="s">
        <v>147</v>
      </c>
      <c r="L71" s="7" t="n">
        <v>4</v>
      </c>
      <c r="M71" s="7" t="n">
        <v>0</v>
      </c>
      <c r="N71" s="4" t="n">
        <f aca="false">IF(OR(L71="",M71=""),"",IFERROR(IF($K71="%",M71-L71,M71/L71-1),""))</f>
        <v>-1</v>
      </c>
      <c r="O71" s="5" t="str">
        <f aca="false">IF(OR(L71="",M71=""),"",IF($F71="Maior Melhor",IF(M71&gt;=L71,"Sim","Não"),IF(M71&lt;=L71,"Sim","Não")))</f>
        <v>Não</v>
      </c>
      <c r="P71" s="7" t="n">
        <v>4</v>
      </c>
      <c r="Q71" s="7" t="n">
        <v>0</v>
      </c>
      <c r="R71" s="4" t="n">
        <f aca="false">IF(OR(P71="",Q71=""),"",IFERROR(IF($K71="%",Q71-P71,Q71/P71-1),""))</f>
        <v>-1</v>
      </c>
      <c r="S71" s="5" t="str">
        <f aca="false">IF(OR(P71="",Q71=""),"",IF($F71="Maior Melhor",IF(Q71&gt;=P71,"Sim","Não"),IF(Q71&lt;=P71,"Sim","Não")))</f>
        <v>Não</v>
      </c>
      <c r="T71" s="7" t="n">
        <v>8</v>
      </c>
      <c r="U71" s="7" t="n">
        <v>18</v>
      </c>
      <c r="V71" s="4" t="n">
        <f aca="false">IF(OR(T71="",U71=""),"",IFERROR(IF($K71="%",U71-T71,U71/T71-1),""))</f>
        <v>1.25</v>
      </c>
      <c r="W71" s="5" t="str">
        <f aca="false">IF(OR(T71="",U71=""),"",IF($F71="Maior Melhor",IF(U71&gt;=T71,"Sim","Não"),IF(U71&lt;=T71,"Sim","Não")))</f>
        <v>Sim</v>
      </c>
      <c r="X71" s="7" t="n">
        <v>8</v>
      </c>
      <c r="Y71" s="7" t="n">
        <v>19</v>
      </c>
      <c r="Z71" s="4" t="n">
        <f aca="false">IF(OR(X71="",Y71=""),"",IFERROR(IF($K71="%",Y71-X71,Y71/X71-1),""))</f>
        <v>1.375</v>
      </c>
      <c r="AA71" s="5" t="str">
        <f aca="false">IF(OR(X71="",Y71=""),"",IF($F71="Maior Melhor",IF(Y71&gt;=X71,"Sim","Não"),IF(Y71&lt;=X71,"Sim","Não")))</f>
        <v>Sim</v>
      </c>
      <c r="AB71" s="7" t="n">
        <v>24</v>
      </c>
      <c r="AC71" s="7" t="n">
        <v>37</v>
      </c>
      <c r="AD71" s="4" t="n">
        <f aca="false">IF(OR(AB71="",AC71=""),"",IFERROR(IF($K71="%",AC71-AB71,AC71/AB71-1),""))</f>
        <v>0.541666666666667</v>
      </c>
      <c r="AE71" s="5" t="str">
        <f aca="false">IF(OR(AB71="",AC71=""),"",IF($F71="Maior Melhor",IF(AC71&gt;=AB71,"Sim","Não"),IF(AC71&lt;=AB71,"Sim","Não")))</f>
        <v>Sim</v>
      </c>
      <c r="AF71" s="7" t="n">
        <v>8</v>
      </c>
      <c r="AG71" s="7" t="n">
        <v>19</v>
      </c>
      <c r="AH71" s="4" t="n">
        <f aca="false">IF(OR(AF71="",AG71=""),"",IFERROR(IF($K71="%",AG71-AF71,AG71/AF71-1),""))</f>
        <v>1.375</v>
      </c>
      <c r="AI71" s="5" t="str">
        <f aca="false">IF(OR(AF71="",AG71=""),"",IF($F71="Maior Melhor",IF(AG71&gt;=AF71,"Sim","Não"),IF(AG71&lt;=AF71,"Sim","Não")))</f>
        <v>Sim</v>
      </c>
      <c r="AJ71" s="7" t="n">
        <v>32</v>
      </c>
      <c r="AK71" s="7" t="n">
        <v>56</v>
      </c>
      <c r="AL71" s="4" t="n">
        <f aca="false">IF(OR(AJ71="",AK71=""),"",IFERROR(IF($K71="%",AK71-AJ71,AK71/AJ71-1),""))</f>
        <v>0.75</v>
      </c>
      <c r="AM71" s="5" t="str">
        <f aca="false">IF(OR(AJ71="",AK71=""),"",IF($F71="Maior Melhor",IF(AK71&gt;=AJ71,"Sim","Não"),IF(AK71&lt;=AJ71,"Sim","Não")))</f>
        <v>Sim</v>
      </c>
      <c r="AN71" s="7" t="n">
        <v>8</v>
      </c>
      <c r="AO71" s="7" t="n">
        <v>17</v>
      </c>
      <c r="AP71" s="4" t="n">
        <f aca="false">IF(OR(AN71="",AO71=""),"",IFERROR(IF($K71="%",AO71-AN71,AO71/AN71-1),""))</f>
        <v>1.125</v>
      </c>
      <c r="AQ71" s="5" t="str">
        <f aca="false">IF(OR(AN71="",AO71=""),"",IF($F71="Maior Melhor",IF(AO71&gt;=AN71,"Sim","Não"),IF(AO71&lt;=AN71,"Sim","Não")))</f>
        <v>Sim</v>
      </c>
      <c r="AR71" s="7" t="n">
        <v>40</v>
      </c>
      <c r="AS71" s="7" t="n">
        <v>73</v>
      </c>
      <c r="AT71" s="4" t="n">
        <f aca="false">IF(OR(AR71="",AS71=""),"",IFERROR(IF($K71="%",AS71-AR71,AS71/AR71-1),""))</f>
        <v>0.825</v>
      </c>
      <c r="AU71" s="5" t="str">
        <f aca="false">IF(OR(AR71="",AS71=""),"",IF($F71="Maior Melhor",IF(AS71&gt;=AR71,"Sim","Não"),IF(AS71&lt;=AR71,"Sim","Não")))</f>
        <v>Sim</v>
      </c>
      <c r="AV71" s="7" t="n">
        <v>8</v>
      </c>
      <c r="AW71" s="7" t="n">
        <v>18</v>
      </c>
      <c r="AX71" s="4" t="n">
        <f aca="false">IF(OR(AV71="",AW71=""),"",IFERROR(IF($K71="%",AW71-AV71,AW71/AV71-1),""))</f>
        <v>1.25</v>
      </c>
      <c r="AY71" s="5" t="str">
        <f aca="false">IF(OR(AV71="",AW71=""),"",IF($F71="Maior Melhor",IF(AW71&gt;=AV71,"Sim","Não"),IF(AW71&lt;=AV71,"Sim","Não")))</f>
        <v>Sim</v>
      </c>
      <c r="AZ71" s="7" t="n">
        <v>40</v>
      </c>
      <c r="BA71" s="7" t="n">
        <v>91</v>
      </c>
      <c r="BB71" s="4" t="n">
        <f aca="false">IF(OR(AZ71="",BA71=""),"",IFERROR(IF($K71="%",BA71-AZ71,BA71/AZ71-1),""))</f>
        <v>1.275</v>
      </c>
      <c r="BC71" s="5" t="str">
        <f aca="false">IF(OR(AZ71="",BA71=""),"",IF($F71="Maior Melhor",IF(BA71&gt;=AZ71,"Sim","Não"),IF(BA71&lt;=AZ71,"Sim","Não")))</f>
        <v>Sim</v>
      </c>
      <c r="BD71" s="7" t="n">
        <v>8</v>
      </c>
      <c r="BE71" s="7" t="n">
        <v>18</v>
      </c>
      <c r="BF71" s="4" t="n">
        <f aca="false">IF(OR(BD71="",BE71=""),"",IFERROR(IF($K71="%",BE71-BD71,BE71/BD71-1),""))</f>
        <v>1.25</v>
      </c>
      <c r="BG71" s="5" t="str">
        <f aca="false">IF(OR(BD71="",BE71=""),"",IF($F71="Maior Melhor",IF(BE71&gt;=BD71,"Sim","Não"),IF(BE71&lt;=BD71,"Sim","Não")))</f>
        <v>Sim</v>
      </c>
      <c r="BH71" s="7" t="n">
        <v>48</v>
      </c>
      <c r="BI71" s="7" t="n">
        <v>109</v>
      </c>
      <c r="BJ71" s="4" t="n">
        <f aca="false">IF(OR(BH71="",BI71=""),"",IFERROR(IF($K71="%",BI71-BH71,BI71/BH71-1),""))</f>
        <v>1.27083333333333</v>
      </c>
      <c r="BK71" s="5" t="str">
        <f aca="false">IF(OR(BH71="",BI71=""),"",IF($F71="Maior Melhor",IF(BI71&gt;=BH71,"Sim","Não"),IF(BI71&lt;=BH71,"Sim","Não")))</f>
        <v>Sim</v>
      </c>
      <c r="BL71" s="8"/>
      <c r="BM71" s="8"/>
      <c r="BN71" s="4" t="str">
        <f aca="false">IF(OR(BL71="",BM71=""),"",IFERROR(IF($K71="%",BM71-BL71,BM71/BL71-1),""))</f>
        <v/>
      </c>
      <c r="BO71" s="5" t="str">
        <f aca="false">IF(OR(BL71="",BM71=""),"",IF($F71="Maior Melhor",IF(BM71&gt;=BL71,"Sim","Não"),IF(BM71&lt;=BL71,"Sim","Não")))</f>
        <v/>
      </c>
      <c r="BP71" s="8"/>
      <c r="BQ71" s="8"/>
      <c r="BR71" s="4" t="str">
        <f aca="false">IF(OR(BP71="",BQ71=""),"",IFERROR(IF($K71="%",BQ71-BP71,BQ71/BP71-1),""))</f>
        <v/>
      </c>
      <c r="BS71" s="5" t="str">
        <f aca="false">IF(OR(BP71="",BQ71=""),"",IF($F71="Maior Melhor",IF(BQ71&gt;=BP71,"Sim","Não"),IF(BQ71&lt;=BP71,"Sim","Não")))</f>
        <v/>
      </c>
      <c r="BT71" s="8"/>
      <c r="BU71" s="8"/>
      <c r="BV71" s="4" t="str">
        <f aca="false">IF(OR(BT71="",BU71=""),"",IFERROR(IF($K71="%",BU71-BT71,BU71/BT71-1),""))</f>
        <v/>
      </c>
      <c r="BW71" s="5" t="str">
        <f aca="false">IF(OR(BT71="",BU71=""),"",IF($F71="Maior Melhor",IF(BU71&gt;=BT71,"Sim","Não"),IF(BU71&lt;=BT71,"Sim","Não")))</f>
        <v/>
      </c>
      <c r="BX71" s="8"/>
      <c r="BY71" s="8"/>
      <c r="BZ71" s="4" t="str">
        <f aca="false">IF(OR(BX71="",BY71=""),"",IFERROR(IF($K71="%",BY71-BX71,BY71/BX71-1),""))</f>
        <v/>
      </c>
      <c r="CA71" s="5" t="str">
        <f aca="false">IF(OR(BX71="",BY71=""),"",IF($F71="Maior Melhor",IF(BY71&gt;=BX71,"Sim","Não"),IF(BY71&lt;=BX71,"Sim","Não")))</f>
        <v/>
      </c>
      <c r="CB71" s="8"/>
      <c r="CC71" s="8"/>
      <c r="CD71" s="4" t="str">
        <f aca="false">IF(OR(CB71="",CC71=""),"",IFERROR(IF($K71="%",CC71-CB71,CC71/CB71-1),""))</f>
        <v/>
      </c>
      <c r="CE71" s="5" t="str">
        <f aca="false">IF(OR(CB71="",CC71=""),"",IF($F71="Maior Melhor",IF(CC71&gt;=CB71,"Sim","Não"),IF(CC71&lt;=CB71,"Sim","Não")))</f>
        <v/>
      </c>
      <c r="CF71" s="8"/>
      <c r="CG71" s="8"/>
      <c r="CH71" s="4" t="str">
        <f aca="false">IF(OR(CF71="",CG71=""),"",IFERROR(IF($K71="%",CG71-CF71,CG71/CF71-1),""))</f>
        <v/>
      </c>
      <c r="CI71" s="5" t="str">
        <f aca="false">IF(OR(CF71="",CG71=""),"",IF($F71="Maior Melhor",IF(CG71&gt;=CF71,"Sim","Não"),IF(CG71&lt;=CF71,"Sim","Não")))</f>
        <v/>
      </c>
      <c r="CJ71" s="8"/>
      <c r="CK71" s="8"/>
      <c r="CL71" s="4" t="str">
        <f aca="false">IF(OR(CJ71="",CK71=""),"",IFERROR(IF($K71="%",CK71-CJ71,CK71/CJ71-1),""))</f>
        <v/>
      </c>
      <c r="CM71" s="5" t="str">
        <f aca="false">IF(OR(CJ71="",CK71=""),"",IF($F71="Maior Melhor",IF(CK71&gt;=CJ71,"Sim","Não"),IF(CK71&lt;=CJ71,"Sim","Não")))</f>
        <v/>
      </c>
      <c r="CN71" s="8"/>
      <c r="CO71" s="8"/>
      <c r="CP71" s="4" t="str">
        <f aca="false">IF(OR(CN71="",CO71=""),"",IFERROR(IF($K71="%",CO71-CN71,CO71/CN71-1),""))</f>
        <v/>
      </c>
      <c r="CQ71" s="5" t="str">
        <f aca="false">IF(OR(CN71="",CO71=""),"",IF($F71="Maior Melhor",IF(CO71&gt;=CN71,"Sim","Não"),IF(CO71&lt;=CN71,"Sim","Não")))</f>
        <v/>
      </c>
      <c r="CR71" s="2" t="s">
        <v>129</v>
      </c>
    </row>
    <row r="72" customFormat="false" ht="15" hidden="false" customHeight="false" outlineLevel="0" collapsed="false">
      <c r="A72" s="2" t="s">
        <v>144</v>
      </c>
      <c r="B72" s="2" t="s">
        <v>97</v>
      </c>
      <c r="C72" s="2" t="s">
        <v>130</v>
      </c>
      <c r="D72" s="2" t="s">
        <v>145</v>
      </c>
      <c r="E72" s="2" t="str">
        <f aca="false">C72&amp;D72</f>
        <v>UTD SEABRABlitz da CIPA</v>
      </c>
      <c r="F72" s="2" t="s">
        <v>100</v>
      </c>
      <c r="G72" s="2" t="s">
        <v>146</v>
      </c>
      <c r="H72" s="2" t="s">
        <v>102</v>
      </c>
      <c r="I72" s="2" t="s">
        <v>103</v>
      </c>
      <c r="J72" s="2" t="n">
        <v>2</v>
      </c>
      <c r="K72" s="2" t="s">
        <v>147</v>
      </c>
      <c r="L72" s="7" t="n">
        <v>4</v>
      </c>
      <c r="M72" s="7" t="n">
        <v>5</v>
      </c>
      <c r="N72" s="4" t="n">
        <f aca="false">IF(OR(L72="",M72=""),"",IFERROR(IF($K72="%",M72-L72,M72/L72-1),""))</f>
        <v>0.25</v>
      </c>
      <c r="O72" s="5" t="str">
        <f aca="false">IF(OR(L72="",M72=""),"",IF($F72="Maior Melhor",IF(M72&gt;=L72,"Sim","Não"),IF(M72&lt;=L72,"Sim","Não")))</f>
        <v>Sim</v>
      </c>
      <c r="P72" s="7" t="n">
        <v>4</v>
      </c>
      <c r="Q72" s="7" t="n">
        <v>5</v>
      </c>
      <c r="R72" s="4" t="n">
        <f aca="false">IF(OR(P72="",Q72=""),"",IFERROR(IF($K72="%",Q72-P72,Q72/P72-1),""))</f>
        <v>0.25</v>
      </c>
      <c r="S72" s="5" t="str">
        <f aca="false">IF(OR(P72="",Q72=""),"",IF($F72="Maior Melhor",IF(Q72&gt;=P72,"Sim","Não"),IF(Q72&lt;=P72,"Sim","Não")))</f>
        <v>Sim</v>
      </c>
      <c r="T72" s="7" t="n">
        <v>16</v>
      </c>
      <c r="U72" s="7" t="n">
        <v>5</v>
      </c>
      <c r="V72" s="4" t="n">
        <f aca="false">IF(OR(T72="",U72=""),"",IFERROR(IF($K72="%",U72-T72,U72/T72-1),""))</f>
        <v>-0.6875</v>
      </c>
      <c r="W72" s="5" t="str">
        <f aca="false">IF(OR(T72="",U72=""),"",IF($F72="Maior Melhor",IF(U72&gt;=T72,"Sim","Não"),IF(U72&lt;=T72,"Sim","Não")))</f>
        <v>Não</v>
      </c>
      <c r="X72" s="7" t="n">
        <v>16</v>
      </c>
      <c r="Y72" s="7" t="n">
        <v>32</v>
      </c>
      <c r="Z72" s="4" t="n">
        <f aca="false">IF(OR(X72="",Y72=""),"",IFERROR(IF($K72="%",Y72-X72,Y72/X72-1),""))</f>
        <v>1</v>
      </c>
      <c r="AA72" s="5" t="str">
        <f aca="false">IF(OR(X72="",Y72=""),"",IF($F72="Maior Melhor",IF(Y72&gt;=X72,"Sim","Não"),IF(Y72&lt;=X72,"Sim","Não")))</f>
        <v>Sim</v>
      </c>
      <c r="AB72" s="7" t="n">
        <v>40</v>
      </c>
      <c r="AC72" s="7" t="n">
        <v>47</v>
      </c>
      <c r="AD72" s="4" t="n">
        <f aca="false">IF(OR(AB72="",AC72=""),"",IFERROR(IF($K72="%",AC72-AB72,AC72/AB72-1),""))</f>
        <v>0.175</v>
      </c>
      <c r="AE72" s="5" t="str">
        <f aca="false">IF(OR(AB72="",AC72=""),"",IF($F72="Maior Melhor",IF(AC72&gt;=AB72,"Sim","Não"),IF(AC72&lt;=AB72,"Sim","Não")))</f>
        <v>Sim</v>
      </c>
      <c r="AF72" s="7" t="n">
        <v>16</v>
      </c>
      <c r="AG72" s="7" t="n">
        <v>18</v>
      </c>
      <c r="AH72" s="4" t="n">
        <f aca="false">IF(OR(AF72="",AG72=""),"",IFERROR(IF($K72="%",AG72-AF72,AG72/AF72-1),""))</f>
        <v>0.125</v>
      </c>
      <c r="AI72" s="5" t="str">
        <f aca="false">IF(OR(AF72="",AG72=""),"",IF($F72="Maior Melhor",IF(AG72&gt;=AF72,"Sim","Não"),IF(AG72&lt;=AF72,"Sim","Não")))</f>
        <v>Sim</v>
      </c>
      <c r="AJ72" s="7" t="n">
        <v>56</v>
      </c>
      <c r="AK72" s="7" t="n">
        <v>65</v>
      </c>
      <c r="AL72" s="4" t="n">
        <f aca="false">IF(OR(AJ72="",AK72=""),"",IFERROR(IF($K72="%",AK72-AJ72,AK72/AJ72-1),""))</f>
        <v>0.160714285714286</v>
      </c>
      <c r="AM72" s="5" t="str">
        <f aca="false">IF(OR(AJ72="",AK72=""),"",IF($F72="Maior Melhor",IF(AK72&gt;=AJ72,"Sim","Não"),IF(AK72&lt;=AJ72,"Sim","Não")))</f>
        <v>Sim</v>
      </c>
      <c r="AN72" s="7" t="n">
        <v>16</v>
      </c>
      <c r="AO72" s="7" t="n">
        <v>25</v>
      </c>
      <c r="AP72" s="4" t="n">
        <f aca="false">IF(OR(AN72="",AO72=""),"",IFERROR(IF($K72="%",AO72-AN72,AO72/AN72-1),""))</f>
        <v>0.5625</v>
      </c>
      <c r="AQ72" s="5" t="str">
        <f aca="false">IF(OR(AN72="",AO72=""),"",IF($F72="Maior Melhor",IF(AO72&gt;=AN72,"Sim","Não"),IF(AO72&lt;=AN72,"Sim","Não")))</f>
        <v>Sim</v>
      </c>
      <c r="AR72" s="7" t="n">
        <v>72</v>
      </c>
      <c r="AS72" s="7" t="n">
        <v>90</v>
      </c>
      <c r="AT72" s="4" t="n">
        <f aca="false">IF(OR(AR72="",AS72=""),"",IFERROR(IF($K72="%",AS72-AR72,AS72/AR72-1),""))</f>
        <v>0.25</v>
      </c>
      <c r="AU72" s="5" t="str">
        <f aca="false">IF(OR(AR72="",AS72=""),"",IF($F72="Maior Melhor",IF(AS72&gt;=AR72,"Sim","Não"),IF(AS72&lt;=AR72,"Sim","Não")))</f>
        <v>Sim</v>
      </c>
      <c r="AV72" s="7" t="n">
        <v>16</v>
      </c>
      <c r="AW72" s="7" t="n">
        <v>18</v>
      </c>
      <c r="AX72" s="4" t="n">
        <f aca="false">IF(OR(AV72="",AW72=""),"",IFERROR(IF($K72="%",AW72-AV72,AW72/AV72-1),""))</f>
        <v>0.125</v>
      </c>
      <c r="AY72" s="5" t="str">
        <f aca="false">IF(OR(AV72="",AW72=""),"",IF($F72="Maior Melhor",IF(AW72&gt;=AV72,"Sim","Não"),IF(AW72&lt;=AV72,"Sim","Não")))</f>
        <v>Sim</v>
      </c>
      <c r="AZ72" s="7" t="n">
        <v>90</v>
      </c>
      <c r="BA72" s="7" t="n">
        <v>108</v>
      </c>
      <c r="BB72" s="4" t="n">
        <f aca="false">IF(OR(AZ72="",BA72=""),"",IFERROR(IF($K72="%",BA72-AZ72,BA72/AZ72-1),""))</f>
        <v>0.2</v>
      </c>
      <c r="BC72" s="5" t="str">
        <f aca="false">IF(OR(AZ72="",BA72=""),"",IF($F72="Maior Melhor",IF(BA72&gt;=AZ72,"Sim","Não"),IF(BA72&lt;=AZ72,"Sim","Não")))</f>
        <v>Sim</v>
      </c>
      <c r="BD72" s="7" t="n">
        <v>16</v>
      </c>
      <c r="BE72" s="7" t="n">
        <v>21</v>
      </c>
      <c r="BF72" s="4" t="n">
        <f aca="false">IF(OR(BD72="",BE72=""),"",IFERROR(IF($K72="%",BE72-BD72,BE72/BD72-1),""))</f>
        <v>0.3125</v>
      </c>
      <c r="BG72" s="5" t="str">
        <f aca="false">IF(OR(BD72="",BE72=""),"",IF($F72="Maior Melhor",IF(BE72&gt;=BD72,"Sim","Não"),IF(BE72&lt;=BD72,"Sim","Não")))</f>
        <v>Sim</v>
      </c>
      <c r="BH72" s="7" t="n">
        <v>106</v>
      </c>
      <c r="BI72" s="7" t="n">
        <v>129</v>
      </c>
      <c r="BJ72" s="4" t="n">
        <f aca="false">IF(OR(BH72="",BI72=""),"",IFERROR(IF($K72="%",BI72-BH72,BI72/BH72-1),""))</f>
        <v>0.216981132075472</v>
      </c>
      <c r="BK72" s="5" t="str">
        <f aca="false">IF(OR(BH72="",BI72=""),"",IF($F72="Maior Melhor",IF(BI72&gt;=BH72,"Sim","Não"),IF(BI72&lt;=BH72,"Sim","Não")))</f>
        <v>Sim</v>
      </c>
      <c r="BL72" s="8"/>
      <c r="BM72" s="8"/>
      <c r="BN72" s="4" t="str">
        <f aca="false">IF(OR(BL72="",BM72=""),"",IFERROR(IF($K72="%",BM72-BL72,BM72/BL72-1),""))</f>
        <v/>
      </c>
      <c r="BO72" s="5" t="str">
        <f aca="false">IF(OR(BL72="",BM72=""),"",IF($F72="Maior Melhor",IF(BM72&gt;=BL72,"Sim","Não"),IF(BM72&lt;=BL72,"Sim","Não")))</f>
        <v/>
      </c>
      <c r="BP72" s="8"/>
      <c r="BQ72" s="8"/>
      <c r="BR72" s="4" t="str">
        <f aca="false">IF(OR(BP72="",BQ72=""),"",IFERROR(IF($K72="%",BQ72-BP72,BQ72/BP72-1),""))</f>
        <v/>
      </c>
      <c r="BS72" s="5" t="str">
        <f aca="false">IF(OR(BP72="",BQ72=""),"",IF($F72="Maior Melhor",IF(BQ72&gt;=BP72,"Sim","Não"),IF(BQ72&lt;=BP72,"Sim","Não")))</f>
        <v/>
      </c>
      <c r="BT72" s="8"/>
      <c r="BU72" s="8"/>
      <c r="BV72" s="4" t="str">
        <f aca="false">IF(OR(BT72="",BU72=""),"",IFERROR(IF($K72="%",BU72-BT72,BU72/BT72-1),""))</f>
        <v/>
      </c>
      <c r="BW72" s="5" t="str">
        <f aca="false">IF(OR(BT72="",BU72=""),"",IF($F72="Maior Melhor",IF(BU72&gt;=BT72,"Sim","Não"),IF(BU72&lt;=BT72,"Sim","Não")))</f>
        <v/>
      </c>
      <c r="BX72" s="8"/>
      <c r="BY72" s="8"/>
      <c r="BZ72" s="4" t="str">
        <f aca="false">IF(OR(BX72="",BY72=""),"",IFERROR(IF($K72="%",BY72-BX72,BY72/BX72-1),""))</f>
        <v/>
      </c>
      <c r="CA72" s="5" t="str">
        <f aca="false">IF(OR(BX72="",BY72=""),"",IF($F72="Maior Melhor",IF(BY72&gt;=BX72,"Sim","Não"),IF(BY72&lt;=BX72,"Sim","Não")))</f>
        <v/>
      </c>
      <c r="CB72" s="8"/>
      <c r="CC72" s="8"/>
      <c r="CD72" s="4" t="str">
        <f aca="false">IF(OR(CB72="",CC72=""),"",IFERROR(IF($K72="%",CC72-CB72,CC72/CB72-1),""))</f>
        <v/>
      </c>
      <c r="CE72" s="5" t="str">
        <f aca="false">IF(OR(CB72="",CC72=""),"",IF($F72="Maior Melhor",IF(CC72&gt;=CB72,"Sim","Não"),IF(CC72&lt;=CB72,"Sim","Não")))</f>
        <v/>
      </c>
      <c r="CF72" s="8"/>
      <c r="CG72" s="8"/>
      <c r="CH72" s="4" t="str">
        <f aca="false">IF(OR(CF72="",CG72=""),"",IFERROR(IF($K72="%",CG72-CF72,CG72/CF72-1),""))</f>
        <v/>
      </c>
      <c r="CI72" s="5" t="str">
        <f aca="false">IF(OR(CF72="",CG72=""),"",IF($F72="Maior Melhor",IF(CG72&gt;=CF72,"Sim","Não"),IF(CG72&lt;=CF72,"Sim","Não")))</f>
        <v/>
      </c>
      <c r="CJ72" s="8"/>
      <c r="CK72" s="8"/>
      <c r="CL72" s="4" t="str">
        <f aca="false">IF(OR(CJ72="",CK72=""),"",IFERROR(IF($K72="%",CK72-CJ72,CK72/CJ72-1),""))</f>
        <v/>
      </c>
      <c r="CM72" s="5" t="str">
        <f aca="false">IF(OR(CJ72="",CK72=""),"",IF($F72="Maior Melhor",IF(CK72&gt;=CJ72,"Sim","Não"),IF(CK72&lt;=CJ72,"Sim","Não")))</f>
        <v/>
      </c>
      <c r="CN72" s="8"/>
      <c r="CO72" s="8"/>
      <c r="CP72" s="4" t="str">
        <f aca="false">IF(OR(CN72="",CO72=""),"",IFERROR(IF($K72="%",CO72-CN72,CO72/CN72-1),""))</f>
        <v/>
      </c>
      <c r="CQ72" s="5" t="str">
        <f aca="false">IF(OR(CN72="",CO72=""),"",IF($F72="Maior Melhor",IF(CO72&gt;=CN72,"Sim","Não"),IF(CO72&lt;=CN72,"Sim","Não")))</f>
        <v/>
      </c>
      <c r="CR72" s="2" t="s">
        <v>105</v>
      </c>
    </row>
    <row r="73" customFormat="false" ht="15" hidden="false" customHeight="false" outlineLevel="0" collapsed="false">
      <c r="A73" s="2" t="s">
        <v>144</v>
      </c>
      <c r="B73" s="2" t="s">
        <v>108</v>
      </c>
      <c r="C73" s="2" t="s">
        <v>131</v>
      </c>
      <c r="D73" s="2" t="s">
        <v>145</v>
      </c>
      <c r="E73" s="2" t="str">
        <f aca="false">C73&amp;D73</f>
        <v>UTD VITORIA DA CONQUISTABlitz da CIPA</v>
      </c>
      <c r="F73" s="2" t="s">
        <v>100</v>
      </c>
      <c r="G73" s="2" t="s">
        <v>146</v>
      </c>
      <c r="H73" s="2" t="s">
        <v>102</v>
      </c>
      <c r="I73" s="2" t="s">
        <v>103</v>
      </c>
      <c r="J73" s="2" t="n">
        <v>2</v>
      </c>
      <c r="K73" s="2" t="s">
        <v>147</v>
      </c>
      <c r="L73" s="7" t="n">
        <v>12</v>
      </c>
      <c r="M73" s="7" t="n">
        <v>11</v>
      </c>
      <c r="N73" s="4" t="n">
        <f aca="false">IF(OR(L73="",M73=""),"",IFERROR(IF($K73="%",M73-L73,M73/L73-1),""))</f>
        <v>-0.0833333333333334</v>
      </c>
      <c r="O73" s="5" t="str">
        <f aca="false">IF(OR(L73="",M73=""),"",IF($F73="Maior Melhor",IF(M73&gt;=L73,"Sim","Não"),IF(M73&lt;=L73,"Sim","Não")))</f>
        <v>Não</v>
      </c>
      <c r="P73" s="7" t="n">
        <v>12</v>
      </c>
      <c r="Q73" s="7" t="n">
        <v>0</v>
      </c>
      <c r="R73" s="4" t="n">
        <f aca="false">IF(OR(P73="",Q73=""),"",IFERROR(IF($K73="%",Q73-P73,Q73/P73-1),""))</f>
        <v>-1</v>
      </c>
      <c r="S73" s="5" t="str">
        <f aca="false">IF(OR(P73="",Q73=""),"",IF($F73="Maior Melhor",IF(Q73&gt;=P73,"Sim","Não"),IF(Q73&lt;=P73,"Sim","Não")))</f>
        <v>Não</v>
      </c>
      <c r="T73" s="7" t="n">
        <v>32</v>
      </c>
      <c r="U73" s="7" t="n">
        <v>70</v>
      </c>
      <c r="V73" s="4" t="n">
        <f aca="false">IF(OR(T73="",U73=""),"",IFERROR(IF($K73="%",U73-T73,U73/T73-1),""))</f>
        <v>1.1875</v>
      </c>
      <c r="W73" s="5" t="str">
        <f aca="false">IF(OR(T73="",U73=""),"",IF($F73="Maior Melhor",IF(U73&gt;=T73,"Sim","Não"),IF(U73&lt;=T73,"Sim","Não")))</f>
        <v>Sim</v>
      </c>
      <c r="X73" s="7" t="n">
        <v>32</v>
      </c>
      <c r="Y73" s="7" t="n">
        <v>56</v>
      </c>
      <c r="Z73" s="4" t="n">
        <f aca="false">IF(OR(X73="",Y73=""),"",IFERROR(IF($K73="%",Y73-X73,Y73/X73-1),""))</f>
        <v>0.75</v>
      </c>
      <c r="AA73" s="5" t="str">
        <f aca="false">IF(OR(X73="",Y73=""),"",IF($F73="Maior Melhor",IF(Y73&gt;=X73,"Sim","Não"),IF(Y73&lt;=X73,"Sim","Não")))</f>
        <v>Sim</v>
      </c>
      <c r="AB73" s="7" t="n">
        <v>88</v>
      </c>
      <c r="AC73" s="7" t="n">
        <v>137</v>
      </c>
      <c r="AD73" s="4" t="n">
        <f aca="false">IF(OR(AB73="",AC73=""),"",IFERROR(IF($K73="%",AC73-AB73,AC73/AB73-1),""))</f>
        <v>0.556818181818182</v>
      </c>
      <c r="AE73" s="5" t="str">
        <f aca="false">IF(OR(AB73="",AC73=""),"",IF($F73="Maior Melhor",IF(AC73&gt;=AB73,"Sim","Não"),IF(AC73&lt;=AB73,"Sim","Não")))</f>
        <v>Sim</v>
      </c>
      <c r="AF73" s="7" t="n">
        <v>32</v>
      </c>
      <c r="AG73" s="7" t="n">
        <v>53</v>
      </c>
      <c r="AH73" s="4" t="n">
        <f aca="false">IF(OR(AF73="",AG73=""),"",IFERROR(IF($K73="%",AG73-AF73,AG73/AF73-1),""))</f>
        <v>0.65625</v>
      </c>
      <c r="AI73" s="5" t="str">
        <f aca="false">IF(OR(AF73="",AG73=""),"",IF($F73="Maior Melhor",IF(AG73&gt;=AF73,"Sim","Não"),IF(AG73&lt;=AF73,"Sim","Não")))</f>
        <v>Sim</v>
      </c>
      <c r="AJ73" s="7" t="n">
        <v>120</v>
      </c>
      <c r="AK73" s="7" t="n">
        <v>190</v>
      </c>
      <c r="AL73" s="4" t="n">
        <f aca="false">IF(OR(AJ73="",AK73=""),"",IFERROR(IF($K73="%",AK73-AJ73,AK73/AJ73-1),""))</f>
        <v>0.583333333333333</v>
      </c>
      <c r="AM73" s="5" t="str">
        <f aca="false">IF(OR(AJ73="",AK73=""),"",IF($F73="Maior Melhor",IF(AK73&gt;=AJ73,"Sim","Não"),IF(AK73&lt;=AJ73,"Sim","Não")))</f>
        <v>Sim</v>
      </c>
      <c r="AN73" s="7" t="n">
        <v>32</v>
      </c>
      <c r="AO73" s="7" t="n">
        <v>52</v>
      </c>
      <c r="AP73" s="4" t="n">
        <f aca="false">IF(OR(AN73="",AO73=""),"",IFERROR(IF($K73="%",AO73-AN73,AO73/AN73-1),""))</f>
        <v>0.625</v>
      </c>
      <c r="AQ73" s="5" t="str">
        <f aca="false">IF(OR(AN73="",AO73=""),"",IF($F73="Maior Melhor",IF(AO73&gt;=AN73,"Sim","Não"),IF(AO73&lt;=AN73,"Sim","Não")))</f>
        <v>Sim</v>
      </c>
      <c r="AR73" s="7" t="n">
        <v>152</v>
      </c>
      <c r="AS73" s="7" t="n">
        <v>242</v>
      </c>
      <c r="AT73" s="4" t="n">
        <f aca="false">IF(OR(AR73="",AS73=""),"",IFERROR(IF($K73="%",AS73-AR73,AS73/AR73-1),""))</f>
        <v>0.592105263157895</v>
      </c>
      <c r="AU73" s="5" t="str">
        <f aca="false">IF(OR(AR73="",AS73=""),"",IF($F73="Maior Melhor",IF(AS73&gt;=AR73,"Sim","Não"),IF(AS73&lt;=AR73,"Sim","Não")))</f>
        <v>Sim</v>
      </c>
      <c r="AV73" s="7" t="n">
        <v>32</v>
      </c>
      <c r="AW73" s="7" t="n">
        <v>50</v>
      </c>
      <c r="AX73" s="4" t="n">
        <f aca="false">IF(OR(AV73="",AW73=""),"",IFERROR(IF($K73="%",AW73-AV73,AW73/AV73-1),""))</f>
        <v>0.5625</v>
      </c>
      <c r="AY73" s="5" t="str">
        <f aca="false">IF(OR(AV73="",AW73=""),"",IF($F73="Maior Melhor",IF(AW73&gt;=AV73,"Sim","Não"),IF(AW73&lt;=AV73,"Sim","Não")))</f>
        <v>Sim</v>
      </c>
      <c r="AZ73" s="7" t="n">
        <v>171</v>
      </c>
      <c r="BA73" s="7" t="n">
        <v>292</v>
      </c>
      <c r="BB73" s="4" t="n">
        <f aca="false">IF(OR(AZ73="",BA73=""),"",IFERROR(IF($K73="%",BA73-AZ73,BA73/AZ73-1),""))</f>
        <v>0.707602339181287</v>
      </c>
      <c r="BC73" s="5" t="str">
        <f aca="false">IF(OR(AZ73="",BA73=""),"",IF($F73="Maior Melhor",IF(BA73&gt;=AZ73,"Sim","Não"),IF(BA73&lt;=AZ73,"Sim","Não")))</f>
        <v>Sim</v>
      </c>
      <c r="BD73" s="7" t="n">
        <v>32</v>
      </c>
      <c r="BE73" s="7" t="n">
        <v>53</v>
      </c>
      <c r="BF73" s="4" t="n">
        <f aca="false">IF(OR(BD73="",BE73=""),"",IFERROR(IF($K73="%",BE73-BD73,BE73/BD73-1),""))</f>
        <v>0.65625</v>
      </c>
      <c r="BG73" s="5" t="str">
        <f aca="false">IF(OR(BD73="",BE73=""),"",IF($F73="Maior Melhor",IF(BE73&gt;=BD73,"Sim","Não"),IF(BE73&lt;=BD73,"Sim","Não")))</f>
        <v>Sim</v>
      </c>
      <c r="BH73" s="7" t="n">
        <v>203</v>
      </c>
      <c r="BI73" s="7" t="n">
        <v>345</v>
      </c>
      <c r="BJ73" s="4" t="n">
        <f aca="false">IF(OR(BH73="",BI73=""),"",IFERROR(IF($K73="%",BI73-BH73,BI73/BH73-1),""))</f>
        <v>0.699507389162562</v>
      </c>
      <c r="BK73" s="5" t="str">
        <f aca="false">IF(OR(BH73="",BI73=""),"",IF($F73="Maior Melhor",IF(BI73&gt;=BH73,"Sim","Não"),IF(BI73&lt;=BH73,"Sim","Não")))</f>
        <v>Sim</v>
      </c>
      <c r="BL73" s="8"/>
      <c r="BM73" s="8"/>
      <c r="BN73" s="4" t="str">
        <f aca="false">IF(OR(BL73="",BM73=""),"",IFERROR(IF($K73="%",BM73-BL73,BM73/BL73-1),""))</f>
        <v/>
      </c>
      <c r="BO73" s="5" t="str">
        <f aca="false">IF(OR(BL73="",BM73=""),"",IF($F73="Maior Melhor",IF(BM73&gt;=BL73,"Sim","Não"),IF(BM73&lt;=BL73,"Sim","Não")))</f>
        <v/>
      </c>
      <c r="BP73" s="8"/>
      <c r="BQ73" s="8"/>
      <c r="BR73" s="4" t="str">
        <f aca="false">IF(OR(BP73="",BQ73=""),"",IFERROR(IF($K73="%",BQ73-BP73,BQ73/BP73-1),""))</f>
        <v/>
      </c>
      <c r="BS73" s="5" t="str">
        <f aca="false">IF(OR(BP73="",BQ73=""),"",IF($F73="Maior Melhor",IF(BQ73&gt;=BP73,"Sim","Não"),IF(BQ73&lt;=BP73,"Sim","Não")))</f>
        <v/>
      </c>
      <c r="BT73" s="8"/>
      <c r="BU73" s="8"/>
      <c r="BV73" s="4" t="str">
        <f aca="false">IF(OR(BT73="",BU73=""),"",IFERROR(IF($K73="%",BU73-BT73,BU73/BT73-1),""))</f>
        <v/>
      </c>
      <c r="BW73" s="5" t="str">
        <f aca="false">IF(OR(BT73="",BU73=""),"",IF($F73="Maior Melhor",IF(BU73&gt;=BT73,"Sim","Não"),IF(BU73&lt;=BT73,"Sim","Não")))</f>
        <v/>
      </c>
      <c r="BX73" s="8"/>
      <c r="BY73" s="8"/>
      <c r="BZ73" s="4" t="str">
        <f aca="false">IF(OR(BX73="",BY73=""),"",IFERROR(IF($K73="%",BY73-BX73,BY73/BX73-1),""))</f>
        <v/>
      </c>
      <c r="CA73" s="5" t="str">
        <f aca="false">IF(OR(BX73="",BY73=""),"",IF($F73="Maior Melhor",IF(BY73&gt;=BX73,"Sim","Não"),IF(BY73&lt;=BX73,"Sim","Não")))</f>
        <v/>
      </c>
      <c r="CB73" s="8"/>
      <c r="CC73" s="8"/>
      <c r="CD73" s="4" t="str">
        <f aca="false">IF(OR(CB73="",CC73=""),"",IFERROR(IF($K73="%",CC73-CB73,CC73/CB73-1),""))</f>
        <v/>
      </c>
      <c r="CE73" s="5" t="str">
        <f aca="false">IF(OR(CB73="",CC73=""),"",IF($F73="Maior Melhor",IF(CC73&gt;=CB73,"Sim","Não"),IF(CC73&lt;=CB73,"Sim","Não")))</f>
        <v/>
      </c>
      <c r="CF73" s="8"/>
      <c r="CG73" s="8"/>
      <c r="CH73" s="4" t="str">
        <f aca="false">IF(OR(CF73="",CG73=""),"",IFERROR(IF($K73="%",CG73-CF73,CG73/CF73-1),""))</f>
        <v/>
      </c>
      <c r="CI73" s="5" t="str">
        <f aca="false">IF(OR(CF73="",CG73=""),"",IF($F73="Maior Melhor",IF(CG73&gt;=CF73,"Sim","Não"),IF(CG73&lt;=CF73,"Sim","Não")))</f>
        <v/>
      </c>
      <c r="CJ73" s="8"/>
      <c r="CK73" s="8"/>
      <c r="CL73" s="4" t="str">
        <f aca="false">IF(OR(CJ73="",CK73=""),"",IFERROR(IF($K73="%",CK73-CJ73,CK73/CJ73-1),""))</f>
        <v/>
      </c>
      <c r="CM73" s="5" t="str">
        <f aca="false">IF(OR(CJ73="",CK73=""),"",IF($F73="Maior Melhor",IF(CK73&gt;=CJ73,"Sim","Não"),IF(CK73&lt;=CJ73,"Sim","Não")))</f>
        <v/>
      </c>
      <c r="CN73" s="8"/>
      <c r="CO73" s="8"/>
      <c r="CP73" s="4" t="str">
        <f aca="false">IF(OR(CN73="",CO73=""),"",IFERROR(IF($K73="%",CO73-CN73,CO73/CN73-1),""))</f>
        <v/>
      </c>
      <c r="CQ73" s="5" t="str">
        <f aca="false">IF(OR(CN73="",CO73=""),"",IF($F73="Maior Melhor",IF(CO73&gt;=CN73,"Sim","Não"),IF(CO73&lt;=CN73,"Sim","Não")))</f>
        <v/>
      </c>
      <c r="CR73" s="2" t="s">
        <v>105</v>
      </c>
    </row>
    <row r="74" customFormat="false" ht="15" hidden="false" customHeight="false" outlineLevel="0" collapsed="false">
      <c r="A74" s="2" t="s">
        <v>151</v>
      </c>
      <c r="B74" s="2" t="s">
        <v>97</v>
      </c>
      <c r="C74" s="2" t="s">
        <v>98</v>
      </c>
      <c r="D74" s="2" t="s">
        <v>152</v>
      </c>
      <c r="E74" s="2" t="str">
        <f aca="false">C74&amp;D74</f>
        <v>Gerência Centro OesteCaptação de pastas - UTD</v>
      </c>
      <c r="F74" s="2" t="s">
        <v>100</v>
      </c>
      <c r="G74" s="2" t="s">
        <v>153</v>
      </c>
      <c r="H74" s="2" t="s">
        <v>102</v>
      </c>
      <c r="I74" s="2" t="s">
        <v>103</v>
      </c>
      <c r="J74" s="2" t="n">
        <v>3</v>
      </c>
      <c r="K74" s="2" t="s">
        <v>104</v>
      </c>
      <c r="L74" s="3" t="n">
        <v>0.9</v>
      </c>
      <c r="M74" s="3" t="n">
        <v>0.13</v>
      </c>
      <c r="N74" s="4" t="n">
        <f aca="false">IF(OR(L74="",M74=""),"",IFERROR(IF($K74="%",M74-L74,M74/L74-1),""))</f>
        <v>-0.77</v>
      </c>
      <c r="O74" s="5" t="str">
        <f aca="false">IF(OR(L74="",M74=""),"",IF($F74="Maior Melhor",IF(M74&gt;=L74,"Sim","Não"),IF(M74&lt;=L74,"Sim","Não")))</f>
        <v>Não</v>
      </c>
      <c r="P74" s="3" t="n">
        <v>0.9</v>
      </c>
      <c r="Q74" s="3" t="n">
        <v>0.42</v>
      </c>
      <c r="R74" s="4" t="n">
        <f aca="false">IF(OR(P74="",Q74=""),"",IFERROR(IF($K74="%",Q74-P74,Q74/P74-1),""))</f>
        <v>-0.48</v>
      </c>
      <c r="S74" s="5" t="str">
        <f aca="false">IF(OR(P74="",Q74=""),"",IF($F74="Maior Melhor",IF(Q74&gt;=P74,"Sim","Não"),IF(Q74&lt;=P74,"Sim","Não")))</f>
        <v>Não</v>
      </c>
      <c r="T74" s="3" t="n">
        <v>0.95</v>
      </c>
      <c r="U74" s="3" t="n">
        <v>1</v>
      </c>
      <c r="V74" s="4" t="n">
        <f aca="false">IF(OR(T74="",U74=""),"",IFERROR(IF($K74="%",U74-T74,U74/T74-1),""))</f>
        <v>0.05</v>
      </c>
      <c r="W74" s="5" t="str">
        <f aca="false">IF(OR(T74="",U74=""),"",IF($F74="Maior Melhor",IF(U74&gt;=T74,"Sim","Não"),IF(U74&lt;=T74,"Sim","Não")))</f>
        <v>Sim</v>
      </c>
      <c r="X74" s="3" t="n">
        <v>0.95</v>
      </c>
      <c r="Y74" s="3" t="n">
        <v>1</v>
      </c>
      <c r="Z74" s="4" t="n">
        <f aca="false">IF(OR(X74="",Y74=""),"",IFERROR(IF($K74="%",Y74-X74,Y74/X74-1),""))</f>
        <v>0.05</v>
      </c>
      <c r="AA74" s="5" t="str">
        <f aca="false">IF(OR(X74="",Y74=""),"",IF($F74="Maior Melhor",IF(Y74&gt;=X74,"Sim","Não"),IF(Y74&lt;=X74,"Sim","Não")))</f>
        <v>Sim</v>
      </c>
      <c r="AB74" s="3" t="n">
        <v>0.95</v>
      </c>
      <c r="AC74" s="3" t="n">
        <v>1</v>
      </c>
      <c r="AD74" s="4" t="n">
        <f aca="false">IF(OR(AB74="",AC74=""),"",IFERROR(IF($K74="%",AC74-AB74,AC74/AB74-1),""))</f>
        <v>0.05</v>
      </c>
      <c r="AE74" s="5" t="str">
        <f aca="false">IF(OR(AB74="",AC74=""),"",IF($F74="Maior Melhor",IF(AC74&gt;=AB74,"Sim","Não"),IF(AC74&lt;=AB74,"Sim","Não")))</f>
        <v>Sim</v>
      </c>
      <c r="AF74" s="3" t="n">
        <v>0.95</v>
      </c>
      <c r="AG74" s="3" t="n">
        <v>1</v>
      </c>
      <c r="AH74" s="4" t="n">
        <f aca="false">IF(OR(AF74="",AG74=""),"",IFERROR(IF($K74="%",AG74-AF74,AG74/AF74-1),""))</f>
        <v>0.05</v>
      </c>
      <c r="AI74" s="5" t="str">
        <f aca="false">IF(OR(AF74="",AG74=""),"",IF($F74="Maior Melhor",IF(AG74&gt;=AF74,"Sim","Não"),IF(AG74&lt;=AF74,"Sim","Não")))</f>
        <v>Sim</v>
      </c>
      <c r="AJ74" s="3" t="n">
        <v>0.95</v>
      </c>
      <c r="AK74" s="3" t="n">
        <v>1</v>
      </c>
      <c r="AL74" s="4" t="n">
        <f aca="false">IF(OR(AJ74="",AK74=""),"",IFERROR(IF($K74="%",AK74-AJ74,AK74/AJ74-1),""))</f>
        <v>0.05</v>
      </c>
      <c r="AM74" s="5" t="str">
        <f aca="false">IF(OR(AJ74="",AK74=""),"",IF($F74="Maior Melhor",IF(AK74&gt;=AJ74,"Sim","Não"),IF(AK74&lt;=AJ74,"Sim","Não")))</f>
        <v>Sim</v>
      </c>
      <c r="AN74" s="3" t="n">
        <v>0.95</v>
      </c>
      <c r="AO74" s="3" t="n">
        <v>0.833333333</v>
      </c>
      <c r="AP74" s="4" t="n">
        <f aca="false">IF(OR(AN74="",AO74=""),"",IFERROR(IF($K74="%",AO74-AN74,AO74/AN74-1),""))</f>
        <v>-0.116666667</v>
      </c>
      <c r="AQ74" s="5" t="str">
        <f aca="false">IF(OR(AN74="",AO74=""),"",IF($F74="Maior Melhor",IF(AO74&gt;=AN74,"Sim","Não"),IF(AO74&lt;=AN74,"Sim","Não")))</f>
        <v>Não</v>
      </c>
      <c r="AR74" s="3" t="n">
        <v>0.95</v>
      </c>
      <c r="AS74" s="3" t="n">
        <v>0.983050847</v>
      </c>
      <c r="AT74" s="4" t="n">
        <f aca="false">IF(OR(AR74="",AS74=""),"",IFERROR(IF($K74="%",AS74-AR74,AS74/AR74-1),""))</f>
        <v>0.0330508470000001</v>
      </c>
      <c r="AU74" s="5" t="str">
        <f aca="false">IF(OR(AR74="",AS74=""),"",IF($F74="Maior Melhor",IF(AS74&gt;=AR74,"Sim","Não"),IF(AS74&lt;=AR74,"Sim","Não")))</f>
        <v>Sim</v>
      </c>
      <c r="AV74" s="3" t="n">
        <v>0.95</v>
      </c>
      <c r="AW74" s="3" t="n">
        <v>1</v>
      </c>
      <c r="AX74" s="4" t="n">
        <f aca="false">IF(OR(AV74="",AW74=""),"",IFERROR(IF($K74="%",AW74-AV74,AW74/AV74-1),""))</f>
        <v>0.05</v>
      </c>
      <c r="AY74" s="5" t="str">
        <f aca="false">IF(OR(AV74="",AW74=""),"",IF($F74="Maior Melhor",IF(AW74&gt;=AV74,"Sim","Não"),IF(AW74&lt;=AV74,"Sim","Não")))</f>
        <v>Sim</v>
      </c>
      <c r="AZ74" s="3" t="n">
        <v>0.95</v>
      </c>
      <c r="BA74" s="3" t="n">
        <v>0.99</v>
      </c>
      <c r="BB74" s="4" t="n">
        <f aca="false">IF(OR(AZ74="",BA74=""),"",IFERROR(IF($K74="%",BA74-AZ74,BA74/AZ74-1),""))</f>
        <v>0.04</v>
      </c>
      <c r="BC74" s="5" t="str">
        <f aca="false">IF(OR(AZ74="",BA74=""),"",IF($F74="Maior Melhor",IF(BA74&gt;=AZ74,"Sim","Não"),IF(BA74&lt;=AZ74,"Sim","Não")))</f>
        <v>Sim</v>
      </c>
      <c r="BD74" s="3" t="n">
        <v>0.95</v>
      </c>
      <c r="BE74" s="3" t="n">
        <v>1</v>
      </c>
      <c r="BF74" s="4" t="n">
        <f aca="false">IF(OR(BD74="",BE74=""),"",IFERROR(IF($K74="%",BE74-BD74,BE74/BD74-1),""))</f>
        <v>0.05</v>
      </c>
      <c r="BG74" s="5" t="str">
        <f aca="false">IF(OR(BD74="",BE74=""),"",IF($F74="Maior Melhor",IF(BE74&gt;=BD74,"Sim","Não"),IF(BE74&lt;=BD74,"Sim","Não")))</f>
        <v>Sim</v>
      </c>
      <c r="BH74" s="3" t="n">
        <v>0.95</v>
      </c>
      <c r="BI74" s="3" t="n">
        <v>0.988235294</v>
      </c>
      <c r="BJ74" s="4" t="n">
        <f aca="false">IF(OR(BH74="",BI74=""),"",IFERROR(IF($K74="%",BI74-BH74,BI74/BH74-1),""))</f>
        <v>0.038235294</v>
      </c>
      <c r="BK74" s="5" t="str">
        <f aca="false">IF(OR(BH74="",BI74=""),"",IF($F74="Maior Melhor",IF(BI74&gt;=BH74,"Sim","Não"),IF(BI74&lt;=BH74,"Sim","Não")))</f>
        <v>Sim</v>
      </c>
      <c r="BL74" s="6"/>
      <c r="BM74" s="6"/>
      <c r="BN74" s="4" t="str">
        <f aca="false">IF(OR(BL74="",BM74=""),"",IFERROR(IF($K74="%",BM74-BL74,BM74/BL74-1),""))</f>
        <v/>
      </c>
      <c r="BO74" s="5" t="str">
        <f aca="false">IF(OR(BL74="",BM74=""),"",IF($F74="Maior Melhor",IF(BM74&gt;=BL74,"Sim","Não"),IF(BM74&lt;=BL74,"Sim","Não")))</f>
        <v/>
      </c>
      <c r="BP74" s="6"/>
      <c r="BQ74" s="6"/>
      <c r="BR74" s="4" t="str">
        <f aca="false">IF(OR(BP74="",BQ74=""),"",IFERROR(IF($K74="%",BQ74-BP74,BQ74/BP74-1),""))</f>
        <v/>
      </c>
      <c r="BS74" s="5" t="str">
        <f aca="false">IF(OR(BP74="",BQ74=""),"",IF($F74="Maior Melhor",IF(BQ74&gt;=BP74,"Sim","Não"),IF(BQ74&lt;=BP74,"Sim","Não")))</f>
        <v/>
      </c>
      <c r="BT74" s="6"/>
      <c r="BU74" s="6"/>
      <c r="BV74" s="4" t="str">
        <f aca="false">IF(OR(BT74="",BU74=""),"",IFERROR(IF($K74="%",BU74-BT74,BU74/BT74-1),""))</f>
        <v/>
      </c>
      <c r="BW74" s="5" t="str">
        <f aca="false">IF(OR(BT74="",BU74=""),"",IF($F74="Maior Melhor",IF(BU74&gt;=BT74,"Sim","Não"),IF(BU74&lt;=BT74,"Sim","Não")))</f>
        <v/>
      </c>
      <c r="BX74" s="6"/>
      <c r="BY74" s="6"/>
      <c r="BZ74" s="4" t="str">
        <f aca="false">IF(OR(BX74="",BY74=""),"",IFERROR(IF($K74="%",BY74-BX74,BY74/BX74-1),""))</f>
        <v/>
      </c>
      <c r="CA74" s="5" t="str">
        <f aca="false">IF(OR(BX74="",BY74=""),"",IF($F74="Maior Melhor",IF(BY74&gt;=BX74,"Sim","Não"),IF(BY74&lt;=BX74,"Sim","Não")))</f>
        <v/>
      </c>
      <c r="CB74" s="6"/>
      <c r="CC74" s="6"/>
      <c r="CD74" s="4" t="str">
        <f aca="false">IF(OR(CB74="",CC74=""),"",IFERROR(IF($K74="%",CC74-CB74,CC74/CB74-1),""))</f>
        <v/>
      </c>
      <c r="CE74" s="5" t="str">
        <f aca="false">IF(OR(CB74="",CC74=""),"",IF($F74="Maior Melhor",IF(CC74&gt;=CB74,"Sim","Não"),IF(CC74&lt;=CB74,"Sim","Não")))</f>
        <v/>
      </c>
      <c r="CF74" s="6"/>
      <c r="CG74" s="6"/>
      <c r="CH74" s="4" t="str">
        <f aca="false">IF(OR(CF74="",CG74=""),"",IFERROR(IF($K74="%",CG74-CF74,CG74/CF74-1),""))</f>
        <v/>
      </c>
      <c r="CI74" s="5" t="str">
        <f aca="false">IF(OR(CF74="",CG74=""),"",IF($F74="Maior Melhor",IF(CG74&gt;=CF74,"Sim","Não"),IF(CG74&lt;=CF74,"Sim","Não")))</f>
        <v/>
      </c>
      <c r="CJ74" s="6"/>
      <c r="CK74" s="6"/>
      <c r="CL74" s="4" t="str">
        <f aca="false">IF(OR(CJ74="",CK74=""),"",IFERROR(IF($K74="%",CK74-CJ74,CK74/CJ74-1),""))</f>
        <v/>
      </c>
      <c r="CM74" s="5" t="str">
        <f aca="false">IF(OR(CJ74="",CK74=""),"",IF($F74="Maior Melhor",IF(CK74&gt;=CJ74,"Sim","Não"),IF(CK74&lt;=CJ74,"Sim","Não")))</f>
        <v/>
      </c>
      <c r="CN74" s="6"/>
      <c r="CO74" s="6"/>
      <c r="CP74" s="4" t="str">
        <f aca="false">IF(OR(CN74="",CO74=""),"",IFERROR(IF($K74="%",CO74-CN74,CO74/CN74-1),""))</f>
        <v/>
      </c>
      <c r="CQ74" s="5" t="str">
        <f aca="false">IF(OR(CN74="",CO74=""),"",IF($F74="Maior Melhor",IF(CO74&gt;=CN74,"Sim","Não"),IF(CO74&lt;=CN74,"Sim","Não")))</f>
        <v/>
      </c>
      <c r="CR74" s="2" t="s">
        <v>105</v>
      </c>
    </row>
    <row r="75" customFormat="false" ht="15" hidden="false" customHeight="false" outlineLevel="0" collapsed="false">
      <c r="A75" s="2" t="s">
        <v>151</v>
      </c>
      <c r="B75" s="2" t="s">
        <v>106</v>
      </c>
      <c r="C75" s="2" t="s">
        <v>107</v>
      </c>
      <c r="D75" s="2" t="s">
        <v>152</v>
      </c>
      <c r="E75" s="2" t="str">
        <f aca="false">C75&amp;D75</f>
        <v>Gerência OesteCaptação de pastas - UTD</v>
      </c>
      <c r="F75" s="2" t="s">
        <v>100</v>
      </c>
      <c r="G75" s="2" t="s">
        <v>153</v>
      </c>
      <c r="H75" s="2" t="s">
        <v>102</v>
      </c>
      <c r="I75" s="2" t="s">
        <v>103</v>
      </c>
      <c r="J75" s="2" t="n">
        <v>3</v>
      </c>
      <c r="K75" s="2" t="s">
        <v>104</v>
      </c>
      <c r="L75" s="3" t="n">
        <v>0.9</v>
      </c>
      <c r="M75" s="3" t="n">
        <v>0.07</v>
      </c>
      <c r="N75" s="4" t="n">
        <f aca="false">IF(OR(L75="",M75=""),"",IFERROR(IF($K75="%",M75-L75,M75/L75-1),""))</f>
        <v>-0.83</v>
      </c>
      <c r="O75" s="5" t="str">
        <f aca="false">IF(OR(L75="",M75=""),"",IF($F75="Maior Melhor",IF(M75&gt;=L75,"Sim","Não"),IF(M75&lt;=L75,"Sim","Não")))</f>
        <v>Não</v>
      </c>
      <c r="P75" s="3" t="n">
        <v>0.9</v>
      </c>
      <c r="Q75" s="3" t="n">
        <v>0.07</v>
      </c>
      <c r="R75" s="4" t="n">
        <f aca="false">IF(OR(P75="",Q75=""),"",IFERROR(IF($K75="%",Q75-P75,Q75/P75-1),""))</f>
        <v>-0.83</v>
      </c>
      <c r="S75" s="5" t="str">
        <f aca="false">IF(OR(P75="",Q75=""),"",IF($F75="Maior Melhor",IF(Q75&gt;=P75,"Sim","Não"),IF(Q75&lt;=P75,"Sim","Não")))</f>
        <v>Não</v>
      </c>
      <c r="T75" s="3" t="n">
        <v>0.95</v>
      </c>
      <c r="U75" s="3" t="n">
        <v>0.97</v>
      </c>
      <c r="V75" s="4" t="n">
        <f aca="false">IF(OR(T75="",U75=""),"",IFERROR(IF($K75="%",U75-T75,U75/T75-1),""))</f>
        <v>0.02</v>
      </c>
      <c r="W75" s="5" t="str">
        <f aca="false">IF(OR(T75="",U75=""),"",IF($F75="Maior Melhor",IF(U75&gt;=T75,"Sim","Não"),IF(U75&lt;=T75,"Sim","Não")))</f>
        <v>Sim</v>
      </c>
      <c r="X75" s="3" t="n">
        <v>0.95</v>
      </c>
      <c r="Y75" s="3" t="n">
        <v>1</v>
      </c>
      <c r="Z75" s="4" t="n">
        <f aca="false">IF(OR(X75="",Y75=""),"",IFERROR(IF($K75="%",Y75-X75,Y75/X75-1),""))</f>
        <v>0.05</v>
      </c>
      <c r="AA75" s="5" t="str">
        <f aca="false">IF(OR(X75="",Y75=""),"",IF($F75="Maior Melhor",IF(Y75&gt;=X75,"Sim","Não"),IF(Y75&lt;=X75,"Sim","Não")))</f>
        <v>Sim</v>
      </c>
      <c r="AB75" s="3" t="n">
        <v>0.95</v>
      </c>
      <c r="AC75" s="3" t="n">
        <v>0.97</v>
      </c>
      <c r="AD75" s="4" t="n">
        <f aca="false">IF(OR(AB75="",AC75=""),"",IFERROR(IF($K75="%",AC75-AB75,AC75/AB75-1),""))</f>
        <v>0.02</v>
      </c>
      <c r="AE75" s="5" t="str">
        <f aca="false">IF(OR(AB75="",AC75=""),"",IF($F75="Maior Melhor",IF(AC75&gt;=AB75,"Sim","Não"),IF(AC75&lt;=AB75,"Sim","Não")))</f>
        <v>Sim</v>
      </c>
      <c r="AF75" s="3" t="n">
        <v>0.95</v>
      </c>
      <c r="AG75" s="3" t="n">
        <v>1</v>
      </c>
      <c r="AH75" s="4" t="n">
        <f aca="false">IF(OR(AF75="",AG75=""),"",IFERROR(IF($K75="%",AG75-AF75,AG75/AF75-1),""))</f>
        <v>0.05</v>
      </c>
      <c r="AI75" s="5" t="str">
        <f aca="false">IF(OR(AF75="",AG75=""),"",IF($F75="Maior Melhor",IF(AG75&gt;=AF75,"Sim","Não"),IF(AG75&lt;=AF75,"Sim","Não")))</f>
        <v>Sim</v>
      </c>
      <c r="AJ75" s="3" t="n">
        <v>0.95</v>
      </c>
      <c r="AK75" s="3" t="n">
        <v>1</v>
      </c>
      <c r="AL75" s="4" t="n">
        <f aca="false">IF(OR(AJ75="",AK75=""),"",IFERROR(IF($K75="%",AK75-AJ75,AK75/AJ75-1),""))</f>
        <v>0.05</v>
      </c>
      <c r="AM75" s="5" t="str">
        <f aca="false">IF(OR(AJ75="",AK75=""),"",IF($F75="Maior Melhor",IF(AK75&gt;=AJ75,"Sim","Não"),IF(AK75&lt;=AJ75,"Sim","Não")))</f>
        <v>Sim</v>
      </c>
      <c r="AN75" s="3" t="n">
        <v>0.95</v>
      </c>
      <c r="AO75" s="3" t="n">
        <v>1</v>
      </c>
      <c r="AP75" s="4" t="n">
        <f aca="false">IF(OR(AN75="",AO75=""),"",IFERROR(IF($K75="%",AO75-AN75,AO75/AN75-1),""))</f>
        <v>0.05</v>
      </c>
      <c r="AQ75" s="5" t="str">
        <f aca="false">IF(OR(AN75="",AO75=""),"",IF($F75="Maior Melhor",IF(AO75&gt;=AN75,"Sim","Não"),IF(AO75&lt;=AN75,"Sim","Não")))</f>
        <v>Sim</v>
      </c>
      <c r="AR75" s="3" t="n">
        <v>0.95</v>
      </c>
      <c r="AS75" s="3" t="n">
        <v>0.983606557</v>
      </c>
      <c r="AT75" s="4" t="n">
        <f aca="false">IF(OR(AR75="",AS75=""),"",IFERROR(IF($K75="%",AS75-AR75,AS75/AR75-1),""))</f>
        <v>0.033606557</v>
      </c>
      <c r="AU75" s="5" t="str">
        <f aca="false">IF(OR(AR75="",AS75=""),"",IF($F75="Maior Melhor",IF(AS75&gt;=AR75,"Sim","Não"),IF(AS75&lt;=AR75,"Sim","Não")))</f>
        <v>Sim</v>
      </c>
      <c r="AV75" s="3" t="n">
        <v>0.95</v>
      </c>
      <c r="AW75" s="3" t="n">
        <v>1</v>
      </c>
      <c r="AX75" s="4" t="n">
        <f aca="false">IF(OR(AV75="",AW75=""),"",IFERROR(IF($K75="%",AW75-AV75,AW75/AV75-1),""))</f>
        <v>0.05</v>
      </c>
      <c r="AY75" s="5" t="str">
        <f aca="false">IF(OR(AV75="",AW75=""),"",IF($F75="Maior Melhor",IF(AW75&gt;=AV75,"Sim","Não"),IF(AW75&lt;=AV75,"Sim","Não")))</f>
        <v>Sim</v>
      </c>
      <c r="AZ75" s="3" t="n">
        <v>0.95</v>
      </c>
      <c r="BA75" s="3" t="n">
        <v>0.99</v>
      </c>
      <c r="BB75" s="4" t="n">
        <f aca="false">IF(OR(AZ75="",BA75=""),"",IFERROR(IF($K75="%",BA75-AZ75,BA75/AZ75-1),""))</f>
        <v>0.04</v>
      </c>
      <c r="BC75" s="5" t="str">
        <f aca="false">IF(OR(AZ75="",BA75=""),"",IF($F75="Maior Melhor",IF(BA75&gt;=AZ75,"Sim","Não"),IF(BA75&lt;=AZ75,"Sim","Não")))</f>
        <v>Sim</v>
      </c>
      <c r="BD75" s="3" t="n">
        <v>0.95</v>
      </c>
      <c r="BE75" s="3" t="n">
        <v>1</v>
      </c>
      <c r="BF75" s="4" t="n">
        <f aca="false">IF(OR(BD75="",BE75=""),"",IFERROR(IF($K75="%",BE75-BD75,BE75/BD75-1),""))</f>
        <v>0.05</v>
      </c>
      <c r="BG75" s="5" t="str">
        <f aca="false">IF(OR(BD75="",BE75=""),"",IF($F75="Maior Melhor",IF(BE75&gt;=BD75,"Sim","Não"),IF(BE75&lt;=BD75,"Sim","Não")))</f>
        <v>Sim</v>
      </c>
      <c r="BH75" s="3" t="n">
        <v>0.95</v>
      </c>
      <c r="BI75" s="3" t="n">
        <v>0.988095238</v>
      </c>
      <c r="BJ75" s="4" t="n">
        <f aca="false">IF(OR(BH75="",BI75=""),"",IFERROR(IF($K75="%",BI75-BH75,BI75/BH75-1),""))</f>
        <v>0.038095238</v>
      </c>
      <c r="BK75" s="5" t="str">
        <f aca="false">IF(OR(BH75="",BI75=""),"",IF($F75="Maior Melhor",IF(BI75&gt;=BH75,"Sim","Não"),IF(BI75&lt;=BH75,"Sim","Não")))</f>
        <v>Sim</v>
      </c>
      <c r="BL75" s="6"/>
      <c r="BM75" s="6"/>
      <c r="BN75" s="4" t="str">
        <f aca="false">IF(OR(BL75="",BM75=""),"",IFERROR(IF($K75="%",BM75-BL75,BM75/BL75-1),""))</f>
        <v/>
      </c>
      <c r="BO75" s="5" t="str">
        <f aca="false">IF(OR(BL75="",BM75=""),"",IF($F75="Maior Melhor",IF(BM75&gt;=BL75,"Sim","Não"),IF(BM75&lt;=BL75,"Sim","Não")))</f>
        <v/>
      </c>
      <c r="BP75" s="6"/>
      <c r="BQ75" s="6"/>
      <c r="BR75" s="4" t="str">
        <f aca="false">IF(OR(BP75="",BQ75=""),"",IFERROR(IF($K75="%",BQ75-BP75,BQ75/BP75-1),""))</f>
        <v/>
      </c>
      <c r="BS75" s="5" t="str">
        <f aca="false">IF(OR(BP75="",BQ75=""),"",IF($F75="Maior Melhor",IF(BQ75&gt;=BP75,"Sim","Não"),IF(BQ75&lt;=BP75,"Sim","Não")))</f>
        <v/>
      </c>
      <c r="BT75" s="6"/>
      <c r="BU75" s="6"/>
      <c r="BV75" s="4" t="str">
        <f aca="false">IF(OR(BT75="",BU75=""),"",IFERROR(IF($K75="%",BU75-BT75,BU75/BT75-1),""))</f>
        <v/>
      </c>
      <c r="BW75" s="5" t="str">
        <f aca="false">IF(OR(BT75="",BU75=""),"",IF($F75="Maior Melhor",IF(BU75&gt;=BT75,"Sim","Não"),IF(BU75&lt;=BT75,"Sim","Não")))</f>
        <v/>
      </c>
      <c r="BX75" s="6"/>
      <c r="BY75" s="6"/>
      <c r="BZ75" s="4" t="str">
        <f aca="false">IF(OR(BX75="",BY75=""),"",IFERROR(IF($K75="%",BY75-BX75,BY75/BX75-1),""))</f>
        <v/>
      </c>
      <c r="CA75" s="5" t="str">
        <f aca="false">IF(OR(BX75="",BY75=""),"",IF($F75="Maior Melhor",IF(BY75&gt;=BX75,"Sim","Não"),IF(BY75&lt;=BX75,"Sim","Não")))</f>
        <v/>
      </c>
      <c r="CB75" s="6"/>
      <c r="CC75" s="6"/>
      <c r="CD75" s="4" t="str">
        <f aca="false">IF(OR(CB75="",CC75=""),"",IFERROR(IF($K75="%",CC75-CB75,CC75/CB75-1),""))</f>
        <v/>
      </c>
      <c r="CE75" s="5" t="str">
        <f aca="false">IF(OR(CB75="",CC75=""),"",IF($F75="Maior Melhor",IF(CC75&gt;=CB75,"Sim","Não"),IF(CC75&lt;=CB75,"Sim","Não")))</f>
        <v/>
      </c>
      <c r="CF75" s="6"/>
      <c r="CG75" s="6"/>
      <c r="CH75" s="4" t="str">
        <f aca="false">IF(OR(CF75="",CG75=""),"",IFERROR(IF($K75="%",CG75-CF75,CG75/CF75-1),""))</f>
        <v/>
      </c>
      <c r="CI75" s="5" t="str">
        <f aca="false">IF(OR(CF75="",CG75=""),"",IF($F75="Maior Melhor",IF(CG75&gt;=CF75,"Sim","Não"),IF(CG75&lt;=CF75,"Sim","Não")))</f>
        <v/>
      </c>
      <c r="CJ75" s="6"/>
      <c r="CK75" s="6"/>
      <c r="CL75" s="4" t="str">
        <f aca="false">IF(OR(CJ75="",CK75=""),"",IFERROR(IF($K75="%",CK75-CJ75,CK75/CJ75-1),""))</f>
        <v/>
      </c>
      <c r="CM75" s="5" t="str">
        <f aca="false">IF(OR(CJ75="",CK75=""),"",IF($F75="Maior Melhor",IF(CK75&gt;=CJ75,"Sim","Não"),IF(CK75&lt;=CJ75,"Sim","Não")))</f>
        <v/>
      </c>
      <c r="CN75" s="6"/>
      <c r="CO75" s="6"/>
      <c r="CP75" s="4" t="str">
        <f aca="false">IF(OR(CN75="",CO75=""),"",IFERROR(IF($K75="%",CO75-CN75,CO75/CN75-1),""))</f>
        <v/>
      </c>
      <c r="CQ75" s="5" t="str">
        <f aca="false">IF(OR(CN75="",CO75=""),"",IF($F75="Maior Melhor",IF(CO75&gt;=CN75,"Sim","Não"),IF(CO75&lt;=CN75,"Sim","Não")))</f>
        <v/>
      </c>
      <c r="CR75" s="2" t="s">
        <v>105</v>
      </c>
    </row>
    <row r="76" customFormat="false" ht="15" hidden="false" customHeight="false" outlineLevel="0" collapsed="false">
      <c r="A76" s="2" t="s">
        <v>151</v>
      </c>
      <c r="B76" s="2" t="s">
        <v>108</v>
      </c>
      <c r="C76" s="2" t="s">
        <v>109</v>
      </c>
      <c r="D76" s="2" t="s">
        <v>152</v>
      </c>
      <c r="E76" s="2" t="str">
        <f aca="false">C76&amp;D76</f>
        <v>Gerência SudoesteCaptação de pastas - UTD</v>
      </c>
      <c r="F76" s="2" t="s">
        <v>100</v>
      </c>
      <c r="G76" s="2" t="s">
        <v>153</v>
      </c>
      <c r="H76" s="2" t="s">
        <v>102</v>
      </c>
      <c r="I76" s="2" t="s">
        <v>103</v>
      </c>
      <c r="J76" s="2" t="n">
        <v>3</v>
      </c>
      <c r="K76" s="2" t="s">
        <v>104</v>
      </c>
      <c r="L76" s="3" t="n">
        <v>0.9</v>
      </c>
      <c r="M76" s="3" t="n">
        <v>0.25</v>
      </c>
      <c r="N76" s="4" t="n">
        <f aca="false">IF(OR(L76="",M76=""),"",IFERROR(IF($K76="%",M76-L76,M76/L76-1),""))</f>
        <v>-0.65</v>
      </c>
      <c r="O76" s="5" t="str">
        <f aca="false">IF(OR(L76="",M76=""),"",IF($F76="Maior Melhor",IF(M76&gt;=L76,"Sim","Não"),IF(M76&lt;=L76,"Sim","Não")))</f>
        <v>Não</v>
      </c>
      <c r="P76" s="3" t="n">
        <v>0.9</v>
      </c>
      <c r="Q76" s="3" t="n">
        <v>0.25</v>
      </c>
      <c r="R76" s="4" t="n">
        <f aca="false">IF(OR(P76="",Q76=""),"",IFERROR(IF($K76="%",Q76-P76,Q76/P76-1),""))</f>
        <v>-0.65</v>
      </c>
      <c r="S76" s="5" t="str">
        <f aca="false">IF(OR(P76="",Q76=""),"",IF($F76="Maior Melhor",IF(Q76&gt;=P76,"Sim","Não"),IF(Q76&lt;=P76,"Sim","Não")))</f>
        <v>Não</v>
      </c>
      <c r="T76" s="3" t="n">
        <v>0.95</v>
      </c>
      <c r="U76" s="3" t="n">
        <v>1</v>
      </c>
      <c r="V76" s="4" t="n">
        <f aca="false">IF(OR(T76="",U76=""),"",IFERROR(IF($K76="%",U76-T76,U76/T76-1),""))</f>
        <v>0.05</v>
      </c>
      <c r="W76" s="5" t="str">
        <f aca="false">IF(OR(T76="",U76=""),"",IF($F76="Maior Melhor",IF(U76&gt;=T76,"Sim","Não"),IF(U76&lt;=T76,"Sim","Não")))</f>
        <v>Sim</v>
      </c>
      <c r="X76" s="3" t="n">
        <v>0.95</v>
      </c>
      <c r="Y76" s="3" t="n">
        <v>1</v>
      </c>
      <c r="Z76" s="4" t="n">
        <f aca="false">IF(OR(X76="",Y76=""),"",IFERROR(IF($K76="%",Y76-X76,Y76/X76-1),""))</f>
        <v>0.05</v>
      </c>
      <c r="AA76" s="5" t="str">
        <f aca="false">IF(OR(X76="",Y76=""),"",IF($F76="Maior Melhor",IF(Y76&gt;=X76,"Sim","Não"),IF(Y76&lt;=X76,"Sim","Não")))</f>
        <v>Sim</v>
      </c>
      <c r="AB76" s="3" t="n">
        <v>0.95</v>
      </c>
      <c r="AC76" s="3" t="n">
        <v>1</v>
      </c>
      <c r="AD76" s="4" t="n">
        <f aca="false">IF(OR(AB76="",AC76=""),"",IFERROR(IF($K76="%",AC76-AB76,AC76/AB76-1),""))</f>
        <v>0.05</v>
      </c>
      <c r="AE76" s="5" t="str">
        <f aca="false">IF(OR(AB76="",AC76=""),"",IF($F76="Maior Melhor",IF(AC76&gt;=AB76,"Sim","Não"),IF(AC76&lt;=AB76,"Sim","Não")))</f>
        <v>Sim</v>
      </c>
      <c r="AF76" s="3" t="n">
        <v>0.95</v>
      </c>
      <c r="AG76" s="3" t="n">
        <v>1</v>
      </c>
      <c r="AH76" s="4" t="n">
        <f aca="false">IF(OR(AF76="",AG76=""),"",IFERROR(IF($K76="%",AG76-AF76,AG76/AF76-1),""))</f>
        <v>0.05</v>
      </c>
      <c r="AI76" s="5" t="str">
        <f aca="false">IF(OR(AF76="",AG76=""),"",IF($F76="Maior Melhor",IF(AG76&gt;=AF76,"Sim","Não"),IF(AG76&lt;=AF76,"Sim","Não")))</f>
        <v>Sim</v>
      </c>
      <c r="AJ76" s="3" t="n">
        <v>0.95</v>
      </c>
      <c r="AK76" s="3" t="n">
        <v>1</v>
      </c>
      <c r="AL76" s="4" t="n">
        <f aca="false">IF(OR(AJ76="",AK76=""),"",IFERROR(IF($K76="%",AK76-AJ76,AK76/AJ76-1),""))</f>
        <v>0.05</v>
      </c>
      <c r="AM76" s="5" t="str">
        <f aca="false">IF(OR(AJ76="",AK76=""),"",IF($F76="Maior Melhor",IF(AK76&gt;=AJ76,"Sim","Não"),IF(AK76&lt;=AJ76,"Sim","Não")))</f>
        <v>Sim</v>
      </c>
      <c r="AN76" s="3" t="n">
        <v>0.95</v>
      </c>
      <c r="AO76" s="3" t="n">
        <v>1</v>
      </c>
      <c r="AP76" s="4" t="n">
        <f aca="false">IF(OR(AN76="",AO76=""),"",IFERROR(IF($K76="%",AO76-AN76,AO76/AN76-1),""))</f>
        <v>0.05</v>
      </c>
      <c r="AQ76" s="5" t="str">
        <f aca="false">IF(OR(AN76="",AO76=""),"",IF($F76="Maior Melhor",IF(AO76&gt;=AN76,"Sim","Não"),IF(AO76&lt;=AN76,"Sim","Não")))</f>
        <v>Sim</v>
      </c>
      <c r="AR76" s="3" t="n">
        <v>0.95</v>
      </c>
      <c r="AS76" s="3" t="n">
        <v>1</v>
      </c>
      <c r="AT76" s="4" t="n">
        <f aca="false">IF(OR(AR76="",AS76=""),"",IFERROR(IF($K76="%",AS76-AR76,AS76/AR76-1),""))</f>
        <v>0.05</v>
      </c>
      <c r="AU76" s="5" t="str">
        <f aca="false">IF(OR(AR76="",AS76=""),"",IF($F76="Maior Melhor",IF(AS76&gt;=AR76,"Sim","Não"),IF(AS76&lt;=AR76,"Sim","Não")))</f>
        <v>Sim</v>
      </c>
      <c r="AV76" s="3" t="n">
        <v>0.95</v>
      </c>
      <c r="AW76" s="3" t="n">
        <v>1</v>
      </c>
      <c r="AX76" s="4" t="n">
        <f aca="false">IF(OR(AV76="",AW76=""),"",IFERROR(IF($K76="%",AW76-AV76,AW76/AV76-1),""))</f>
        <v>0.05</v>
      </c>
      <c r="AY76" s="5" t="str">
        <f aca="false">IF(OR(AV76="",AW76=""),"",IF($F76="Maior Melhor",IF(AW76&gt;=AV76,"Sim","Não"),IF(AW76&lt;=AV76,"Sim","Não")))</f>
        <v>Sim</v>
      </c>
      <c r="AZ76" s="3" t="n">
        <v>0.95</v>
      </c>
      <c r="BA76" s="3" t="n">
        <v>1</v>
      </c>
      <c r="BB76" s="4" t="n">
        <f aca="false">IF(OR(AZ76="",BA76=""),"",IFERROR(IF($K76="%",BA76-AZ76,BA76/AZ76-1),""))</f>
        <v>0.05</v>
      </c>
      <c r="BC76" s="5" t="str">
        <f aca="false">IF(OR(AZ76="",BA76=""),"",IF($F76="Maior Melhor",IF(BA76&gt;=AZ76,"Sim","Não"),IF(BA76&lt;=AZ76,"Sim","Não")))</f>
        <v>Sim</v>
      </c>
      <c r="BD76" s="3" t="n">
        <v>0.95</v>
      </c>
      <c r="BE76" s="3" t="n">
        <v>1</v>
      </c>
      <c r="BF76" s="4" t="n">
        <f aca="false">IF(OR(BD76="",BE76=""),"",IFERROR(IF($K76="%",BE76-BD76,BE76/BD76-1),""))</f>
        <v>0.05</v>
      </c>
      <c r="BG76" s="5" t="str">
        <f aca="false">IF(OR(BD76="",BE76=""),"",IF($F76="Maior Melhor",IF(BE76&gt;=BD76,"Sim","Não"),IF(BE76&lt;=BD76,"Sim","Não")))</f>
        <v>Sim</v>
      </c>
      <c r="BH76" s="3" t="n">
        <v>0.95</v>
      </c>
      <c r="BI76" s="3" t="n">
        <v>1</v>
      </c>
      <c r="BJ76" s="4" t="n">
        <f aca="false">IF(OR(BH76="",BI76=""),"",IFERROR(IF($K76="%",BI76-BH76,BI76/BH76-1),""))</f>
        <v>0.05</v>
      </c>
      <c r="BK76" s="5" t="str">
        <f aca="false">IF(OR(BH76="",BI76=""),"",IF($F76="Maior Melhor",IF(BI76&gt;=BH76,"Sim","Não"),IF(BI76&lt;=BH76,"Sim","Não")))</f>
        <v>Sim</v>
      </c>
      <c r="BL76" s="6"/>
      <c r="BM76" s="6"/>
      <c r="BN76" s="4" t="str">
        <f aca="false">IF(OR(BL76="",BM76=""),"",IFERROR(IF($K76="%",BM76-BL76,BM76/BL76-1),""))</f>
        <v/>
      </c>
      <c r="BO76" s="5" t="str">
        <f aca="false">IF(OR(BL76="",BM76=""),"",IF($F76="Maior Melhor",IF(BM76&gt;=BL76,"Sim","Não"),IF(BM76&lt;=BL76,"Sim","Não")))</f>
        <v/>
      </c>
      <c r="BP76" s="6"/>
      <c r="BQ76" s="6"/>
      <c r="BR76" s="4" t="str">
        <f aca="false">IF(OR(BP76="",BQ76=""),"",IFERROR(IF($K76="%",BQ76-BP76,BQ76/BP76-1),""))</f>
        <v/>
      </c>
      <c r="BS76" s="5" t="str">
        <f aca="false">IF(OR(BP76="",BQ76=""),"",IF($F76="Maior Melhor",IF(BQ76&gt;=BP76,"Sim","Não"),IF(BQ76&lt;=BP76,"Sim","Não")))</f>
        <v/>
      </c>
      <c r="BT76" s="6"/>
      <c r="BU76" s="6"/>
      <c r="BV76" s="4" t="str">
        <f aca="false">IF(OR(BT76="",BU76=""),"",IFERROR(IF($K76="%",BU76-BT76,BU76/BT76-1),""))</f>
        <v/>
      </c>
      <c r="BW76" s="5" t="str">
        <f aca="false">IF(OR(BT76="",BU76=""),"",IF($F76="Maior Melhor",IF(BU76&gt;=BT76,"Sim","Não"),IF(BU76&lt;=BT76,"Sim","Não")))</f>
        <v/>
      </c>
      <c r="BX76" s="6"/>
      <c r="BY76" s="6"/>
      <c r="BZ76" s="4" t="str">
        <f aca="false">IF(OR(BX76="",BY76=""),"",IFERROR(IF($K76="%",BY76-BX76,BY76/BX76-1),""))</f>
        <v/>
      </c>
      <c r="CA76" s="5" t="str">
        <f aca="false">IF(OR(BX76="",BY76=""),"",IF($F76="Maior Melhor",IF(BY76&gt;=BX76,"Sim","Não"),IF(BY76&lt;=BX76,"Sim","Não")))</f>
        <v/>
      </c>
      <c r="CB76" s="6"/>
      <c r="CC76" s="6"/>
      <c r="CD76" s="4" t="str">
        <f aca="false">IF(OR(CB76="",CC76=""),"",IFERROR(IF($K76="%",CC76-CB76,CC76/CB76-1),""))</f>
        <v/>
      </c>
      <c r="CE76" s="5" t="str">
        <f aca="false">IF(OR(CB76="",CC76=""),"",IF($F76="Maior Melhor",IF(CC76&gt;=CB76,"Sim","Não"),IF(CC76&lt;=CB76,"Sim","Não")))</f>
        <v/>
      </c>
      <c r="CF76" s="6"/>
      <c r="CG76" s="6"/>
      <c r="CH76" s="4" t="str">
        <f aca="false">IF(OR(CF76="",CG76=""),"",IFERROR(IF($K76="%",CG76-CF76,CG76/CF76-1),""))</f>
        <v/>
      </c>
      <c r="CI76" s="5" t="str">
        <f aca="false">IF(OR(CF76="",CG76=""),"",IF($F76="Maior Melhor",IF(CG76&gt;=CF76,"Sim","Não"),IF(CG76&lt;=CF76,"Sim","Não")))</f>
        <v/>
      </c>
      <c r="CJ76" s="6"/>
      <c r="CK76" s="6"/>
      <c r="CL76" s="4" t="str">
        <f aca="false">IF(OR(CJ76="",CK76=""),"",IFERROR(IF($K76="%",CK76-CJ76,CK76/CJ76-1),""))</f>
        <v/>
      </c>
      <c r="CM76" s="5" t="str">
        <f aca="false">IF(OR(CJ76="",CK76=""),"",IF($F76="Maior Melhor",IF(CK76&gt;=CJ76,"Sim","Não"),IF(CK76&lt;=CJ76,"Sim","Não")))</f>
        <v/>
      </c>
      <c r="CN76" s="6"/>
      <c r="CO76" s="6"/>
      <c r="CP76" s="4" t="str">
        <f aca="false">IF(OR(CN76="",CO76=""),"",IFERROR(IF($K76="%",CO76-CN76,CO76/CN76-1),""))</f>
        <v/>
      </c>
      <c r="CQ76" s="5" t="str">
        <f aca="false">IF(OR(CN76="",CO76=""),"",IF($F76="Maior Melhor",IF(CO76&gt;=CN76,"Sim","Não"),IF(CO76&lt;=CN76,"Sim","Não")))</f>
        <v/>
      </c>
      <c r="CR76" s="2" t="s">
        <v>105</v>
      </c>
    </row>
    <row r="77" customFormat="false" ht="15" hidden="false" customHeight="false" outlineLevel="0" collapsed="false">
      <c r="A77" s="2" t="s">
        <v>151</v>
      </c>
      <c r="B77" s="2" t="s">
        <v>110</v>
      </c>
      <c r="C77" s="2" t="s">
        <v>110</v>
      </c>
      <c r="D77" s="2" t="s">
        <v>152</v>
      </c>
      <c r="E77" s="2" t="str">
        <f aca="false">C77&amp;D77</f>
        <v>Sup OesteCaptação de pastas - UTD</v>
      </c>
      <c r="F77" s="2" t="s">
        <v>100</v>
      </c>
      <c r="G77" s="2" t="s">
        <v>153</v>
      </c>
      <c r="H77" s="2" t="s">
        <v>102</v>
      </c>
      <c r="I77" s="2" t="s">
        <v>103</v>
      </c>
      <c r="J77" s="2" t="n">
        <v>3</v>
      </c>
      <c r="K77" s="2" t="s">
        <v>104</v>
      </c>
      <c r="L77" s="3" t="n">
        <v>0.9</v>
      </c>
      <c r="M77" s="3" t="n">
        <v>0.14</v>
      </c>
      <c r="N77" s="4" t="n">
        <f aca="false">IF(OR(L77="",M77=""),"",IFERROR(IF($K77="%",M77-L77,M77/L77-1),""))</f>
        <v>-0.76</v>
      </c>
      <c r="O77" s="5" t="str">
        <f aca="false">IF(OR(L77="",M77=""),"",IF($F77="Maior Melhor",IF(M77&gt;=L77,"Sim","Não"),IF(M77&lt;=L77,"Sim","Não")))</f>
        <v>Não</v>
      </c>
      <c r="P77" s="3" t="n">
        <v>0.9</v>
      </c>
      <c r="Q77" s="3" t="n">
        <v>0.14</v>
      </c>
      <c r="R77" s="4" t="n">
        <f aca="false">IF(OR(P77="",Q77=""),"",IFERROR(IF($K77="%",Q77-P77,Q77/P77-1),""))</f>
        <v>-0.76</v>
      </c>
      <c r="S77" s="5" t="str">
        <f aca="false">IF(OR(P77="",Q77=""),"",IF($F77="Maior Melhor",IF(Q77&gt;=P77,"Sim","Não"),IF(Q77&lt;=P77,"Sim","Não")))</f>
        <v>Não</v>
      </c>
      <c r="T77" s="3" t="n">
        <v>0.95</v>
      </c>
      <c r="U77" s="3" t="n">
        <v>0.99</v>
      </c>
      <c r="V77" s="4" t="n">
        <f aca="false">IF(OR(T77="",U77=""),"",IFERROR(IF($K77="%",U77-T77,U77/T77-1),""))</f>
        <v>0.04</v>
      </c>
      <c r="W77" s="5" t="str">
        <f aca="false">IF(OR(T77="",U77=""),"",IF($F77="Maior Melhor",IF(U77&gt;=T77,"Sim","Não"),IF(U77&lt;=T77,"Sim","Não")))</f>
        <v>Sim</v>
      </c>
      <c r="X77" s="3" t="n">
        <v>0.95</v>
      </c>
      <c r="Y77" s="3" t="n">
        <v>1</v>
      </c>
      <c r="Z77" s="4" t="n">
        <f aca="false">IF(OR(X77="",Y77=""),"",IFERROR(IF($K77="%",Y77-X77,Y77/X77-1),""))</f>
        <v>0.05</v>
      </c>
      <c r="AA77" s="5" t="str">
        <f aca="false">IF(OR(X77="",Y77=""),"",IF($F77="Maior Melhor",IF(Y77&gt;=X77,"Sim","Não"),IF(Y77&lt;=X77,"Sim","Não")))</f>
        <v>Sim</v>
      </c>
      <c r="AB77" s="3" t="n">
        <v>0.95</v>
      </c>
      <c r="AC77" s="3" t="n">
        <v>1</v>
      </c>
      <c r="AD77" s="4" t="n">
        <f aca="false">IF(OR(AB77="",AC77=""),"",IFERROR(IF($K77="%",AC77-AB77,AC77/AB77-1),""))</f>
        <v>0.05</v>
      </c>
      <c r="AE77" s="5" t="str">
        <f aca="false">IF(OR(AB77="",AC77=""),"",IF($F77="Maior Melhor",IF(AC77&gt;=AB77,"Sim","Não"),IF(AC77&lt;=AB77,"Sim","Não")))</f>
        <v>Sim</v>
      </c>
      <c r="AF77" s="3" t="n">
        <v>0.95</v>
      </c>
      <c r="AG77" s="3" t="n">
        <v>1</v>
      </c>
      <c r="AH77" s="4" t="n">
        <f aca="false">IF(OR(AF77="",AG77=""),"",IFERROR(IF($K77="%",AG77-AF77,AG77/AF77-1),""))</f>
        <v>0.05</v>
      </c>
      <c r="AI77" s="5" t="str">
        <f aca="false">IF(OR(AF77="",AG77=""),"",IF($F77="Maior Melhor",IF(AG77&gt;=AF77,"Sim","Não"),IF(AG77&lt;=AF77,"Sim","Não")))</f>
        <v>Sim</v>
      </c>
      <c r="AJ77" s="3" t="n">
        <v>0.95</v>
      </c>
      <c r="AK77" s="3" t="n">
        <v>1</v>
      </c>
      <c r="AL77" s="4" t="n">
        <f aca="false">IF(OR(AJ77="",AK77=""),"",IFERROR(IF($K77="%",AK77-AJ77,AK77/AJ77-1),""))</f>
        <v>0.05</v>
      </c>
      <c r="AM77" s="5" t="str">
        <f aca="false">IF(OR(AJ77="",AK77=""),"",IF($F77="Maior Melhor",IF(AK77&gt;=AJ77,"Sim","Não"),IF(AK77&lt;=AJ77,"Sim","Não")))</f>
        <v>Sim</v>
      </c>
      <c r="AN77" s="3" t="n">
        <v>0.95</v>
      </c>
      <c r="AO77" s="3" t="n">
        <v>0.958333333</v>
      </c>
      <c r="AP77" s="4" t="n">
        <f aca="false">IF(OR(AN77="",AO77=""),"",IFERROR(IF($K77="%",AO77-AN77,AO77/AN77-1),""))</f>
        <v>0.00833333300000005</v>
      </c>
      <c r="AQ77" s="5" t="str">
        <f aca="false">IF(OR(AN77="",AO77=""),"",IF($F77="Maior Melhor",IF(AO77&gt;=AN77,"Sim","Não"),IF(AO77&lt;=AN77,"Sim","Não")))</f>
        <v>Sim</v>
      </c>
      <c r="AR77" s="3" t="n">
        <v>0.95</v>
      </c>
      <c r="AS77" s="3" t="n">
        <v>0.985815603</v>
      </c>
      <c r="AT77" s="4" t="n">
        <f aca="false">IF(OR(AR77="",AS77=""),"",IFERROR(IF($K77="%",AS77-AR77,AS77/AR77-1),""))</f>
        <v>0.0358156030000001</v>
      </c>
      <c r="AU77" s="5" t="str">
        <f aca="false">IF(OR(AR77="",AS77=""),"",IF($F77="Maior Melhor",IF(AS77&gt;=AR77,"Sim","Não"),IF(AS77&lt;=AR77,"Sim","Não")))</f>
        <v>Sim</v>
      </c>
      <c r="AV77" s="3" t="n">
        <v>0.95</v>
      </c>
      <c r="AW77" s="3" t="n">
        <v>1</v>
      </c>
      <c r="AX77" s="4" t="n">
        <f aca="false">IF(OR(AV77="",AW77=""),"",IFERROR(IF($K77="%",AW77-AV77,AW77/AV77-1),""))</f>
        <v>0.05</v>
      </c>
      <c r="AY77" s="5" t="str">
        <f aca="false">IF(OR(AV77="",AW77=""),"",IF($F77="Maior Melhor",IF(AW77&gt;=AV77,"Sim","Não"),IF(AW77&lt;=AV77,"Sim","Não")))</f>
        <v>Sim</v>
      </c>
      <c r="AZ77" s="3" t="n">
        <v>0.95</v>
      </c>
      <c r="BA77" s="3" t="n">
        <v>0.99</v>
      </c>
      <c r="BB77" s="4" t="n">
        <f aca="false">IF(OR(AZ77="",BA77=""),"",IFERROR(IF($K77="%",BA77-AZ77,BA77/AZ77-1),""))</f>
        <v>0.04</v>
      </c>
      <c r="BC77" s="5" t="str">
        <f aca="false">IF(OR(AZ77="",BA77=""),"",IF($F77="Maior Melhor",IF(BA77&gt;=AZ77,"Sim","Não"),IF(BA77&lt;=AZ77,"Sim","Não")))</f>
        <v>Sim</v>
      </c>
      <c r="BD77" s="3" t="n">
        <v>0.95</v>
      </c>
      <c r="BE77" s="3" t="n">
        <v>1</v>
      </c>
      <c r="BF77" s="4" t="n">
        <f aca="false">IF(OR(BD77="",BE77=""),"",IFERROR(IF($K77="%",BE77-BD77,BE77/BD77-1),""))</f>
        <v>0.05</v>
      </c>
      <c r="BG77" s="5" t="str">
        <f aca="false">IF(OR(BD77="",BE77=""),"",IF($F77="Maior Melhor",IF(BE77&gt;=BD77,"Sim","Não"),IF(BE77&lt;=BD77,"Sim","Não")))</f>
        <v>Sim</v>
      </c>
      <c r="BH77" s="3" t="n">
        <v>0.95</v>
      </c>
      <c r="BI77" s="3" t="n">
        <v>1</v>
      </c>
      <c r="BJ77" s="4" t="n">
        <f aca="false">IF(OR(BH77="",BI77=""),"",IFERROR(IF($K77="%",BI77-BH77,BI77/BH77-1),""))</f>
        <v>0.05</v>
      </c>
      <c r="BK77" s="5" t="str">
        <f aca="false">IF(OR(BH77="",BI77=""),"",IF($F77="Maior Melhor",IF(BI77&gt;=BH77,"Sim","Não"),IF(BI77&lt;=BH77,"Sim","Não")))</f>
        <v>Sim</v>
      </c>
      <c r="BL77" s="6"/>
      <c r="BM77" s="6"/>
      <c r="BN77" s="4" t="str">
        <f aca="false">IF(OR(BL77="",BM77=""),"",IFERROR(IF($K77="%",BM77-BL77,BM77/BL77-1),""))</f>
        <v/>
      </c>
      <c r="BO77" s="5" t="str">
        <f aca="false">IF(OR(BL77="",BM77=""),"",IF($F77="Maior Melhor",IF(BM77&gt;=BL77,"Sim","Não"),IF(BM77&lt;=BL77,"Sim","Não")))</f>
        <v/>
      </c>
      <c r="BP77" s="6"/>
      <c r="BQ77" s="6"/>
      <c r="BR77" s="4" t="str">
        <f aca="false">IF(OR(BP77="",BQ77=""),"",IFERROR(IF($K77="%",BQ77-BP77,BQ77/BP77-1),""))</f>
        <v/>
      </c>
      <c r="BS77" s="5" t="str">
        <f aca="false">IF(OR(BP77="",BQ77=""),"",IF($F77="Maior Melhor",IF(BQ77&gt;=BP77,"Sim","Não"),IF(BQ77&lt;=BP77,"Sim","Não")))</f>
        <v/>
      </c>
      <c r="BT77" s="6"/>
      <c r="BU77" s="6"/>
      <c r="BV77" s="4" t="str">
        <f aca="false">IF(OR(BT77="",BU77=""),"",IFERROR(IF($K77="%",BU77-BT77,BU77/BT77-1),""))</f>
        <v/>
      </c>
      <c r="BW77" s="5" t="str">
        <f aca="false">IF(OR(BT77="",BU77=""),"",IF($F77="Maior Melhor",IF(BU77&gt;=BT77,"Sim","Não"),IF(BU77&lt;=BT77,"Sim","Não")))</f>
        <v/>
      </c>
      <c r="BX77" s="6"/>
      <c r="BY77" s="6"/>
      <c r="BZ77" s="4" t="str">
        <f aca="false">IF(OR(BX77="",BY77=""),"",IFERROR(IF($K77="%",BY77-BX77,BY77/BX77-1),""))</f>
        <v/>
      </c>
      <c r="CA77" s="5" t="str">
        <f aca="false">IF(OR(BX77="",BY77=""),"",IF($F77="Maior Melhor",IF(BY77&gt;=BX77,"Sim","Não"),IF(BY77&lt;=BX77,"Sim","Não")))</f>
        <v/>
      </c>
      <c r="CB77" s="6"/>
      <c r="CC77" s="6"/>
      <c r="CD77" s="4" t="str">
        <f aca="false">IF(OR(CB77="",CC77=""),"",IFERROR(IF($K77="%",CC77-CB77,CC77/CB77-1),""))</f>
        <v/>
      </c>
      <c r="CE77" s="5" t="str">
        <f aca="false">IF(OR(CB77="",CC77=""),"",IF($F77="Maior Melhor",IF(CC77&gt;=CB77,"Sim","Não"),IF(CC77&lt;=CB77,"Sim","Não")))</f>
        <v/>
      </c>
      <c r="CF77" s="6"/>
      <c r="CG77" s="6"/>
      <c r="CH77" s="4" t="str">
        <f aca="false">IF(OR(CF77="",CG77=""),"",IFERROR(IF($K77="%",CG77-CF77,CG77/CF77-1),""))</f>
        <v/>
      </c>
      <c r="CI77" s="5" t="str">
        <f aca="false">IF(OR(CF77="",CG77=""),"",IF($F77="Maior Melhor",IF(CG77&gt;=CF77,"Sim","Não"),IF(CG77&lt;=CF77,"Sim","Não")))</f>
        <v/>
      </c>
      <c r="CJ77" s="6"/>
      <c r="CK77" s="6"/>
      <c r="CL77" s="4" t="str">
        <f aca="false">IF(OR(CJ77="",CK77=""),"",IFERROR(IF($K77="%",CK77-CJ77,CK77/CJ77-1),""))</f>
        <v/>
      </c>
      <c r="CM77" s="5" t="str">
        <f aca="false">IF(OR(CJ77="",CK77=""),"",IF($F77="Maior Melhor",IF(CK77&gt;=CJ77,"Sim","Não"),IF(CK77&lt;=CJ77,"Sim","Não")))</f>
        <v/>
      </c>
      <c r="CN77" s="6"/>
      <c r="CO77" s="6"/>
      <c r="CP77" s="4" t="str">
        <f aca="false">IF(OR(CN77="",CO77=""),"",IFERROR(IF($K77="%",CO77-CN77,CO77/CN77-1),""))</f>
        <v/>
      </c>
      <c r="CQ77" s="5" t="str">
        <f aca="false">IF(OR(CN77="",CO77=""),"",IF($F77="Maior Melhor",IF(CO77&gt;=CN77,"Sim","Não"),IF(CO77&lt;=CN77,"Sim","Não")))</f>
        <v/>
      </c>
      <c r="CR77" s="2" t="s">
        <v>105</v>
      </c>
    </row>
    <row r="78" customFormat="false" ht="15" hidden="false" customHeight="false" outlineLevel="0" collapsed="false">
      <c r="A78" s="2" t="s">
        <v>151</v>
      </c>
      <c r="B78" s="2" t="s">
        <v>106</v>
      </c>
      <c r="C78" s="2" t="s">
        <v>111</v>
      </c>
      <c r="D78" s="2" t="s">
        <v>152</v>
      </c>
      <c r="E78" s="2" t="str">
        <f aca="false">C78&amp;D78</f>
        <v>UTD BARREIRASCaptação de pastas - UTD</v>
      </c>
      <c r="F78" s="2" t="s">
        <v>100</v>
      </c>
      <c r="G78" s="2" t="s">
        <v>153</v>
      </c>
      <c r="H78" s="2" t="s">
        <v>102</v>
      </c>
      <c r="I78" s="2" t="s">
        <v>103</v>
      </c>
      <c r="J78" s="2" t="n">
        <v>3</v>
      </c>
      <c r="K78" s="2" t="s">
        <v>104</v>
      </c>
      <c r="L78" s="3" t="n">
        <v>0.9</v>
      </c>
      <c r="M78" s="3" t="n">
        <v>0</v>
      </c>
      <c r="N78" s="4" t="n">
        <f aca="false">IF(OR(L78="",M78=""),"",IFERROR(IF($K78="%",M78-L78,M78/L78-1),""))</f>
        <v>-0.9</v>
      </c>
      <c r="O78" s="5" t="str">
        <f aca="false">IF(OR(L78="",M78=""),"",IF($F78="Maior Melhor",IF(M78&gt;=L78,"Sim","Não"),IF(M78&lt;=L78,"Sim","Não")))</f>
        <v>Não</v>
      </c>
      <c r="P78" s="3" t="n">
        <v>0.9</v>
      </c>
      <c r="Q78" s="3" t="n">
        <v>0.4444</v>
      </c>
      <c r="R78" s="4" t="n">
        <f aca="false">IF(OR(P78="",Q78=""),"",IFERROR(IF($K78="%",Q78-P78,Q78/P78-1),""))</f>
        <v>-0.4556</v>
      </c>
      <c r="S78" s="5" t="str">
        <f aca="false">IF(OR(P78="",Q78=""),"",IF($F78="Maior Melhor",IF(Q78&gt;=P78,"Sim","Não"),IF(Q78&lt;=P78,"Sim","Não")))</f>
        <v>Não</v>
      </c>
      <c r="T78" s="3" t="n">
        <v>0.95</v>
      </c>
      <c r="U78" s="3" t="n">
        <v>0.88</v>
      </c>
      <c r="V78" s="4" t="n">
        <f aca="false">IF(OR(T78="",U78=""),"",IFERROR(IF($K78="%",U78-T78,U78/T78-1),""))</f>
        <v>-0.07</v>
      </c>
      <c r="W78" s="5" t="str">
        <f aca="false">IF(OR(T78="",U78=""),"",IF($F78="Maior Melhor",IF(U78&gt;=T78,"Sim","Não"),IF(U78&lt;=T78,"Sim","Não")))</f>
        <v>Não</v>
      </c>
      <c r="X78" s="3" t="n">
        <v>0.95</v>
      </c>
      <c r="Y78" s="3" t="n">
        <v>1</v>
      </c>
      <c r="Z78" s="4" t="n">
        <f aca="false">IF(OR(X78="",Y78=""),"",IFERROR(IF($K78="%",Y78-X78,Y78/X78-1),""))</f>
        <v>0.05</v>
      </c>
      <c r="AA78" s="5" t="str">
        <f aca="false">IF(OR(X78="",Y78=""),"",IF($F78="Maior Melhor",IF(Y78&gt;=X78,"Sim","Não"),IF(Y78&lt;=X78,"Sim","Não")))</f>
        <v>Sim</v>
      </c>
      <c r="AB78" s="3" t="n">
        <v>0.95</v>
      </c>
      <c r="AC78" s="3" t="n">
        <v>0.9</v>
      </c>
      <c r="AD78" s="4" t="n">
        <f aca="false">IF(OR(AB78="",AC78=""),"",IFERROR(IF($K78="%",AC78-AB78,AC78/AB78-1),""))</f>
        <v>-0.0499999999999999</v>
      </c>
      <c r="AE78" s="5" t="str">
        <f aca="false">IF(OR(AB78="",AC78=""),"",IF($F78="Maior Melhor",IF(AC78&gt;=AB78,"Sim","Não"),IF(AC78&lt;=AB78,"Sim","Não")))</f>
        <v>Não</v>
      </c>
      <c r="AF78" s="3" t="n">
        <v>0.95</v>
      </c>
      <c r="AG78" s="3" t="n">
        <v>1</v>
      </c>
      <c r="AH78" s="4" t="n">
        <f aca="false">IF(OR(AF78="",AG78=""),"",IFERROR(IF($K78="%",AG78-AF78,AG78/AF78-1),""))</f>
        <v>0.05</v>
      </c>
      <c r="AI78" s="5" t="str">
        <f aca="false">IF(OR(AF78="",AG78=""),"",IF($F78="Maior Melhor",IF(AG78&gt;=AF78,"Sim","Não"),IF(AG78&lt;=AF78,"Sim","Não")))</f>
        <v>Sim</v>
      </c>
      <c r="AJ78" s="3" t="n">
        <v>0.95</v>
      </c>
      <c r="AK78" s="3" t="n">
        <v>1</v>
      </c>
      <c r="AL78" s="4" t="n">
        <f aca="false">IF(OR(AJ78="",AK78=""),"",IFERROR(IF($K78="%",AK78-AJ78,AK78/AJ78-1),""))</f>
        <v>0.05</v>
      </c>
      <c r="AM78" s="5" t="str">
        <f aca="false">IF(OR(AJ78="",AK78=""),"",IF($F78="Maior Melhor",IF(AK78&gt;=AJ78,"Sim","Não"),IF(AK78&lt;=AJ78,"Sim","Não")))</f>
        <v>Sim</v>
      </c>
      <c r="AN78" s="3" t="n">
        <v>0.95</v>
      </c>
      <c r="AO78" s="3" t="n">
        <v>1</v>
      </c>
      <c r="AP78" s="4" t="n">
        <f aca="false">IF(OR(AN78="",AO78=""),"",IFERROR(IF($K78="%",AO78-AN78,AO78/AN78-1),""))</f>
        <v>0.05</v>
      </c>
      <c r="AQ78" s="5" t="str">
        <f aca="false">IF(OR(AN78="",AO78=""),"",IF($F78="Maior Melhor",IF(AO78&gt;=AN78,"Sim","Não"),IF(AO78&lt;=AN78,"Sim","Não")))</f>
        <v>Sim</v>
      </c>
      <c r="AR78" s="3" t="n">
        <v>0.95</v>
      </c>
      <c r="AS78" s="3" t="n">
        <v>0.952380952</v>
      </c>
      <c r="AT78" s="4" t="n">
        <f aca="false">IF(OR(AR78="",AS78=""),"",IFERROR(IF($K78="%",AS78-AR78,AS78/AR78-1),""))</f>
        <v>0.00238095199999999</v>
      </c>
      <c r="AU78" s="5" t="str">
        <f aca="false">IF(OR(AR78="",AS78=""),"",IF($F78="Maior Melhor",IF(AS78&gt;=AR78,"Sim","Não"),IF(AS78&lt;=AR78,"Sim","Não")))</f>
        <v>Sim</v>
      </c>
      <c r="AV78" s="3" t="n">
        <v>0.95</v>
      </c>
      <c r="AW78" s="3" t="n">
        <v>1</v>
      </c>
      <c r="AX78" s="4" t="n">
        <f aca="false">IF(OR(AV78="",AW78=""),"",IFERROR(IF($K78="%",AW78-AV78,AW78/AV78-1),""))</f>
        <v>0.05</v>
      </c>
      <c r="AY78" s="5" t="str">
        <f aca="false">IF(OR(AV78="",AW78=""),"",IF($F78="Maior Melhor",IF(AW78&gt;=AV78,"Sim","Não"),IF(AW78&lt;=AV78,"Sim","Não")))</f>
        <v>Sim</v>
      </c>
      <c r="AZ78" s="3" t="n">
        <v>0.95</v>
      </c>
      <c r="BA78" s="3" t="n">
        <v>0.952380952</v>
      </c>
      <c r="BB78" s="4" t="n">
        <f aca="false">IF(OR(AZ78="",BA78=""),"",IFERROR(IF($K78="%",BA78-AZ78,BA78/AZ78-1),""))</f>
        <v>0.00238095199999999</v>
      </c>
      <c r="BC78" s="5" t="str">
        <f aca="false">IF(OR(AZ78="",BA78=""),"",IF($F78="Maior Melhor",IF(BA78&gt;=AZ78,"Sim","Não"),IF(BA78&lt;=AZ78,"Sim","Não")))</f>
        <v>Sim</v>
      </c>
      <c r="BD78" s="3" t="n">
        <v>0.95</v>
      </c>
      <c r="BE78" s="3" t="n">
        <v>1</v>
      </c>
      <c r="BF78" s="4" t="n">
        <f aca="false">IF(OR(BD78="",BE78=""),"",IFERROR(IF($K78="%",BE78-BD78,BE78/BD78-1),""))</f>
        <v>0.05</v>
      </c>
      <c r="BG78" s="5" t="str">
        <f aca="false">IF(OR(BD78="",BE78=""),"",IF($F78="Maior Melhor",IF(BE78&gt;=BD78,"Sim","Não"),IF(BE78&lt;=BD78,"Sim","Não")))</f>
        <v>Sim</v>
      </c>
      <c r="BH78" s="3" t="n">
        <v>0.95</v>
      </c>
      <c r="BI78" s="3" t="n">
        <v>0.962962963</v>
      </c>
      <c r="BJ78" s="4" t="n">
        <f aca="false">IF(OR(BH78="",BI78=""),"",IFERROR(IF($K78="%",BI78-BH78,BI78/BH78-1),""))</f>
        <v>0.012962963</v>
      </c>
      <c r="BK78" s="5" t="str">
        <f aca="false">IF(OR(BH78="",BI78=""),"",IF($F78="Maior Melhor",IF(BI78&gt;=BH78,"Sim","Não"),IF(BI78&lt;=BH78,"Sim","Não")))</f>
        <v>Sim</v>
      </c>
      <c r="BL78" s="6"/>
      <c r="BM78" s="6"/>
      <c r="BN78" s="4" t="str">
        <f aca="false">IF(OR(BL78="",BM78=""),"",IFERROR(IF($K78="%",BM78-BL78,BM78/BL78-1),""))</f>
        <v/>
      </c>
      <c r="BO78" s="5" t="str">
        <f aca="false">IF(OR(BL78="",BM78=""),"",IF($F78="Maior Melhor",IF(BM78&gt;=BL78,"Sim","Não"),IF(BM78&lt;=BL78,"Sim","Não")))</f>
        <v/>
      </c>
      <c r="BP78" s="6"/>
      <c r="BQ78" s="6"/>
      <c r="BR78" s="4" t="str">
        <f aca="false">IF(OR(BP78="",BQ78=""),"",IFERROR(IF($K78="%",BQ78-BP78,BQ78/BP78-1),""))</f>
        <v/>
      </c>
      <c r="BS78" s="5" t="str">
        <f aca="false">IF(OR(BP78="",BQ78=""),"",IF($F78="Maior Melhor",IF(BQ78&gt;=BP78,"Sim","Não"),IF(BQ78&lt;=BP78,"Sim","Não")))</f>
        <v/>
      </c>
      <c r="BT78" s="6"/>
      <c r="BU78" s="6"/>
      <c r="BV78" s="4" t="str">
        <f aca="false">IF(OR(BT78="",BU78=""),"",IFERROR(IF($K78="%",BU78-BT78,BU78/BT78-1),""))</f>
        <v/>
      </c>
      <c r="BW78" s="5" t="str">
        <f aca="false">IF(OR(BT78="",BU78=""),"",IF($F78="Maior Melhor",IF(BU78&gt;=BT78,"Sim","Não"),IF(BU78&lt;=BT78,"Sim","Não")))</f>
        <v/>
      </c>
      <c r="BX78" s="6"/>
      <c r="BY78" s="6"/>
      <c r="BZ78" s="4" t="str">
        <f aca="false">IF(OR(BX78="",BY78=""),"",IFERROR(IF($K78="%",BY78-BX78,BY78/BX78-1),""))</f>
        <v/>
      </c>
      <c r="CA78" s="5" t="str">
        <f aca="false">IF(OR(BX78="",BY78=""),"",IF($F78="Maior Melhor",IF(BY78&gt;=BX78,"Sim","Não"),IF(BY78&lt;=BX78,"Sim","Não")))</f>
        <v/>
      </c>
      <c r="CB78" s="6"/>
      <c r="CC78" s="6"/>
      <c r="CD78" s="4" t="str">
        <f aca="false">IF(OR(CB78="",CC78=""),"",IFERROR(IF($K78="%",CC78-CB78,CC78/CB78-1),""))</f>
        <v/>
      </c>
      <c r="CE78" s="5" t="str">
        <f aca="false">IF(OR(CB78="",CC78=""),"",IF($F78="Maior Melhor",IF(CC78&gt;=CB78,"Sim","Não"),IF(CC78&lt;=CB78,"Sim","Não")))</f>
        <v/>
      </c>
      <c r="CF78" s="6"/>
      <c r="CG78" s="6"/>
      <c r="CH78" s="4" t="str">
        <f aca="false">IF(OR(CF78="",CG78=""),"",IFERROR(IF($K78="%",CG78-CF78,CG78/CF78-1),""))</f>
        <v/>
      </c>
      <c r="CI78" s="5" t="str">
        <f aca="false">IF(OR(CF78="",CG78=""),"",IF($F78="Maior Melhor",IF(CG78&gt;=CF78,"Sim","Não"),IF(CG78&lt;=CF78,"Sim","Não")))</f>
        <v/>
      </c>
      <c r="CJ78" s="6"/>
      <c r="CK78" s="6"/>
      <c r="CL78" s="4" t="str">
        <f aca="false">IF(OR(CJ78="",CK78=""),"",IFERROR(IF($K78="%",CK78-CJ78,CK78/CJ78-1),""))</f>
        <v/>
      </c>
      <c r="CM78" s="5" t="str">
        <f aca="false">IF(OR(CJ78="",CK78=""),"",IF($F78="Maior Melhor",IF(CK78&gt;=CJ78,"Sim","Não"),IF(CK78&lt;=CJ78,"Sim","Não")))</f>
        <v/>
      </c>
      <c r="CN78" s="6"/>
      <c r="CO78" s="6"/>
      <c r="CP78" s="4" t="str">
        <f aca="false">IF(OR(CN78="",CO78=""),"",IFERROR(IF($K78="%",CO78-CN78,CO78/CN78-1),""))</f>
        <v/>
      </c>
      <c r="CQ78" s="5" t="str">
        <f aca="false">IF(OR(CN78="",CO78=""),"",IF($F78="Maior Melhor",IF(CO78&gt;=CN78,"Sim","Não"),IF(CO78&lt;=CN78,"Sim","Não")))</f>
        <v/>
      </c>
      <c r="CR78" s="2" t="s">
        <v>138</v>
      </c>
    </row>
    <row r="79" customFormat="false" ht="15" hidden="false" customHeight="false" outlineLevel="0" collapsed="false">
      <c r="A79" s="2" t="s">
        <v>151</v>
      </c>
      <c r="B79" s="2" t="s">
        <v>106</v>
      </c>
      <c r="C79" s="2" t="s">
        <v>113</v>
      </c>
      <c r="D79" s="2" t="s">
        <v>152</v>
      </c>
      <c r="E79" s="2" t="str">
        <f aca="false">C79&amp;D79</f>
        <v>UTD BOM JESUS DA LAPACaptação de pastas - UTD</v>
      </c>
      <c r="F79" s="2" t="s">
        <v>100</v>
      </c>
      <c r="G79" s="2" t="s">
        <v>153</v>
      </c>
      <c r="H79" s="2" t="s">
        <v>102</v>
      </c>
      <c r="I79" s="2" t="s">
        <v>103</v>
      </c>
      <c r="J79" s="2" t="n">
        <v>3</v>
      </c>
      <c r="K79" s="2" t="s">
        <v>104</v>
      </c>
      <c r="L79" s="3" t="n">
        <v>0.9</v>
      </c>
      <c r="M79" s="3" t="n">
        <v>0</v>
      </c>
      <c r="N79" s="4" t="n">
        <f aca="false">IF(OR(L79="",M79=""),"",IFERROR(IF($K79="%",M79-L79,M79/L79-1),""))</f>
        <v>-0.9</v>
      </c>
      <c r="O79" s="5" t="str">
        <f aca="false">IF(OR(L79="",M79=""),"",IF($F79="Maior Melhor",IF(M79&gt;=L79,"Sim","Não"),IF(M79&lt;=L79,"Sim","Não")))</f>
        <v>Não</v>
      </c>
      <c r="P79" s="3" t="n">
        <v>0.9</v>
      </c>
      <c r="Q79" s="3" t="n">
        <v>0.5</v>
      </c>
      <c r="R79" s="4" t="n">
        <f aca="false">IF(OR(P79="",Q79=""),"",IFERROR(IF($K79="%",Q79-P79,Q79/P79-1),""))</f>
        <v>-0.4</v>
      </c>
      <c r="S79" s="5" t="str">
        <f aca="false">IF(OR(P79="",Q79=""),"",IF($F79="Maior Melhor",IF(Q79&gt;=P79,"Sim","Não"),IF(Q79&lt;=P79,"Sim","Não")))</f>
        <v>Não</v>
      </c>
      <c r="T79" s="3" t="n">
        <v>0.95</v>
      </c>
      <c r="U79" s="3" t="n">
        <v>1</v>
      </c>
      <c r="V79" s="4" t="n">
        <f aca="false">IF(OR(T79="",U79=""),"",IFERROR(IF($K79="%",U79-T79,U79/T79-1),""))</f>
        <v>0.05</v>
      </c>
      <c r="W79" s="5" t="str">
        <f aca="false">IF(OR(T79="",U79=""),"",IF($F79="Maior Melhor",IF(U79&gt;=T79,"Sim","Não"),IF(U79&lt;=T79,"Sim","Não")))</f>
        <v>Sim</v>
      </c>
      <c r="X79" s="3" t="n">
        <v>0.95</v>
      </c>
      <c r="Y79" s="3" t="n">
        <v>1</v>
      </c>
      <c r="Z79" s="4" t="n">
        <f aca="false">IF(OR(X79="",Y79=""),"",IFERROR(IF($K79="%",Y79-X79,Y79/X79-1),""))</f>
        <v>0.05</v>
      </c>
      <c r="AA79" s="5" t="str">
        <f aca="false">IF(OR(X79="",Y79=""),"",IF($F79="Maior Melhor",IF(Y79&gt;=X79,"Sim","Não"),IF(Y79&lt;=X79,"Sim","Não")))</f>
        <v>Sim</v>
      </c>
      <c r="AB79" s="3" t="n">
        <v>0.95</v>
      </c>
      <c r="AC79" s="3" t="n">
        <v>1</v>
      </c>
      <c r="AD79" s="4" t="n">
        <f aca="false">IF(OR(AB79="",AC79=""),"",IFERROR(IF($K79="%",AC79-AB79,AC79/AB79-1),""))</f>
        <v>0.05</v>
      </c>
      <c r="AE79" s="5" t="str">
        <f aca="false">IF(OR(AB79="",AC79=""),"",IF($F79="Maior Melhor",IF(AC79&gt;=AB79,"Sim","Não"),IF(AC79&lt;=AB79,"Sim","Não")))</f>
        <v>Sim</v>
      </c>
      <c r="AF79" s="3" t="n">
        <v>0.95</v>
      </c>
      <c r="AG79" s="3" t="n">
        <v>1</v>
      </c>
      <c r="AH79" s="4" t="n">
        <f aca="false">IF(OR(AF79="",AG79=""),"",IFERROR(IF($K79="%",AG79-AF79,AG79/AF79-1),""))</f>
        <v>0.05</v>
      </c>
      <c r="AI79" s="5" t="str">
        <f aca="false">IF(OR(AF79="",AG79=""),"",IF($F79="Maior Melhor",IF(AG79&gt;=AF79,"Sim","Não"),IF(AG79&lt;=AF79,"Sim","Não")))</f>
        <v>Sim</v>
      </c>
      <c r="AJ79" s="3" t="n">
        <v>0.95</v>
      </c>
      <c r="AK79" s="3" t="n">
        <v>1</v>
      </c>
      <c r="AL79" s="4" t="n">
        <f aca="false">IF(OR(AJ79="",AK79=""),"",IFERROR(IF($K79="%",AK79-AJ79,AK79/AJ79-1),""))</f>
        <v>0.05</v>
      </c>
      <c r="AM79" s="5" t="str">
        <f aca="false">IF(OR(AJ79="",AK79=""),"",IF($F79="Maior Melhor",IF(AK79&gt;=AJ79,"Sim","Não"),IF(AK79&lt;=AJ79,"Sim","Não")))</f>
        <v>Sim</v>
      </c>
      <c r="AN79" s="3" t="n">
        <v>0.95</v>
      </c>
      <c r="AO79" s="3" t="n">
        <v>1</v>
      </c>
      <c r="AP79" s="4" t="n">
        <f aca="false">IF(OR(AN79="",AO79=""),"",IFERROR(IF($K79="%",AO79-AN79,AO79/AN79-1),""))</f>
        <v>0.05</v>
      </c>
      <c r="AQ79" s="5" t="str">
        <f aca="false">IF(OR(AN79="",AO79=""),"",IF($F79="Maior Melhor",IF(AO79&gt;=AN79,"Sim","Não"),IF(AO79&lt;=AN79,"Sim","Não")))</f>
        <v>Sim</v>
      </c>
      <c r="AR79" s="3" t="n">
        <v>0.95</v>
      </c>
      <c r="AS79" s="3" t="n">
        <v>1</v>
      </c>
      <c r="AT79" s="4" t="n">
        <f aca="false">IF(OR(AR79="",AS79=""),"",IFERROR(IF($K79="%",AS79-AR79,AS79/AR79-1),""))</f>
        <v>0.05</v>
      </c>
      <c r="AU79" s="5" t="str">
        <f aca="false">IF(OR(AR79="",AS79=""),"",IF($F79="Maior Melhor",IF(AS79&gt;=AR79,"Sim","Não"),IF(AS79&lt;=AR79,"Sim","Não")))</f>
        <v>Sim</v>
      </c>
      <c r="AV79" s="3" t="n">
        <v>0.95</v>
      </c>
      <c r="AW79" s="3" t="n">
        <v>1</v>
      </c>
      <c r="AX79" s="4" t="n">
        <f aca="false">IF(OR(AV79="",AW79=""),"",IFERROR(IF($K79="%",AW79-AV79,AW79/AV79-1),""))</f>
        <v>0.05</v>
      </c>
      <c r="AY79" s="5" t="str">
        <f aca="false">IF(OR(AV79="",AW79=""),"",IF($F79="Maior Melhor",IF(AW79&gt;=AV79,"Sim","Não"),IF(AW79&lt;=AV79,"Sim","Não")))</f>
        <v>Sim</v>
      </c>
      <c r="AZ79" s="3" t="n">
        <v>0.95</v>
      </c>
      <c r="BA79" s="3" t="n">
        <v>1</v>
      </c>
      <c r="BB79" s="4" t="n">
        <f aca="false">IF(OR(AZ79="",BA79=""),"",IFERROR(IF($K79="%",BA79-AZ79,BA79/AZ79-1),""))</f>
        <v>0.05</v>
      </c>
      <c r="BC79" s="5" t="str">
        <f aca="false">IF(OR(AZ79="",BA79=""),"",IF($F79="Maior Melhor",IF(BA79&gt;=AZ79,"Sim","Não"),IF(BA79&lt;=AZ79,"Sim","Não")))</f>
        <v>Sim</v>
      </c>
      <c r="BD79" s="3" t="n">
        <v>0.95</v>
      </c>
      <c r="BE79" s="3" t="n">
        <v>1</v>
      </c>
      <c r="BF79" s="4" t="n">
        <f aca="false">IF(OR(BD79="",BE79=""),"",IFERROR(IF($K79="%",BE79-BD79,BE79/BD79-1),""))</f>
        <v>0.05</v>
      </c>
      <c r="BG79" s="5" t="str">
        <f aca="false">IF(OR(BD79="",BE79=""),"",IF($F79="Maior Melhor",IF(BE79&gt;=BD79,"Sim","Não"),IF(BE79&lt;=BD79,"Sim","Não")))</f>
        <v>Sim</v>
      </c>
      <c r="BH79" s="3" t="n">
        <v>0.95</v>
      </c>
      <c r="BI79" s="3" t="n">
        <v>1</v>
      </c>
      <c r="BJ79" s="4" t="n">
        <f aca="false">IF(OR(BH79="",BI79=""),"",IFERROR(IF($K79="%",BI79-BH79,BI79/BH79-1),""))</f>
        <v>0.05</v>
      </c>
      <c r="BK79" s="5" t="str">
        <f aca="false">IF(OR(BH79="",BI79=""),"",IF($F79="Maior Melhor",IF(BI79&gt;=BH79,"Sim","Não"),IF(BI79&lt;=BH79,"Sim","Não")))</f>
        <v>Sim</v>
      </c>
      <c r="BL79" s="6"/>
      <c r="BM79" s="6"/>
      <c r="BN79" s="4" t="str">
        <f aca="false">IF(OR(BL79="",BM79=""),"",IFERROR(IF($K79="%",BM79-BL79,BM79/BL79-1),""))</f>
        <v/>
      </c>
      <c r="BO79" s="5" t="str">
        <f aca="false">IF(OR(BL79="",BM79=""),"",IF($F79="Maior Melhor",IF(BM79&gt;=BL79,"Sim","Não"),IF(BM79&lt;=BL79,"Sim","Não")))</f>
        <v/>
      </c>
      <c r="BP79" s="6"/>
      <c r="BQ79" s="6"/>
      <c r="BR79" s="4" t="str">
        <f aca="false">IF(OR(BP79="",BQ79=""),"",IFERROR(IF($K79="%",BQ79-BP79,BQ79/BP79-1),""))</f>
        <v/>
      </c>
      <c r="BS79" s="5" t="str">
        <f aca="false">IF(OR(BP79="",BQ79=""),"",IF($F79="Maior Melhor",IF(BQ79&gt;=BP79,"Sim","Não"),IF(BQ79&lt;=BP79,"Sim","Não")))</f>
        <v/>
      </c>
      <c r="BT79" s="6"/>
      <c r="BU79" s="6"/>
      <c r="BV79" s="4" t="str">
        <f aca="false">IF(OR(BT79="",BU79=""),"",IFERROR(IF($K79="%",BU79-BT79,BU79/BT79-1),""))</f>
        <v/>
      </c>
      <c r="BW79" s="5" t="str">
        <f aca="false">IF(OR(BT79="",BU79=""),"",IF($F79="Maior Melhor",IF(BU79&gt;=BT79,"Sim","Não"),IF(BU79&lt;=BT79,"Sim","Não")))</f>
        <v/>
      </c>
      <c r="BX79" s="6"/>
      <c r="BY79" s="6"/>
      <c r="BZ79" s="4" t="str">
        <f aca="false">IF(OR(BX79="",BY79=""),"",IFERROR(IF($K79="%",BY79-BX79,BY79/BX79-1),""))</f>
        <v/>
      </c>
      <c r="CA79" s="5" t="str">
        <f aca="false">IF(OR(BX79="",BY79=""),"",IF($F79="Maior Melhor",IF(BY79&gt;=BX79,"Sim","Não"),IF(BY79&lt;=BX79,"Sim","Não")))</f>
        <v/>
      </c>
      <c r="CB79" s="6"/>
      <c r="CC79" s="6"/>
      <c r="CD79" s="4" t="str">
        <f aca="false">IF(OR(CB79="",CC79=""),"",IFERROR(IF($K79="%",CC79-CB79,CC79/CB79-1),""))</f>
        <v/>
      </c>
      <c r="CE79" s="5" t="str">
        <f aca="false">IF(OR(CB79="",CC79=""),"",IF($F79="Maior Melhor",IF(CC79&gt;=CB79,"Sim","Não"),IF(CC79&lt;=CB79,"Sim","Não")))</f>
        <v/>
      </c>
      <c r="CF79" s="6"/>
      <c r="CG79" s="6"/>
      <c r="CH79" s="4" t="str">
        <f aca="false">IF(OR(CF79="",CG79=""),"",IFERROR(IF($K79="%",CG79-CF79,CG79/CF79-1),""))</f>
        <v/>
      </c>
      <c r="CI79" s="5" t="str">
        <f aca="false">IF(OR(CF79="",CG79=""),"",IF($F79="Maior Melhor",IF(CG79&gt;=CF79,"Sim","Não"),IF(CG79&lt;=CF79,"Sim","Não")))</f>
        <v/>
      </c>
      <c r="CJ79" s="6"/>
      <c r="CK79" s="6"/>
      <c r="CL79" s="4" t="str">
        <f aca="false">IF(OR(CJ79="",CK79=""),"",IFERROR(IF($K79="%",CK79-CJ79,CK79/CJ79-1),""))</f>
        <v/>
      </c>
      <c r="CM79" s="5" t="str">
        <f aca="false">IF(OR(CJ79="",CK79=""),"",IF($F79="Maior Melhor",IF(CK79&gt;=CJ79,"Sim","Não"),IF(CK79&lt;=CJ79,"Sim","Não")))</f>
        <v/>
      </c>
      <c r="CN79" s="6"/>
      <c r="CO79" s="6"/>
      <c r="CP79" s="4" t="str">
        <f aca="false">IF(OR(CN79="",CO79=""),"",IFERROR(IF($K79="%",CO79-CN79,CO79/CN79-1),""))</f>
        <v/>
      </c>
      <c r="CQ79" s="5" t="str">
        <f aca="false">IF(OR(CN79="",CO79=""),"",IF($F79="Maior Melhor",IF(CO79&gt;=CN79,"Sim","Não"),IF(CO79&lt;=CN79,"Sim","Não")))</f>
        <v/>
      </c>
      <c r="CR79" s="2" t="s">
        <v>154</v>
      </c>
    </row>
    <row r="80" customFormat="false" ht="15" hidden="false" customHeight="false" outlineLevel="0" collapsed="false">
      <c r="A80" s="2" t="s">
        <v>151</v>
      </c>
      <c r="B80" s="2" t="s">
        <v>108</v>
      </c>
      <c r="C80" s="2" t="s">
        <v>115</v>
      </c>
      <c r="D80" s="2" t="s">
        <v>152</v>
      </c>
      <c r="E80" s="2" t="str">
        <f aca="false">C80&amp;D80</f>
        <v>UTD BRUMADOCaptação de pastas - UTD</v>
      </c>
      <c r="F80" s="2" t="s">
        <v>100</v>
      </c>
      <c r="G80" s="2" t="s">
        <v>153</v>
      </c>
      <c r="H80" s="2" t="s">
        <v>102</v>
      </c>
      <c r="I80" s="2" t="s">
        <v>103</v>
      </c>
      <c r="J80" s="2" t="n">
        <v>3</v>
      </c>
      <c r="K80" s="2" t="s">
        <v>104</v>
      </c>
      <c r="L80" s="3" t="n">
        <v>0.9</v>
      </c>
      <c r="M80" s="3" t="n">
        <v>0</v>
      </c>
      <c r="N80" s="4" t="n">
        <f aca="false">IF(OR(L80="",M80=""),"",IFERROR(IF($K80="%",M80-L80,M80/L80-1),""))</f>
        <v>-0.9</v>
      </c>
      <c r="O80" s="5" t="str">
        <f aca="false">IF(OR(L80="",M80=""),"",IF($F80="Maior Melhor",IF(M80&gt;=L80,"Sim","Não"),IF(M80&lt;=L80,"Sim","Não")))</f>
        <v>Não</v>
      </c>
      <c r="P80" s="3" t="n">
        <v>0.9</v>
      </c>
      <c r="Q80" s="3" t="n">
        <v>0</v>
      </c>
      <c r="R80" s="4" t="n">
        <f aca="false">IF(OR(P80="",Q80=""),"",IFERROR(IF($K80="%",Q80-P80,Q80/P80-1),""))</f>
        <v>-0.9</v>
      </c>
      <c r="S80" s="5" t="str">
        <f aca="false">IF(OR(P80="",Q80=""),"",IF($F80="Maior Melhor",IF(Q80&gt;=P80,"Sim","Não"),IF(Q80&lt;=P80,"Sim","Não")))</f>
        <v>Não</v>
      </c>
      <c r="T80" s="3" t="n">
        <v>0.95</v>
      </c>
      <c r="U80" s="3" t="n">
        <v>1</v>
      </c>
      <c r="V80" s="4" t="n">
        <f aca="false">IF(OR(T80="",U80=""),"",IFERROR(IF($K80="%",U80-T80,U80/T80-1),""))</f>
        <v>0.05</v>
      </c>
      <c r="W80" s="5" t="str">
        <f aca="false">IF(OR(T80="",U80=""),"",IF($F80="Maior Melhor",IF(U80&gt;=T80,"Sim","Não"),IF(U80&lt;=T80,"Sim","Não")))</f>
        <v>Sim</v>
      </c>
      <c r="X80" s="3" t="n">
        <v>0.95</v>
      </c>
      <c r="Y80" s="3" t="n">
        <v>1</v>
      </c>
      <c r="Z80" s="4" t="n">
        <f aca="false">IF(OR(X80="",Y80=""),"",IFERROR(IF($K80="%",Y80-X80,Y80/X80-1),""))</f>
        <v>0.05</v>
      </c>
      <c r="AA80" s="5" t="str">
        <f aca="false">IF(OR(X80="",Y80=""),"",IF($F80="Maior Melhor",IF(Y80&gt;=X80,"Sim","Não"),IF(Y80&lt;=X80,"Sim","Não")))</f>
        <v>Sim</v>
      </c>
      <c r="AB80" s="3" t="n">
        <v>0.95</v>
      </c>
      <c r="AC80" s="3" t="n">
        <v>1</v>
      </c>
      <c r="AD80" s="4" t="n">
        <f aca="false">IF(OR(AB80="",AC80=""),"",IFERROR(IF($K80="%",AC80-AB80,AC80/AB80-1),""))</f>
        <v>0.05</v>
      </c>
      <c r="AE80" s="5" t="str">
        <f aca="false">IF(OR(AB80="",AC80=""),"",IF($F80="Maior Melhor",IF(AC80&gt;=AB80,"Sim","Não"),IF(AC80&lt;=AB80,"Sim","Não")))</f>
        <v>Sim</v>
      </c>
      <c r="AF80" s="3" t="n">
        <v>0.95</v>
      </c>
      <c r="AG80" s="3" t="n">
        <v>1</v>
      </c>
      <c r="AH80" s="4" t="n">
        <f aca="false">IF(OR(AF80="",AG80=""),"",IFERROR(IF($K80="%",AG80-AF80,AG80/AF80-1),""))</f>
        <v>0.05</v>
      </c>
      <c r="AI80" s="5" t="str">
        <f aca="false">IF(OR(AF80="",AG80=""),"",IF($F80="Maior Melhor",IF(AG80&gt;=AF80,"Sim","Não"),IF(AG80&lt;=AF80,"Sim","Não")))</f>
        <v>Sim</v>
      </c>
      <c r="AJ80" s="3" t="n">
        <v>0.95</v>
      </c>
      <c r="AK80" s="3" t="n">
        <v>1</v>
      </c>
      <c r="AL80" s="4" t="n">
        <f aca="false">IF(OR(AJ80="",AK80=""),"",IFERROR(IF($K80="%",AK80-AJ80,AK80/AJ80-1),""))</f>
        <v>0.05</v>
      </c>
      <c r="AM80" s="5" t="str">
        <f aca="false">IF(OR(AJ80="",AK80=""),"",IF($F80="Maior Melhor",IF(AK80&gt;=AJ80,"Sim","Não"),IF(AK80&lt;=AJ80,"Sim","Não")))</f>
        <v>Sim</v>
      </c>
      <c r="AN80" s="3" t="n">
        <v>0.95</v>
      </c>
      <c r="AO80" s="3" t="n">
        <v>1</v>
      </c>
      <c r="AP80" s="4" t="n">
        <f aca="false">IF(OR(AN80="",AO80=""),"",IFERROR(IF($K80="%",AO80-AN80,AO80/AN80-1),""))</f>
        <v>0.05</v>
      </c>
      <c r="AQ80" s="5" t="str">
        <f aca="false">IF(OR(AN80="",AO80=""),"",IF($F80="Maior Melhor",IF(AO80&gt;=AN80,"Sim","Não"),IF(AO80&lt;=AN80,"Sim","Não")))</f>
        <v>Sim</v>
      </c>
      <c r="AR80" s="3" t="n">
        <v>0.95</v>
      </c>
      <c r="AS80" s="3" t="n">
        <v>1</v>
      </c>
      <c r="AT80" s="4" t="n">
        <f aca="false">IF(OR(AR80="",AS80=""),"",IFERROR(IF($K80="%",AS80-AR80,AS80/AR80-1),""))</f>
        <v>0.05</v>
      </c>
      <c r="AU80" s="5" t="str">
        <f aca="false">IF(OR(AR80="",AS80=""),"",IF($F80="Maior Melhor",IF(AS80&gt;=AR80,"Sim","Não"),IF(AS80&lt;=AR80,"Sim","Não")))</f>
        <v>Sim</v>
      </c>
      <c r="AV80" s="3" t="n">
        <v>0.95</v>
      </c>
      <c r="AW80" s="3" t="n">
        <v>1</v>
      </c>
      <c r="AX80" s="4" t="n">
        <f aca="false">IF(OR(AV80="",AW80=""),"",IFERROR(IF($K80="%",AW80-AV80,AW80/AV80-1),""))</f>
        <v>0.05</v>
      </c>
      <c r="AY80" s="5" t="str">
        <f aca="false">IF(OR(AV80="",AW80=""),"",IF($F80="Maior Melhor",IF(AW80&gt;=AV80,"Sim","Não"),IF(AW80&lt;=AV80,"Sim","Não")))</f>
        <v>Sim</v>
      </c>
      <c r="AZ80" s="3" t="n">
        <v>0.95</v>
      </c>
      <c r="BA80" s="3" t="n">
        <v>1</v>
      </c>
      <c r="BB80" s="4" t="n">
        <f aca="false">IF(OR(AZ80="",BA80=""),"",IFERROR(IF($K80="%",BA80-AZ80,BA80/AZ80-1),""))</f>
        <v>0.05</v>
      </c>
      <c r="BC80" s="5" t="str">
        <f aca="false">IF(OR(AZ80="",BA80=""),"",IF($F80="Maior Melhor",IF(BA80&gt;=AZ80,"Sim","Não"),IF(BA80&lt;=AZ80,"Sim","Não")))</f>
        <v>Sim</v>
      </c>
      <c r="BD80" s="3" t="n">
        <v>0.95</v>
      </c>
      <c r="BE80" s="3" t="n">
        <v>1</v>
      </c>
      <c r="BF80" s="4" t="n">
        <f aca="false">IF(OR(BD80="",BE80=""),"",IFERROR(IF($K80="%",BE80-BD80,BE80/BD80-1),""))</f>
        <v>0.05</v>
      </c>
      <c r="BG80" s="5" t="str">
        <f aca="false">IF(OR(BD80="",BE80=""),"",IF($F80="Maior Melhor",IF(BE80&gt;=BD80,"Sim","Não"),IF(BE80&lt;=BD80,"Sim","Não")))</f>
        <v>Sim</v>
      </c>
      <c r="BH80" s="3" t="n">
        <v>0.95</v>
      </c>
      <c r="BI80" s="3" t="n">
        <v>1</v>
      </c>
      <c r="BJ80" s="4" t="n">
        <f aca="false">IF(OR(BH80="",BI80=""),"",IFERROR(IF($K80="%",BI80-BH80,BI80/BH80-1),""))</f>
        <v>0.05</v>
      </c>
      <c r="BK80" s="5" t="str">
        <f aca="false">IF(OR(BH80="",BI80=""),"",IF($F80="Maior Melhor",IF(BI80&gt;=BH80,"Sim","Não"),IF(BI80&lt;=BH80,"Sim","Não")))</f>
        <v>Sim</v>
      </c>
      <c r="BL80" s="6"/>
      <c r="BM80" s="6"/>
      <c r="BN80" s="4" t="str">
        <f aca="false">IF(OR(BL80="",BM80=""),"",IFERROR(IF($K80="%",BM80-BL80,BM80/BL80-1),""))</f>
        <v/>
      </c>
      <c r="BO80" s="5" t="str">
        <f aca="false">IF(OR(BL80="",BM80=""),"",IF($F80="Maior Melhor",IF(BM80&gt;=BL80,"Sim","Não"),IF(BM80&lt;=BL80,"Sim","Não")))</f>
        <v/>
      </c>
      <c r="BP80" s="6"/>
      <c r="BQ80" s="6"/>
      <c r="BR80" s="4" t="str">
        <f aca="false">IF(OR(BP80="",BQ80=""),"",IFERROR(IF($K80="%",BQ80-BP80,BQ80/BP80-1),""))</f>
        <v/>
      </c>
      <c r="BS80" s="5" t="str">
        <f aca="false">IF(OR(BP80="",BQ80=""),"",IF($F80="Maior Melhor",IF(BQ80&gt;=BP80,"Sim","Não"),IF(BQ80&lt;=BP80,"Sim","Não")))</f>
        <v/>
      </c>
      <c r="BT80" s="6"/>
      <c r="BU80" s="6"/>
      <c r="BV80" s="4" t="str">
        <f aca="false">IF(OR(BT80="",BU80=""),"",IFERROR(IF($K80="%",BU80-BT80,BU80/BT80-1),""))</f>
        <v/>
      </c>
      <c r="BW80" s="5" t="str">
        <f aca="false">IF(OR(BT80="",BU80=""),"",IF($F80="Maior Melhor",IF(BU80&gt;=BT80,"Sim","Não"),IF(BU80&lt;=BT80,"Sim","Não")))</f>
        <v/>
      </c>
      <c r="BX80" s="6"/>
      <c r="BY80" s="6"/>
      <c r="BZ80" s="4" t="str">
        <f aca="false">IF(OR(BX80="",BY80=""),"",IFERROR(IF($K80="%",BY80-BX80,BY80/BX80-1),""))</f>
        <v/>
      </c>
      <c r="CA80" s="5" t="str">
        <f aca="false">IF(OR(BX80="",BY80=""),"",IF($F80="Maior Melhor",IF(BY80&gt;=BX80,"Sim","Não"),IF(BY80&lt;=BX80,"Sim","Não")))</f>
        <v/>
      </c>
      <c r="CB80" s="6"/>
      <c r="CC80" s="6"/>
      <c r="CD80" s="4" t="str">
        <f aca="false">IF(OR(CB80="",CC80=""),"",IFERROR(IF($K80="%",CC80-CB80,CC80/CB80-1),""))</f>
        <v/>
      </c>
      <c r="CE80" s="5" t="str">
        <f aca="false">IF(OR(CB80="",CC80=""),"",IF($F80="Maior Melhor",IF(CC80&gt;=CB80,"Sim","Não"),IF(CC80&lt;=CB80,"Sim","Não")))</f>
        <v/>
      </c>
      <c r="CF80" s="6"/>
      <c r="CG80" s="6"/>
      <c r="CH80" s="4" t="str">
        <f aca="false">IF(OR(CF80="",CG80=""),"",IFERROR(IF($K80="%",CG80-CF80,CG80/CF80-1),""))</f>
        <v/>
      </c>
      <c r="CI80" s="5" t="str">
        <f aca="false">IF(OR(CF80="",CG80=""),"",IF($F80="Maior Melhor",IF(CG80&gt;=CF80,"Sim","Não"),IF(CG80&lt;=CF80,"Sim","Não")))</f>
        <v/>
      </c>
      <c r="CJ80" s="6"/>
      <c r="CK80" s="6"/>
      <c r="CL80" s="4" t="str">
        <f aca="false">IF(OR(CJ80="",CK80=""),"",IFERROR(IF($K80="%",CK80-CJ80,CK80/CJ80-1),""))</f>
        <v/>
      </c>
      <c r="CM80" s="5" t="str">
        <f aca="false">IF(OR(CJ80="",CK80=""),"",IF($F80="Maior Melhor",IF(CK80&gt;=CJ80,"Sim","Não"),IF(CK80&lt;=CJ80,"Sim","Não")))</f>
        <v/>
      </c>
      <c r="CN80" s="6"/>
      <c r="CO80" s="6"/>
      <c r="CP80" s="4" t="str">
        <f aca="false">IF(OR(CN80="",CO80=""),"",IFERROR(IF($K80="%",CO80-CN80,CO80/CN80-1),""))</f>
        <v/>
      </c>
      <c r="CQ80" s="5" t="str">
        <f aca="false">IF(OR(CN80="",CO80=""),"",IF($F80="Maior Melhor",IF(CO80&gt;=CN80,"Sim","Não"),IF(CO80&lt;=CN80,"Sim","Não")))</f>
        <v/>
      </c>
      <c r="CR80" s="2" t="s">
        <v>105</v>
      </c>
    </row>
    <row r="81" customFormat="false" ht="15" hidden="false" customHeight="false" outlineLevel="0" collapsed="false">
      <c r="A81" s="2" t="s">
        <v>151</v>
      </c>
      <c r="B81" s="2" t="s">
        <v>108</v>
      </c>
      <c r="C81" s="2" t="s">
        <v>117</v>
      </c>
      <c r="D81" s="2" t="s">
        <v>152</v>
      </c>
      <c r="E81" s="2" t="str">
        <f aca="false">C81&amp;D81</f>
        <v>UTD GUANAMBICaptação de pastas - UTD</v>
      </c>
      <c r="F81" s="2" t="s">
        <v>100</v>
      </c>
      <c r="G81" s="2" t="s">
        <v>153</v>
      </c>
      <c r="H81" s="2" t="s">
        <v>102</v>
      </c>
      <c r="I81" s="2" t="s">
        <v>103</v>
      </c>
      <c r="J81" s="2" t="n">
        <v>3</v>
      </c>
      <c r="K81" s="2" t="s">
        <v>104</v>
      </c>
      <c r="L81" s="3" t="n">
        <v>0.9</v>
      </c>
      <c r="M81" s="3" t="n">
        <v>0</v>
      </c>
      <c r="N81" s="4" t="n">
        <f aca="false">IF(OR(L81="",M81=""),"",IFERROR(IF($K81="%",M81-L81,M81/L81-1),""))</f>
        <v>-0.9</v>
      </c>
      <c r="O81" s="5" t="str">
        <f aca="false">IF(OR(L81="",M81=""),"",IF($F81="Maior Melhor",IF(M81&gt;=L81,"Sim","Não"),IF(M81&lt;=L81,"Sim","Não")))</f>
        <v>Não</v>
      </c>
      <c r="P81" s="3" t="n">
        <v>0.9</v>
      </c>
      <c r="Q81" s="3" t="n">
        <v>0</v>
      </c>
      <c r="R81" s="4" t="n">
        <f aca="false">IF(OR(P81="",Q81=""),"",IFERROR(IF($K81="%",Q81-P81,Q81/P81-1),""))</f>
        <v>-0.9</v>
      </c>
      <c r="S81" s="5" t="str">
        <f aca="false">IF(OR(P81="",Q81=""),"",IF($F81="Maior Melhor",IF(Q81&gt;=P81,"Sim","Não"),IF(Q81&lt;=P81,"Sim","Não")))</f>
        <v>Não</v>
      </c>
      <c r="T81" s="3" t="n">
        <v>0.95</v>
      </c>
      <c r="U81" s="3" t="n">
        <v>1</v>
      </c>
      <c r="V81" s="4" t="n">
        <f aca="false">IF(OR(T81="",U81=""),"",IFERROR(IF($K81="%",U81-T81,U81/T81-1),""))</f>
        <v>0.05</v>
      </c>
      <c r="W81" s="5" t="str">
        <f aca="false">IF(OR(T81="",U81=""),"",IF($F81="Maior Melhor",IF(U81&gt;=T81,"Sim","Não"),IF(U81&lt;=T81,"Sim","Não")))</f>
        <v>Sim</v>
      </c>
      <c r="X81" s="3" t="n">
        <v>0.95</v>
      </c>
      <c r="Y81" s="3" t="n">
        <v>1</v>
      </c>
      <c r="Z81" s="4" t="n">
        <f aca="false">IF(OR(X81="",Y81=""),"",IFERROR(IF($K81="%",Y81-X81,Y81/X81-1),""))</f>
        <v>0.05</v>
      </c>
      <c r="AA81" s="5" t="str">
        <f aca="false">IF(OR(X81="",Y81=""),"",IF($F81="Maior Melhor",IF(Y81&gt;=X81,"Sim","Não"),IF(Y81&lt;=X81,"Sim","Não")))</f>
        <v>Sim</v>
      </c>
      <c r="AB81" s="3" t="n">
        <v>0.95</v>
      </c>
      <c r="AC81" s="3" t="n">
        <v>1</v>
      </c>
      <c r="AD81" s="4" t="n">
        <f aca="false">IF(OR(AB81="",AC81=""),"",IFERROR(IF($K81="%",AC81-AB81,AC81/AB81-1),""))</f>
        <v>0.05</v>
      </c>
      <c r="AE81" s="5" t="str">
        <f aca="false">IF(OR(AB81="",AC81=""),"",IF($F81="Maior Melhor",IF(AC81&gt;=AB81,"Sim","Não"),IF(AC81&lt;=AB81,"Sim","Não")))</f>
        <v>Sim</v>
      </c>
      <c r="AF81" s="3" t="n">
        <v>0.95</v>
      </c>
      <c r="AG81" s="3" t="n">
        <v>1</v>
      </c>
      <c r="AH81" s="4" t="n">
        <f aca="false">IF(OR(AF81="",AG81=""),"",IFERROR(IF($K81="%",AG81-AF81,AG81/AF81-1),""))</f>
        <v>0.05</v>
      </c>
      <c r="AI81" s="5" t="str">
        <f aca="false">IF(OR(AF81="",AG81=""),"",IF($F81="Maior Melhor",IF(AG81&gt;=AF81,"Sim","Não"),IF(AG81&lt;=AF81,"Sim","Não")))</f>
        <v>Sim</v>
      </c>
      <c r="AJ81" s="3" t="n">
        <v>0.95</v>
      </c>
      <c r="AK81" s="3" t="n">
        <v>1</v>
      </c>
      <c r="AL81" s="4" t="n">
        <f aca="false">IF(OR(AJ81="",AK81=""),"",IFERROR(IF($K81="%",AK81-AJ81,AK81/AJ81-1),""))</f>
        <v>0.05</v>
      </c>
      <c r="AM81" s="5" t="str">
        <f aca="false">IF(OR(AJ81="",AK81=""),"",IF($F81="Maior Melhor",IF(AK81&gt;=AJ81,"Sim","Não"),IF(AK81&lt;=AJ81,"Sim","Não")))</f>
        <v>Sim</v>
      </c>
      <c r="AN81" s="3" t="n">
        <v>0.95</v>
      </c>
      <c r="AO81" s="3" t="n">
        <v>1</v>
      </c>
      <c r="AP81" s="4" t="n">
        <f aca="false">IF(OR(AN81="",AO81=""),"",IFERROR(IF($K81="%",AO81-AN81,AO81/AN81-1),""))</f>
        <v>0.05</v>
      </c>
      <c r="AQ81" s="5" t="str">
        <f aca="false">IF(OR(AN81="",AO81=""),"",IF($F81="Maior Melhor",IF(AO81&gt;=AN81,"Sim","Não"),IF(AO81&lt;=AN81,"Sim","Não")))</f>
        <v>Sim</v>
      </c>
      <c r="AR81" s="3" t="n">
        <v>0.95</v>
      </c>
      <c r="AS81" s="3" t="n">
        <v>1</v>
      </c>
      <c r="AT81" s="4" t="n">
        <f aca="false">IF(OR(AR81="",AS81=""),"",IFERROR(IF($K81="%",AS81-AR81,AS81/AR81-1),""))</f>
        <v>0.05</v>
      </c>
      <c r="AU81" s="5" t="str">
        <f aca="false">IF(OR(AR81="",AS81=""),"",IF($F81="Maior Melhor",IF(AS81&gt;=AR81,"Sim","Não"),IF(AS81&lt;=AR81,"Sim","Não")))</f>
        <v>Sim</v>
      </c>
      <c r="AV81" s="3" t="n">
        <v>0.95</v>
      </c>
      <c r="AW81" s="3" t="n">
        <v>1</v>
      </c>
      <c r="AX81" s="4" t="n">
        <f aca="false">IF(OR(AV81="",AW81=""),"",IFERROR(IF($K81="%",AW81-AV81,AW81/AV81-1),""))</f>
        <v>0.05</v>
      </c>
      <c r="AY81" s="5" t="str">
        <f aca="false">IF(OR(AV81="",AW81=""),"",IF($F81="Maior Melhor",IF(AW81&gt;=AV81,"Sim","Não"),IF(AW81&lt;=AV81,"Sim","Não")))</f>
        <v>Sim</v>
      </c>
      <c r="AZ81" s="3" t="n">
        <v>0.95</v>
      </c>
      <c r="BA81" s="3" t="n">
        <v>1</v>
      </c>
      <c r="BB81" s="4" t="n">
        <f aca="false">IF(OR(AZ81="",BA81=""),"",IFERROR(IF($K81="%",BA81-AZ81,BA81/AZ81-1),""))</f>
        <v>0.05</v>
      </c>
      <c r="BC81" s="5" t="str">
        <f aca="false">IF(OR(AZ81="",BA81=""),"",IF($F81="Maior Melhor",IF(BA81&gt;=AZ81,"Sim","Não"),IF(BA81&lt;=AZ81,"Sim","Não")))</f>
        <v>Sim</v>
      </c>
      <c r="BD81" s="3" t="n">
        <v>0.95</v>
      </c>
      <c r="BE81" s="3" t="n">
        <v>1</v>
      </c>
      <c r="BF81" s="4" t="n">
        <f aca="false">IF(OR(BD81="",BE81=""),"",IFERROR(IF($K81="%",BE81-BD81,BE81/BD81-1),""))</f>
        <v>0.05</v>
      </c>
      <c r="BG81" s="5" t="str">
        <f aca="false">IF(OR(BD81="",BE81=""),"",IF($F81="Maior Melhor",IF(BE81&gt;=BD81,"Sim","Não"),IF(BE81&lt;=BD81,"Sim","Não")))</f>
        <v>Sim</v>
      </c>
      <c r="BH81" s="3" t="n">
        <v>0.95</v>
      </c>
      <c r="BI81" s="3" t="n">
        <v>1</v>
      </c>
      <c r="BJ81" s="4" t="n">
        <f aca="false">IF(OR(BH81="",BI81=""),"",IFERROR(IF($K81="%",BI81-BH81,BI81/BH81-1),""))</f>
        <v>0.05</v>
      </c>
      <c r="BK81" s="5" t="str">
        <f aca="false">IF(OR(BH81="",BI81=""),"",IF($F81="Maior Melhor",IF(BI81&gt;=BH81,"Sim","Não"),IF(BI81&lt;=BH81,"Sim","Não")))</f>
        <v>Sim</v>
      </c>
      <c r="BL81" s="6"/>
      <c r="BM81" s="6"/>
      <c r="BN81" s="4" t="str">
        <f aca="false">IF(OR(BL81="",BM81=""),"",IFERROR(IF($K81="%",BM81-BL81,BM81/BL81-1),""))</f>
        <v/>
      </c>
      <c r="BO81" s="5" t="str">
        <f aca="false">IF(OR(BL81="",BM81=""),"",IF($F81="Maior Melhor",IF(BM81&gt;=BL81,"Sim","Não"),IF(BM81&lt;=BL81,"Sim","Não")))</f>
        <v/>
      </c>
      <c r="BP81" s="6"/>
      <c r="BQ81" s="6"/>
      <c r="BR81" s="4" t="str">
        <f aca="false">IF(OR(BP81="",BQ81=""),"",IFERROR(IF($K81="%",BQ81-BP81,BQ81/BP81-1),""))</f>
        <v/>
      </c>
      <c r="BS81" s="5" t="str">
        <f aca="false">IF(OR(BP81="",BQ81=""),"",IF($F81="Maior Melhor",IF(BQ81&gt;=BP81,"Sim","Não"),IF(BQ81&lt;=BP81,"Sim","Não")))</f>
        <v/>
      </c>
      <c r="BT81" s="6"/>
      <c r="BU81" s="6"/>
      <c r="BV81" s="4" t="str">
        <f aca="false">IF(OR(BT81="",BU81=""),"",IFERROR(IF($K81="%",BU81-BT81,BU81/BT81-1),""))</f>
        <v/>
      </c>
      <c r="BW81" s="5" t="str">
        <f aca="false">IF(OR(BT81="",BU81=""),"",IF($F81="Maior Melhor",IF(BU81&gt;=BT81,"Sim","Não"),IF(BU81&lt;=BT81,"Sim","Não")))</f>
        <v/>
      </c>
      <c r="BX81" s="6"/>
      <c r="BY81" s="6"/>
      <c r="BZ81" s="4" t="str">
        <f aca="false">IF(OR(BX81="",BY81=""),"",IFERROR(IF($K81="%",BY81-BX81,BY81/BX81-1),""))</f>
        <v/>
      </c>
      <c r="CA81" s="5" t="str">
        <f aca="false">IF(OR(BX81="",BY81=""),"",IF($F81="Maior Melhor",IF(BY81&gt;=BX81,"Sim","Não"),IF(BY81&lt;=BX81,"Sim","Não")))</f>
        <v/>
      </c>
      <c r="CB81" s="6"/>
      <c r="CC81" s="6"/>
      <c r="CD81" s="4" t="str">
        <f aca="false">IF(OR(CB81="",CC81=""),"",IFERROR(IF($K81="%",CC81-CB81,CC81/CB81-1),""))</f>
        <v/>
      </c>
      <c r="CE81" s="5" t="str">
        <f aca="false">IF(OR(CB81="",CC81=""),"",IF($F81="Maior Melhor",IF(CC81&gt;=CB81,"Sim","Não"),IF(CC81&lt;=CB81,"Sim","Não")))</f>
        <v/>
      </c>
      <c r="CF81" s="6"/>
      <c r="CG81" s="6"/>
      <c r="CH81" s="4" t="str">
        <f aca="false">IF(OR(CF81="",CG81=""),"",IFERROR(IF($K81="%",CG81-CF81,CG81/CF81-1),""))</f>
        <v/>
      </c>
      <c r="CI81" s="5" t="str">
        <f aca="false">IF(OR(CF81="",CG81=""),"",IF($F81="Maior Melhor",IF(CG81&gt;=CF81,"Sim","Não"),IF(CG81&lt;=CF81,"Sim","Não")))</f>
        <v/>
      </c>
      <c r="CJ81" s="6"/>
      <c r="CK81" s="6"/>
      <c r="CL81" s="4" t="str">
        <f aca="false">IF(OR(CJ81="",CK81=""),"",IFERROR(IF($K81="%",CK81-CJ81,CK81/CJ81-1),""))</f>
        <v/>
      </c>
      <c r="CM81" s="5" t="str">
        <f aca="false">IF(OR(CJ81="",CK81=""),"",IF($F81="Maior Melhor",IF(CK81&gt;=CJ81,"Sim","Não"),IF(CK81&lt;=CJ81,"Sim","Não")))</f>
        <v/>
      </c>
      <c r="CN81" s="6"/>
      <c r="CO81" s="6"/>
      <c r="CP81" s="4" t="str">
        <f aca="false">IF(OR(CN81="",CO81=""),"",IFERROR(IF($K81="%",CO81-CN81,CO81/CN81-1),""))</f>
        <v/>
      </c>
      <c r="CQ81" s="5" t="str">
        <f aca="false">IF(OR(CN81="",CO81=""),"",IF($F81="Maior Melhor",IF(CO81&gt;=CN81,"Sim","Não"),IF(CO81&lt;=CN81,"Sim","Não")))</f>
        <v/>
      </c>
      <c r="CR81" s="2" t="s">
        <v>105</v>
      </c>
    </row>
    <row r="82" customFormat="false" ht="15" hidden="false" customHeight="false" outlineLevel="0" collapsed="false">
      <c r="A82" s="2" t="s">
        <v>151</v>
      </c>
      <c r="B82" s="2" t="s">
        <v>106</v>
      </c>
      <c r="C82" s="2" t="s">
        <v>118</v>
      </c>
      <c r="D82" s="2" t="s">
        <v>152</v>
      </c>
      <c r="E82" s="2" t="str">
        <f aca="false">C82&amp;D82</f>
        <v>UTD IBOTIRAMACaptação de pastas - UTD</v>
      </c>
      <c r="F82" s="2" t="s">
        <v>100</v>
      </c>
      <c r="G82" s="2" t="s">
        <v>153</v>
      </c>
      <c r="H82" s="2" t="s">
        <v>119</v>
      </c>
      <c r="I82" s="2" t="s">
        <v>103</v>
      </c>
      <c r="J82" s="2" t="n">
        <v>3</v>
      </c>
      <c r="K82" s="2" t="s">
        <v>104</v>
      </c>
      <c r="L82" s="3" t="n">
        <v>0.9</v>
      </c>
      <c r="M82" s="3" t="n">
        <v>0</v>
      </c>
      <c r="N82" s="4" t="n">
        <f aca="false">IF(OR(L82="",M82=""),"",IFERROR(IF($K82="%",M82-L82,M82/L82-1),""))</f>
        <v>-0.9</v>
      </c>
      <c r="O82" s="5" t="str">
        <f aca="false">IF(OR(L82="",M82=""),"",IF($F82="Maior Melhor",IF(M82&gt;=L82,"Sim","Não"),IF(M82&lt;=L82,"Sim","Não")))</f>
        <v>Não</v>
      </c>
      <c r="P82" s="3" t="n">
        <v>0.9</v>
      </c>
      <c r="Q82" s="3" t="n">
        <v>0.8333</v>
      </c>
      <c r="R82" s="4" t="n">
        <f aca="false">IF(OR(P82="",Q82=""),"",IFERROR(IF($K82="%",Q82-P82,Q82/P82-1),""))</f>
        <v>-0.0667</v>
      </c>
      <c r="S82" s="5" t="str">
        <f aca="false">IF(OR(P82="",Q82=""),"",IF($F82="Maior Melhor",IF(Q82&gt;=P82,"Sim","Não"),IF(Q82&lt;=P82,"Sim","Não")))</f>
        <v>Não</v>
      </c>
      <c r="T82" s="3" t="n">
        <v>0.95</v>
      </c>
      <c r="U82" s="3" t="n">
        <v>1</v>
      </c>
      <c r="V82" s="4" t="n">
        <f aca="false">IF(OR(T82="",U82=""),"",IFERROR(IF($K82="%",U82-T82,U82/T82-1),""))</f>
        <v>0.05</v>
      </c>
      <c r="W82" s="5" t="str">
        <f aca="false">IF(OR(T82="",U82=""),"",IF($F82="Maior Melhor",IF(U82&gt;=T82,"Sim","Não"),IF(U82&lt;=T82,"Sim","Não")))</f>
        <v>Sim</v>
      </c>
      <c r="X82" s="3" t="n">
        <v>0.95</v>
      </c>
      <c r="Y82" s="3" t="n">
        <v>1</v>
      </c>
      <c r="Z82" s="4" t="n">
        <f aca="false">IF(OR(X82="",Y82=""),"",IFERROR(IF($K82="%",Y82-X82,Y82/X82-1),""))</f>
        <v>0.05</v>
      </c>
      <c r="AA82" s="5" t="str">
        <f aca="false">IF(OR(X82="",Y82=""),"",IF($F82="Maior Melhor",IF(Y82&gt;=X82,"Sim","Não"),IF(Y82&lt;=X82,"Sim","Não")))</f>
        <v>Sim</v>
      </c>
      <c r="AB82" s="3" t="n">
        <v>0.95</v>
      </c>
      <c r="AC82" s="3" t="n">
        <v>1</v>
      </c>
      <c r="AD82" s="4" t="n">
        <f aca="false">IF(OR(AB82="",AC82=""),"",IFERROR(IF($K82="%",AC82-AB82,AC82/AB82-1),""))</f>
        <v>0.05</v>
      </c>
      <c r="AE82" s="5" t="str">
        <f aca="false">IF(OR(AB82="",AC82=""),"",IF($F82="Maior Melhor",IF(AC82&gt;=AB82,"Sim","Não"),IF(AC82&lt;=AB82,"Sim","Não")))</f>
        <v>Sim</v>
      </c>
      <c r="AF82" s="3" t="n">
        <v>0.95</v>
      </c>
      <c r="AG82" s="3" t="n">
        <v>1</v>
      </c>
      <c r="AH82" s="4" t="n">
        <f aca="false">IF(OR(AF82="",AG82=""),"",IFERROR(IF($K82="%",AG82-AF82,AG82/AF82-1),""))</f>
        <v>0.05</v>
      </c>
      <c r="AI82" s="5" t="str">
        <f aca="false">IF(OR(AF82="",AG82=""),"",IF($F82="Maior Melhor",IF(AG82&gt;=AF82,"Sim","Não"),IF(AG82&lt;=AF82,"Sim","Não")))</f>
        <v>Sim</v>
      </c>
      <c r="AJ82" s="3" t="n">
        <v>0.95</v>
      </c>
      <c r="AK82" s="3" t="n">
        <v>1</v>
      </c>
      <c r="AL82" s="4" t="n">
        <f aca="false">IF(OR(AJ82="",AK82=""),"",IFERROR(IF($K82="%",AK82-AJ82,AK82/AJ82-1),""))</f>
        <v>0.05</v>
      </c>
      <c r="AM82" s="5" t="str">
        <f aca="false">IF(OR(AJ82="",AK82=""),"",IF($F82="Maior Melhor",IF(AK82&gt;=AJ82,"Sim","Não"),IF(AK82&lt;=AJ82,"Sim","Não")))</f>
        <v>Sim</v>
      </c>
      <c r="AN82" s="3" t="n">
        <v>0.95</v>
      </c>
      <c r="AO82" s="3" t="n">
        <v>1</v>
      </c>
      <c r="AP82" s="4" t="n">
        <f aca="false">IF(OR(AN82="",AO82=""),"",IFERROR(IF($K82="%",AO82-AN82,AO82/AN82-1),""))</f>
        <v>0.05</v>
      </c>
      <c r="AQ82" s="5" t="str">
        <f aca="false">IF(OR(AN82="",AO82=""),"",IF($F82="Maior Melhor",IF(AO82&gt;=AN82,"Sim","Não"),IF(AO82&lt;=AN82,"Sim","Não")))</f>
        <v>Sim</v>
      </c>
      <c r="AR82" s="3" t="n">
        <v>0.95</v>
      </c>
      <c r="AS82" s="3" t="n">
        <v>1</v>
      </c>
      <c r="AT82" s="4" t="n">
        <f aca="false">IF(OR(AR82="",AS82=""),"",IFERROR(IF($K82="%",AS82-AR82,AS82/AR82-1),""))</f>
        <v>0.05</v>
      </c>
      <c r="AU82" s="5" t="str">
        <f aca="false">IF(OR(AR82="",AS82=""),"",IF($F82="Maior Melhor",IF(AS82&gt;=AR82,"Sim","Não"),IF(AS82&lt;=AR82,"Sim","Não")))</f>
        <v>Sim</v>
      </c>
      <c r="AV82" s="3" t="n">
        <v>0.95</v>
      </c>
      <c r="AW82" s="3" t="n">
        <v>1</v>
      </c>
      <c r="AX82" s="4" t="n">
        <f aca="false">IF(OR(AV82="",AW82=""),"",IFERROR(IF($K82="%",AW82-AV82,AW82/AV82-1),""))</f>
        <v>0.05</v>
      </c>
      <c r="AY82" s="5" t="str">
        <f aca="false">IF(OR(AV82="",AW82=""),"",IF($F82="Maior Melhor",IF(AW82&gt;=AV82,"Sim","Não"),IF(AW82&lt;=AV82,"Sim","Não")))</f>
        <v>Sim</v>
      </c>
      <c r="AZ82" s="3" t="n">
        <v>0.95</v>
      </c>
      <c r="BA82" s="3" t="n">
        <v>1</v>
      </c>
      <c r="BB82" s="4" t="n">
        <f aca="false">IF(OR(AZ82="",BA82=""),"",IFERROR(IF($K82="%",BA82-AZ82,BA82/AZ82-1),""))</f>
        <v>0.05</v>
      </c>
      <c r="BC82" s="5" t="str">
        <f aca="false">IF(OR(AZ82="",BA82=""),"",IF($F82="Maior Melhor",IF(BA82&gt;=AZ82,"Sim","Não"),IF(BA82&lt;=AZ82,"Sim","Não")))</f>
        <v>Sim</v>
      </c>
      <c r="BD82" s="3" t="n">
        <v>0.95</v>
      </c>
      <c r="BE82" s="3" t="n">
        <v>1</v>
      </c>
      <c r="BF82" s="4" t="n">
        <f aca="false">IF(OR(BD82="",BE82=""),"",IFERROR(IF($K82="%",BE82-BD82,BE82/BD82-1),""))</f>
        <v>0.05</v>
      </c>
      <c r="BG82" s="5" t="str">
        <f aca="false">IF(OR(BD82="",BE82=""),"",IF($F82="Maior Melhor",IF(BE82&gt;=BD82,"Sim","Não"),IF(BE82&lt;=BD82,"Sim","Não")))</f>
        <v>Sim</v>
      </c>
      <c r="BH82" s="3" t="n">
        <v>0.95</v>
      </c>
      <c r="BI82" s="3" t="n">
        <v>1</v>
      </c>
      <c r="BJ82" s="4" t="n">
        <f aca="false">IF(OR(BH82="",BI82=""),"",IFERROR(IF($K82="%",BI82-BH82,BI82/BH82-1),""))</f>
        <v>0.05</v>
      </c>
      <c r="BK82" s="5" t="str">
        <f aca="false">IF(OR(BH82="",BI82=""),"",IF($F82="Maior Melhor",IF(BI82&gt;=BH82,"Sim","Não"),IF(BI82&lt;=BH82,"Sim","Não")))</f>
        <v>Sim</v>
      </c>
      <c r="BL82" s="6"/>
      <c r="BM82" s="6"/>
      <c r="BN82" s="4" t="str">
        <f aca="false">IF(OR(BL82="",BM82=""),"",IFERROR(IF($K82="%",BM82-BL82,BM82/BL82-1),""))</f>
        <v/>
      </c>
      <c r="BO82" s="5" t="str">
        <f aca="false">IF(OR(BL82="",BM82=""),"",IF($F82="Maior Melhor",IF(BM82&gt;=BL82,"Sim","Não"),IF(BM82&lt;=BL82,"Sim","Não")))</f>
        <v/>
      </c>
      <c r="BP82" s="6"/>
      <c r="BQ82" s="6"/>
      <c r="BR82" s="4" t="str">
        <f aca="false">IF(OR(BP82="",BQ82=""),"",IFERROR(IF($K82="%",BQ82-BP82,BQ82/BP82-1),""))</f>
        <v/>
      </c>
      <c r="BS82" s="5" t="str">
        <f aca="false">IF(OR(BP82="",BQ82=""),"",IF($F82="Maior Melhor",IF(BQ82&gt;=BP82,"Sim","Não"),IF(BQ82&lt;=BP82,"Sim","Não")))</f>
        <v/>
      </c>
      <c r="BT82" s="6"/>
      <c r="BU82" s="6"/>
      <c r="BV82" s="4" t="str">
        <f aca="false">IF(OR(BT82="",BU82=""),"",IFERROR(IF($K82="%",BU82-BT82,BU82/BT82-1),""))</f>
        <v/>
      </c>
      <c r="BW82" s="5" t="str">
        <f aca="false">IF(OR(BT82="",BU82=""),"",IF($F82="Maior Melhor",IF(BU82&gt;=BT82,"Sim","Não"),IF(BU82&lt;=BT82,"Sim","Não")))</f>
        <v/>
      </c>
      <c r="BX82" s="6"/>
      <c r="BY82" s="6"/>
      <c r="BZ82" s="4" t="str">
        <f aca="false">IF(OR(BX82="",BY82=""),"",IFERROR(IF($K82="%",BY82-BX82,BY82/BX82-1),""))</f>
        <v/>
      </c>
      <c r="CA82" s="5" t="str">
        <f aca="false">IF(OR(BX82="",BY82=""),"",IF($F82="Maior Melhor",IF(BY82&gt;=BX82,"Sim","Não"),IF(BY82&lt;=BX82,"Sim","Não")))</f>
        <v/>
      </c>
      <c r="CB82" s="6"/>
      <c r="CC82" s="6"/>
      <c r="CD82" s="4" t="str">
        <f aca="false">IF(OR(CB82="",CC82=""),"",IFERROR(IF($K82="%",CC82-CB82,CC82/CB82-1),""))</f>
        <v/>
      </c>
      <c r="CE82" s="5" t="str">
        <f aca="false">IF(OR(CB82="",CC82=""),"",IF($F82="Maior Melhor",IF(CC82&gt;=CB82,"Sim","Não"),IF(CC82&lt;=CB82,"Sim","Não")))</f>
        <v/>
      </c>
      <c r="CF82" s="6"/>
      <c r="CG82" s="6"/>
      <c r="CH82" s="4" t="str">
        <f aca="false">IF(OR(CF82="",CG82=""),"",IFERROR(IF($K82="%",CG82-CF82,CG82/CF82-1),""))</f>
        <v/>
      </c>
      <c r="CI82" s="5" t="str">
        <f aca="false">IF(OR(CF82="",CG82=""),"",IF($F82="Maior Melhor",IF(CG82&gt;=CF82,"Sim","Não"),IF(CG82&lt;=CF82,"Sim","Não")))</f>
        <v/>
      </c>
      <c r="CJ82" s="6"/>
      <c r="CK82" s="6"/>
      <c r="CL82" s="4" t="str">
        <f aca="false">IF(OR(CJ82="",CK82=""),"",IFERROR(IF($K82="%",CK82-CJ82,CK82/CJ82-1),""))</f>
        <v/>
      </c>
      <c r="CM82" s="5" t="str">
        <f aca="false">IF(OR(CJ82="",CK82=""),"",IF($F82="Maior Melhor",IF(CK82&gt;=CJ82,"Sim","Não"),IF(CK82&lt;=CJ82,"Sim","Não")))</f>
        <v/>
      </c>
      <c r="CN82" s="6"/>
      <c r="CO82" s="6"/>
      <c r="CP82" s="4" t="str">
        <f aca="false">IF(OR(CN82="",CO82=""),"",IFERROR(IF($K82="%",CO82-CN82,CO82/CN82-1),""))</f>
        <v/>
      </c>
      <c r="CQ82" s="5" t="str">
        <f aca="false">IF(OR(CN82="",CO82=""),"",IF($F82="Maior Melhor",IF(CO82&gt;=CN82,"Sim","Não"),IF(CO82&lt;=CN82,"Sim","Não")))</f>
        <v/>
      </c>
      <c r="CR82" s="2" t="s">
        <v>141</v>
      </c>
    </row>
    <row r="83" customFormat="false" ht="15" hidden="false" customHeight="false" outlineLevel="0" collapsed="false">
      <c r="A83" s="2" t="s">
        <v>151</v>
      </c>
      <c r="B83" s="2" t="s">
        <v>97</v>
      </c>
      <c r="C83" s="2" t="s">
        <v>121</v>
      </c>
      <c r="D83" s="2" t="s">
        <v>152</v>
      </c>
      <c r="E83" s="2" t="str">
        <f aca="false">C83&amp;D83</f>
        <v>UTD IRECÊCaptação de pastas - UTD</v>
      </c>
      <c r="F83" s="2" t="s">
        <v>100</v>
      </c>
      <c r="G83" s="2" t="s">
        <v>153</v>
      </c>
      <c r="H83" s="2" t="s">
        <v>102</v>
      </c>
      <c r="I83" s="2" t="s">
        <v>103</v>
      </c>
      <c r="J83" s="2" t="n">
        <v>3</v>
      </c>
      <c r="K83" s="2" t="s">
        <v>104</v>
      </c>
      <c r="L83" s="3" t="n">
        <v>0.9</v>
      </c>
      <c r="M83" s="3" t="n">
        <v>0</v>
      </c>
      <c r="N83" s="4" t="n">
        <f aca="false">IF(OR(L83="",M83=""),"",IFERROR(IF($K83="%",M83-L83,M83/L83-1),""))</f>
        <v>-0.9</v>
      </c>
      <c r="O83" s="5" t="str">
        <f aca="false">IF(OR(L83="",M83=""),"",IF($F83="Maior Melhor",IF(M83&gt;=L83,"Sim","Não"),IF(M83&lt;=L83,"Sim","Não")))</f>
        <v>Não</v>
      </c>
      <c r="P83" s="3" t="n">
        <v>0.9</v>
      </c>
      <c r="Q83" s="3" t="n">
        <v>0.4286</v>
      </c>
      <c r="R83" s="4" t="n">
        <f aca="false">IF(OR(P83="",Q83=""),"",IFERROR(IF($K83="%",Q83-P83,Q83/P83-1),""))</f>
        <v>-0.4714</v>
      </c>
      <c r="S83" s="5" t="str">
        <f aca="false">IF(OR(P83="",Q83=""),"",IF($F83="Maior Melhor",IF(Q83&gt;=P83,"Sim","Não"),IF(Q83&lt;=P83,"Sim","Não")))</f>
        <v>Não</v>
      </c>
      <c r="T83" s="3" t="n">
        <v>0.95</v>
      </c>
      <c r="U83" s="3" t="n">
        <v>1</v>
      </c>
      <c r="V83" s="4" t="n">
        <f aca="false">IF(OR(T83="",U83=""),"",IFERROR(IF($K83="%",U83-T83,U83/T83-1),""))</f>
        <v>0.05</v>
      </c>
      <c r="W83" s="5" t="str">
        <f aca="false">IF(OR(T83="",U83=""),"",IF($F83="Maior Melhor",IF(U83&gt;=T83,"Sim","Não"),IF(U83&lt;=T83,"Sim","Não")))</f>
        <v>Sim</v>
      </c>
      <c r="X83" s="3" t="n">
        <v>0.95</v>
      </c>
      <c r="Y83" s="3" t="n">
        <v>1</v>
      </c>
      <c r="Z83" s="4" t="n">
        <f aca="false">IF(OR(X83="",Y83=""),"",IFERROR(IF($K83="%",Y83-X83,Y83/X83-1),""))</f>
        <v>0.05</v>
      </c>
      <c r="AA83" s="5" t="str">
        <f aca="false">IF(OR(X83="",Y83=""),"",IF($F83="Maior Melhor",IF(Y83&gt;=X83,"Sim","Não"),IF(Y83&lt;=X83,"Sim","Não")))</f>
        <v>Sim</v>
      </c>
      <c r="AB83" s="3" t="n">
        <v>0.95</v>
      </c>
      <c r="AC83" s="3" t="n">
        <v>1</v>
      </c>
      <c r="AD83" s="4" t="n">
        <f aca="false">IF(OR(AB83="",AC83=""),"",IFERROR(IF($K83="%",AC83-AB83,AC83/AB83-1),""))</f>
        <v>0.05</v>
      </c>
      <c r="AE83" s="5" t="str">
        <f aca="false">IF(OR(AB83="",AC83=""),"",IF($F83="Maior Melhor",IF(AC83&gt;=AB83,"Sim","Não"),IF(AC83&lt;=AB83,"Sim","Não")))</f>
        <v>Sim</v>
      </c>
      <c r="AF83" s="3" t="n">
        <v>0.95</v>
      </c>
      <c r="AG83" s="3" t="n">
        <v>1</v>
      </c>
      <c r="AH83" s="4" t="n">
        <f aca="false">IF(OR(AF83="",AG83=""),"",IFERROR(IF($K83="%",AG83-AF83,AG83/AF83-1),""))</f>
        <v>0.05</v>
      </c>
      <c r="AI83" s="5" t="str">
        <f aca="false">IF(OR(AF83="",AG83=""),"",IF($F83="Maior Melhor",IF(AG83&gt;=AF83,"Sim","Não"),IF(AG83&lt;=AF83,"Sim","Não")))</f>
        <v>Sim</v>
      </c>
      <c r="AJ83" s="3" t="n">
        <v>0.95</v>
      </c>
      <c r="AK83" s="3" t="n">
        <v>1</v>
      </c>
      <c r="AL83" s="4" t="n">
        <f aca="false">IF(OR(AJ83="",AK83=""),"",IFERROR(IF($K83="%",AK83-AJ83,AK83/AJ83-1),""))</f>
        <v>0.05</v>
      </c>
      <c r="AM83" s="5" t="str">
        <f aca="false">IF(OR(AJ83="",AK83=""),"",IF($F83="Maior Melhor",IF(AK83&gt;=AJ83,"Sim","Não"),IF(AK83&lt;=AJ83,"Sim","Não")))</f>
        <v>Sim</v>
      </c>
      <c r="AN83" s="3" t="n">
        <v>0.95</v>
      </c>
      <c r="AO83" s="3" t="n">
        <v>1</v>
      </c>
      <c r="AP83" s="4" t="n">
        <f aca="false">IF(OR(AN83="",AO83=""),"",IFERROR(IF($K83="%",AO83-AN83,AO83/AN83-1),""))</f>
        <v>0.05</v>
      </c>
      <c r="AQ83" s="5" t="str">
        <f aca="false">IF(OR(AN83="",AO83=""),"",IF($F83="Maior Melhor",IF(AO83&gt;=AN83,"Sim","Não"),IF(AO83&lt;=AN83,"Sim","Não")))</f>
        <v>Sim</v>
      </c>
      <c r="AR83" s="3" t="n">
        <v>0.95</v>
      </c>
      <c r="AS83" s="3" t="n">
        <v>1</v>
      </c>
      <c r="AT83" s="4" t="n">
        <f aca="false">IF(OR(AR83="",AS83=""),"",IFERROR(IF($K83="%",AS83-AR83,AS83/AR83-1),""))</f>
        <v>0.05</v>
      </c>
      <c r="AU83" s="5" t="str">
        <f aca="false">IF(OR(AR83="",AS83=""),"",IF($F83="Maior Melhor",IF(AS83&gt;=AR83,"Sim","Não"),IF(AS83&lt;=AR83,"Sim","Não")))</f>
        <v>Sim</v>
      </c>
      <c r="AV83" s="3" t="n">
        <v>0.95</v>
      </c>
      <c r="AW83" s="3" t="n">
        <v>1</v>
      </c>
      <c r="AX83" s="4" t="n">
        <f aca="false">IF(OR(AV83="",AW83=""),"",IFERROR(IF($K83="%",AW83-AV83,AW83/AV83-1),""))</f>
        <v>0.05</v>
      </c>
      <c r="AY83" s="5" t="str">
        <f aca="false">IF(OR(AV83="",AW83=""),"",IF($F83="Maior Melhor",IF(AW83&gt;=AV83,"Sim","Não"),IF(AW83&lt;=AV83,"Sim","Não")))</f>
        <v>Sim</v>
      </c>
      <c r="AZ83" s="3" t="n">
        <v>0.95</v>
      </c>
      <c r="BA83" s="3" t="n">
        <v>1</v>
      </c>
      <c r="BB83" s="4" t="n">
        <f aca="false">IF(OR(AZ83="",BA83=""),"",IFERROR(IF($K83="%",BA83-AZ83,BA83/AZ83-1),""))</f>
        <v>0.05</v>
      </c>
      <c r="BC83" s="5" t="str">
        <f aca="false">IF(OR(AZ83="",BA83=""),"",IF($F83="Maior Melhor",IF(BA83&gt;=AZ83,"Sim","Não"),IF(BA83&lt;=AZ83,"Sim","Não")))</f>
        <v>Sim</v>
      </c>
      <c r="BD83" s="3" t="n">
        <v>0.95</v>
      </c>
      <c r="BE83" s="3" t="n">
        <v>1</v>
      </c>
      <c r="BF83" s="4" t="n">
        <f aca="false">IF(OR(BD83="",BE83=""),"",IFERROR(IF($K83="%",BE83-BD83,BE83/BD83-1),""))</f>
        <v>0.05</v>
      </c>
      <c r="BG83" s="5" t="str">
        <f aca="false">IF(OR(BD83="",BE83=""),"",IF($F83="Maior Melhor",IF(BE83&gt;=BD83,"Sim","Não"),IF(BE83&lt;=BD83,"Sim","Não")))</f>
        <v>Sim</v>
      </c>
      <c r="BH83" s="3" t="n">
        <v>0.95</v>
      </c>
      <c r="BI83" s="3" t="n">
        <v>1</v>
      </c>
      <c r="BJ83" s="4" t="n">
        <f aca="false">IF(OR(BH83="",BI83=""),"",IFERROR(IF($K83="%",BI83-BH83,BI83/BH83-1),""))</f>
        <v>0.05</v>
      </c>
      <c r="BK83" s="5" t="str">
        <f aca="false">IF(OR(BH83="",BI83=""),"",IF($F83="Maior Melhor",IF(BI83&gt;=BH83,"Sim","Não"),IF(BI83&lt;=BH83,"Sim","Não")))</f>
        <v>Sim</v>
      </c>
      <c r="BL83" s="6"/>
      <c r="BM83" s="6"/>
      <c r="BN83" s="4" t="str">
        <f aca="false">IF(OR(BL83="",BM83=""),"",IFERROR(IF($K83="%",BM83-BL83,BM83/BL83-1),""))</f>
        <v/>
      </c>
      <c r="BO83" s="5" t="str">
        <f aca="false">IF(OR(BL83="",BM83=""),"",IF($F83="Maior Melhor",IF(BM83&gt;=BL83,"Sim","Não"),IF(BM83&lt;=BL83,"Sim","Não")))</f>
        <v/>
      </c>
      <c r="BP83" s="6"/>
      <c r="BQ83" s="6"/>
      <c r="BR83" s="4" t="str">
        <f aca="false">IF(OR(BP83="",BQ83=""),"",IFERROR(IF($K83="%",BQ83-BP83,BQ83/BP83-1),""))</f>
        <v/>
      </c>
      <c r="BS83" s="5" t="str">
        <f aca="false">IF(OR(BP83="",BQ83=""),"",IF($F83="Maior Melhor",IF(BQ83&gt;=BP83,"Sim","Não"),IF(BQ83&lt;=BP83,"Sim","Não")))</f>
        <v/>
      </c>
      <c r="BT83" s="6"/>
      <c r="BU83" s="6"/>
      <c r="BV83" s="4" t="str">
        <f aca="false">IF(OR(BT83="",BU83=""),"",IFERROR(IF($K83="%",BU83-BT83,BU83/BT83-1),""))</f>
        <v/>
      </c>
      <c r="BW83" s="5" t="str">
        <f aca="false">IF(OR(BT83="",BU83=""),"",IF($F83="Maior Melhor",IF(BU83&gt;=BT83,"Sim","Não"),IF(BU83&lt;=BT83,"Sim","Não")))</f>
        <v/>
      </c>
      <c r="BX83" s="6"/>
      <c r="BY83" s="6"/>
      <c r="BZ83" s="4" t="str">
        <f aca="false">IF(OR(BX83="",BY83=""),"",IFERROR(IF($K83="%",BY83-BX83,BY83/BX83-1),""))</f>
        <v/>
      </c>
      <c r="CA83" s="5" t="str">
        <f aca="false">IF(OR(BX83="",BY83=""),"",IF($F83="Maior Melhor",IF(BY83&gt;=BX83,"Sim","Não"),IF(BY83&lt;=BX83,"Sim","Não")))</f>
        <v/>
      </c>
      <c r="CB83" s="6"/>
      <c r="CC83" s="6"/>
      <c r="CD83" s="4" t="str">
        <f aca="false">IF(OR(CB83="",CC83=""),"",IFERROR(IF($K83="%",CC83-CB83,CC83/CB83-1),""))</f>
        <v/>
      </c>
      <c r="CE83" s="5" t="str">
        <f aca="false">IF(OR(CB83="",CC83=""),"",IF($F83="Maior Melhor",IF(CC83&gt;=CB83,"Sim","Não"),IF(CC83&lt;=CB83,"Sim","Não")))</f>
        <v/>
      </c>
      <c r="CF83" s="6"/>
      <c r="CG83" s="6"/>
      <c r="CH83" s="4" t="str">
        <f aca="false">IF(OR(CF83="",CG83=""),"",IFERROR(IF($K83="%",CG83-CF83,CG83/CF83-1),""))</f>
        <v/>
      </c>
      <c r="CI83" s="5" t="str">
        <f aca="false">IF(OR(CF83="",CG83=""),"",IF($F83="Maior Melhor",IF(CG83&gt;=CF83,"Sim","Não"),IF(CG83&lt;=CF83,"Sim","Não")))</f>
        <v/>
      </c>
      <c r="CJ83" s="6"/>
      <c r="CK83" s="6"/>
      <c r="CL83" s="4" t="str">
        <f aca="false">IF(OR(CJ83="",CK83=""),"",IFERROR(IF($K83="%",CK83-CJ83,CK83/CJ83-1),""))</f>
        <v/>
      </c>
      <c r="CM83" s="5" t="str">
        <f aca="false">IF(OR(CJ83="",CK83=""),"",IF($F83="Maior Melhor",IF(CK83&gt;=CJ83,"Sim","Não"),IF(CK83&lt;=CJ83,"Sim","Não")))</f>
        <v/>
      </c>
      <c r="CN83" s="6"/>
      <c r="CO83" s="6"/>
      <c r="CP83" s="4" t="str">
        <f aca="false">IF(OR(CN83="",CO83=""),"",IFERROR(IF($K83="%",CO83-CN83,CO83/CN83-1),""))</f>
        <v/>
      </c>
      <c r="CQ83" s="5" t="str">
        <f aca="false">IF(OR(CN83="",CO83=""),"",IF($F83="Maior Melhor",IF(CO83&gt;=CN83,"Sim","Não"),IF(CO83&lt;=CN83,"Sim","Não")))</f>
        <v/>
      </c>
      <c r="CR83" s="2" t="s">
        <v>105</v>
      </c>
    </row>
    <row r="84" customFormat="false" ht="15" hidden="false" customHeight="false" outlineLevel="0" collapsed="false">
      <c r="A84" s="2" t="s">
        <v>151</v>
      </c>
      <c r="B84" s="2" t="s">
        <v>97</v>
      </c>
      <c r="C84" s="2" t="s">
        <v>122</v>
      </c>
      <c r="D84" s="2" t="s">
        <v>152</v>
      </c>
      <c r="E84" s="2" t="str">
        <f aca="false">C84&amp;D84</f>
        <v>UTD ITABERABACaptação de pastas - UTD</v>
      </c>
      <c r="F84" s="2" t="s">
        <v>100</v>
      </c>
      <c r="G84" s="2" t="s">
        <v>153</v>
      </c>
      <c r="H84" s="2" t="s">
        <v>102</v>
      </c>
      <c r="I84" s="2" t="s">
        <v>103</v>
      </c>
      <c r="J84" s="2" t="n">
        <v>3</v>
      </c>
      <c r="K84" s="2" t="s">
        <v>104</v>
      </c>
      <c r="L84" s="3" t="n">
        <v>0.9</v>
      </c>
      <c r="M84" s="3" t="n">
        <v>0</v>
      </c>
      <c r="N84" s="4" t="n">
        <f aca="false">IF(OR(L84="",M84=""),"",IFERROR(IF($K84="%",M84-L84,M84/L84-1),""))</f>
        <v>-0.9</v>
      </c>
      <c r="O84" s="5" t="str">
        <f aca="false">IF(OR(L84="",M84=""),"",IF($F84="Maior Melhor",IF(M84&gt;=L84,"Sim","Não"),IF(M84&lt;=L84,"Sim","Não")))</f>
        <v>Não</v>
      </c>
      <c r="P84" s="3" t="n">
        <v>0.9</v>
      </c>
      <c r="Q84" s="3" t="n">
        <v>0.4286</v>
      </c>
      <c r="R84" s="4" t="n">
        <f aca="false">IF(OR(P84="",Q84=""),"",IFERROR(IF($K84="%",Q84-P84,Q84/P84-1),""))</f>
        <v>-0.4714</v>
      </c>
      <c r="S84" s="5" t="str">
        <f aca="false">IF(OR(P84="",Q84=""),"",IF($F84="Maior Melhor",IF(Q84&gt;=P84,"Sim","Não"),IF(Q84&lt;=P84,"Sim","Não")))</f>
        <v>Não</v>
      </c>
      <c r="T84" s="3" t="n">
        <v>0.95</v>
      </c>
      <c r="U84" s="3" t="n">
        <v>1</v>
      </c>
      <c r="V84" s="4" t="n">
        <f aca="false">IF(OR(T84="",U84=""),"",IFERROR(IF($K84="%",U84-T84,U84/T84-1),""))</f>
        <v>0.05</v>
      </c>
      <c r="W84" s="5" t="str">
        <f aca="false">IF(OR(T84="",U84=""),"",IF($F84="Maior Melhor",IF(U84&gt;=T84,"Sim","Não"),IF(U84&lt;=T84,"Sim","Não")))</f>
        <v>Sim</v>
      </c>
      <c r="X84" s="3" t="n">
        <v>0.95</v>
      </c>
      <c r="Y84" s="3" t="n">
        <v>1</v>
      </c>
      <c r="Z84" s="4" t="n">
        <f aca="false">IF(OR(X84="",Y84=""),"",IFERROR(IF($K84="%",Y84-X84,Y84/X84-1),""))</f>
        <v>0.05</v>
      </c>
      <c r="AA84" s="5" t="str">
        <f aca="false">IF(OR(X84="",Y84=""),"",IF($F84="Maior Melhor",IF(Y84&gt;=X84,"Sim","Não"),IF(Y84&lt;=X84,"Sim","Não")))</f>
        <v>Sim</v>
      </c>
      <c r="AB84" s="3" t="n">
        <v>0.95</v>
      </c>
      <c r="AC84" s="3" t="n">
        <v>1</v>
      </c>
      <c r="AD84" s="4" t="n">
        <f aca="false">IF(OR(AB84="",AC84=""),"",IFERROR(IF($K84="%",AC84-AB84,AC84/AB84-1),""))</f>
        <v>0.05</v>
      </c>
      <c r="AE84" s="5" t="str">
        <f aca="false">IF(OR(AB84="",AC84=""),"",IF($F84="Maior Melhor",IF(AC84&gt;=AB84,"Sim","Não"),IF(AC84&lt;=AB84,"Sim","Não")))</f>
        <v>Sim</v>
      </c>
      <c r="AF84" s="3" t="n">
        <v>0.95</v>
      </c>
      <c r="AG84" s="3" t="n">
        <v>1</v>
      </c>
      <c r="AH84" s="4" t="n">
        <f aca="false">IF(OR(AF84="",AG84=""),"",IFERROR(IF($K84="%",AG84-AF84,AG84/AF84-1),""))</f>
        <v>0.05</v>
      </c>
      <c r="AI84" s="5" t="str">
        <f aca="false">IF(OR(AF84="",AG84=""),"",IF($F84="Maior Melhor",IF(AG84&gt;=AF84,"Sim","Não"),IF(AG84&lt;=AF84,"Sim","Não")))</f>
        <v>Sim</v>
      </c>
      <c r="AJ84" s="3" t="n">
        <v>0.95</v>
      </c>
      <c r="AK84" s="3" t="n">
        <v>1</v>
      </c>
      <c r="AL84" s="4" t="n">
        <f aca="false">IF(OR(AJ84="",AK84=""),"",IFERROR(IF($K84="%",AK84-AJ84,AK84/AJ84-1),""))</f>
        <v>0.05</v>
      </c>
      <c r="AM84" s="5" t="str">
        <f aca="false">IF(OR(AJ84="",AK84=""),"",IF($F84="Maior Melhor",IF(AK84&gt;=AJ84,"Sim","Não"),IF(AK84&lt;=AJ84,"Sim","Não")))</f>
        <v>Sim</v>
      </c>
      <c r="AN84" s="3" t="n">
        <v>0.95</v>
      </c>
      <c r="AO84" s="3" t="n">
        <v>1</v>
      </c>
      <c r="AP84" s="4" t="n">
        <f aca="false">IF(OR(AN84="",AO84=""),"",IFERROR(IF($K84="%",AO84-AN84,AO84/AN84-1),""))</f>
        <v>0.05</v>
      </c>
      <c r="AQ84" s="5" t="str">
        <f aca="false">IF(OR(AN84="",AO84=""),"",IF($F84="Maior Melhor",IF(AO84&gt;=AN84,"Sim","Não"),IF(AO84&lt;=AN84,"Sim","Não")))</f>
        <v>Sim</v>
      </c>
      <c r="AR84" s="3" t="n">
        <v>0.95</v>
      </c>
      <c r="AS84" s="3" t="n">
        <v>1</v>
      </c>
      <c r="AT84" s="4" t="n">
        <f aca="false">IF(OR(AR84="",AS84=""),"",IFERROR(IF($K84="%",AS84-AR84,AS84/AR84-1),""))</f>
        <v>0.05</v>
      </c>
      <c r="AU84" s="5" t="str">
        <f aca="false">IF(OR(AR84="",AS84=""),"",IF($F84="Maior Melhor",IF(AS84&gt;=AR84,"Sim","Não"),IF(AS84&lt;=AR84,"Sim","Não")))</f>
        <v>Sim</v>
      </c>
      <c r="AV84" s="3" t="n">
        <v>0.95</v>
      </c>
      <c r="AW84" s="3" t="n">
        <v>1</v>
      </c>
      <c r="AX84" s="4" t="n">
        <f aca="false">IF(OR(AV84="",AW84=""),"",IFERROR(IF($K84="%",AW84-AV84,AW84/AV84-1),""))</f>
        <v>0.05</v>
      </c>
      <c r="AY84" s="5" t="str">
        <f aca="false">IF(OR(AV84="",AW84=""),"",IF($F84="Maior Melhor",IF(AW84&gt;=AV84,"Sim","Não"),IF(AW84&lt;=AV84,"Sim","Não")))</f>
        <v>Sim</v>
      </c>
      <c r="AZ84" s="3" t="n">
        <v>0.95</v>
      </c>
      <c r="BA84" s="3" t="n">
        <v>1</v>
      </c>
      <c r="BB84" s="4" t="n">
        <f aca="false">IF(OR(AZ84="",BA84=""),"",IFERROR(IF($K84="%",BA84-AZ84,BA84/AZ84-1),""))</f>
        <v>0.05</v>
      </c>
      <c r="BC84" s="5" t="str">
        <f aca="false">IF(OR(AZ84="",BA84=""),"",IF($F84="Maior Melhor",IF(BA84&gt;=AZ84,"Sim","Não"),IF(BA84&lt;=AZ84,"Sim","Não")))</f>
        <v>Sim</v>
      </c>
      <c r="BD84" s="3" t="n">
        <v>0.95</v>
      </c>
      <c r="BE84" s="3" t="n">
        <v>1</v>
      </c>
      <c r="BF84" s="4" t="n">
        <f aca="false">IF(OR(BD84="",BE84=""),"",IFERROR(IF($K84="%",BE84-BD84,BE84/BD84-1),""))</f>
        <v>0.05</v>
      </c>
      <c r="BG84" s="5" t="str">
        <f aca="false">IF(OR(BD84="",BE84=""),"",IF($F84="Maior Melhor",IF(BE84&gt;=BD84,"Sim","Não"),IF(BE84&lt;=BD84,"Sim","Não")))</f>
        <v>Sim</v>
      </c>
      <c r="BH84" s="3" t="n">
        <v>0.95</v>
      </c>
      <c r="BI84" s="3" t="n">
        <v>1</v>
      </c>
      <c r="BJ84" s="4" t="n">
        <f aca="false">IF(OR(BH84="",BI84=""),"",IFERROR(IF($K84="%",BI84-BH84,BI84/BH84-1),""))</f>
        <v>0.05</v>
      </c>
      <c r="BK84" s="5" t="str">
        <f aca="false">IF(OR(BH84="",BI84=""),"",IF($F84="Maior Melhor",IF(BI84&gt;=BH84,"Sim","Não"),IF(BI84&lt;=BH84,"Sim","Não")))</f>
        <v>Sim</v>
      </c>
      <c r="BL84" s="6"/>
      <c r="BM84" s="6"/>
      <c r="BN84" s="4" t="str">
        <f aca="false">IF(OR(BL84="",BM84=""),"",IFERROR(IF($K84="%",BM84-BL84,BM84/BL84-1),""))</f>
        <v/>
      </c>
      <c r="BO84" s="5" t="str">
        <f aca="false">IF(OR(BL84="",BM84=""),"",IF($F84="Maior Melhor",IF(BM84&gt;=BL84,"Sim","Não"),IF(BM84&lt;=BL84,"Sim","Não")))</f>
        <v/>
      </c>
      <c r="BP84" s="6"/>
      <c r="BQ84" s="6"/>
      <c r="BR84" s="4" t="str">
        <f aca="false">IF(OR(BP84="",BQ84=""),"",IFERROR(IF($K84="%",BQ84-BP84,BQ84/BP84-1),""))</f>
        <v/>
      </c>
      <c r="BS84" s="5" t="str">
        <f aca="false">IF(OR(BP84="",BQ84=""),"",IF($F84="Maior Melhor",IF(BQ84&gt;=BP84,"Sim","Não"),IF(BQ84&lt;=BP84,"Sim","Não")))</f>
        <v/>
      </c>
      <c r="BT84" s="6"/>
      <c r="BU84" s="6"/>
      <c r="BV84" s="4" t="str">
        <f aca="false">IF(OR(BT84="",BU84=""),"",IFERROR(IF($K84="%",BU84-BT84,BU84/BT84-1),""))</f>
        <v/>
      </c>
      <c r="BW84" s="5" t="str">
        <f aca="false">IF(OR(BT84="",BU84=""),"",IF($F84="Maior Melhor",IF(BU84&gt;=BT84,"Sim","Não"),IF(BU84&lt;=BT84,"Sim","Não")))</f>
        <v/>
      </c>
      <c r="BX84" s="6"/>
      <c r="BY84" s="6"/>
      <c r="BZ84" s="4" t="str">
        <f aca="false">IF(OR(BX84="",BY84=""),"",IFERROR(IF($K84="%",BY84-BX84,BY84/BX84-1),""))</f>
        <v/>
      </c>
      <c r="CA84" s="5" t="str">
        <f aca="false">IF(OR(BX84="",BY84=""),"",IF($F84="Maior Melhor",IF(BY84&gt;=BX84,"Sim","Não"),IF(BY84&lt;=BX84,"Sim","Não")))</f>
        <v/>
      </c>
      <c r="CB84" s="6"/>
      <c r="CC84" s="6"/>
      <c r="CD84" s="4" t="str">
        <f aca="false">IF(OR(CB84="",CC84=""),"",IFERROR(IF($K84="%",CC84-CB84,CC84/CB84-1),""))</f>
        <v/>
      </c>
      <c r="CE84" s="5" t="str">
        <f aca="false">IF(OR(CB84="",CC84=""),"",IF($F84="Maior Melhor",IF(CC84&gt;=CB84,"Sim","Não"),IF(CC84&lt;=CB84,"Sim","Não")))</f>
        <v/>
      </c>
      <c r="CF84" s="6"/>
      <c r="CG84" s="6"/>
      <c r="CH84" s="4" t="str">
        <f aca="false">IF(OR(CF84="",CG84=""),"",IFERROR(IF($K84="%",CG84-CF84,CG84/CF84-1),""))</f>
        <v/>
      </c>
      <c r="CI84" s="5" t="str">
        <f aca="false">IF(OR(CF84="",CG84=""),"",IF($F84="Maior Melhor",IF(CG84&gt;=CF84,"Sim","Não"),IF(CG84&lt;=CF84,"Sim","Não")))</f>
        <v/>
      </c>
      <c r="CJ84" s="6"/>
      <c r="CK84" s="6"/>
      <c r="CL84" s="4" t="str">
        <f aca="false">IF(OR(CJ84="",CK84=""),"",IFERROR(IF($K84="%",CK84-CJ84,CK84/CJ84-1),""))</f>
        <v/>
      </c>
      <c r="CM84" s="5" t="str">
        <f aca="false">IF(OR(CJ84="",CK84=""),"",IF($F84="Maior Melhor",IF(CK84&gt;=CJ84,"Sim","Não"),IF(CK84&lt;=CJ84,"Sim","Não")))</f>
        <v/>
      </c>
      <c r="CN84" s="6"/>
      <c r="CO84" s="6"/>
      <c r="CP84" s="4" t="str">
        <f aca="false">IF(OR(CN84="",CO84=""),"",IFERROR(IF($K84="%",CO84-CN84,CO84/CN84-1),""))</f>
        <v/>
      </c>
      <c r="CQ84" s="5" t="str">
        <f aca="false">IF(OR(CN84="",CO84=""),"",IF($F84="Maior Melhor",IF(CO84&gt;=CN84,"Sim","Não"),IF(CO84&lt;=CN84,"Sim","Não")))</f>
        <v/>
      </c>
      <c r="CR84" s="2" t="s">
        <v>135</v>
      </c>
    </row>
    <row r="85" customFormat="false" ht="15" hidden="false" customHeight="false" outlineLevel="0" collapsed="false">
      <c r="A85" s="2" t="s">
        <v>151</v>
      </c>
      <c r="B85" s="2" t="s">
        <v>108</v>
      </c>
      <c r="C85" s="2" t="s">
        <v>124</v>
      </c>
      <c r="D85" s="2" t="s">
        <v>152</v>
      </c>
      <c r="E85" s="2" t="str">
        <f aca="false">C85&amp;D85</f>
        <v>UTD ITAPETINGACaptação de pastas - UTD</v>
      </c>
      <c r="F85" s="2" t="s">
        <v>100</v>
      </c>
      <c r="G85" s="2" t="s">
        <v>153</v>
      </c>
      <c r="H85" s="2" t="s">
        <v>102</v>
      </c>
      <c r="I85" s="2" t="s">
        <v>103</v>
      </c>
      <c r="J85" s="2" t="n">
        <v>3</v>
      </c>
      <c r="K85" s="2" t="s">
        <v>104</v>
      </c>
      <c r="L85" s="3" t="n">
        <v>0.9</v>
      </c>
      <c r="M85" s="3" t="n">
        <v>0</v>
      </c>
      <c r="N85" s="4" t="n">
        <f aca="false">IF(OR(L85="",M85=""),"",IFERROR(IF($K85="%",M85-L85,M85/L85-1),""))</f>
        <v>-0.9</v>
      </c>
      <c r="O85" s="5" t="str">
        <f aca="false">IF(OR(L85="",M85=""),"",IF($F85="Maior Melhor",IF(M85&gt;=L85,"Sim","Não"),IF(M85&lt;=L85,"Sim","Não")))</f>
        <v>Não</v>
      </c>
      <c r="P85" s="3" t="n">
        <v>0.9</v>
      </c>
      <c r="Q85" s="3" t="n">
        <v>0</v>
      </c>
      <c r="R85" s="4" t="n">
        <f aca="false">IF(OR(P85="",Q85=""),"",IFERROR(IF($K85="%",Q85-P85,Q85/P85-1),""))</f>
        <v>-0.9</v>
      </c>
      <c r="S85" s="5" t="str">
        <f aca="false">IF(OR(P85="",Q85=""),"",IF($F85="Maior Melhor",IF(Q85&gt;=P85,"Sim","Não"),IF(Q85&lt;=P85,"Sim","Não")))</f>
        <v>Não</v>
      </c>
      <c r="T85" s="3" t="n">
        <v>0.95</v>
      </c>
      <c r="U85" s="3" t="n">
        <v>1</v>
      </c>
      <c r="V85" s="4" t="n">
        <f aca="false">IF(OR(T85="",U85=""),"",IFERROR(IF($K85="%",U85-T85,U85/T85-1),""))</f>
        <v>0.05</v>
      </c>
      <c r="W85" s="5" t="str">
        <f aca="false">IF(OR(T85="",U85=""),"",IF($F85="Maior Melhor",IF(U85&gt;=T85,"Sim","Não"),IF(U85&lt;=T85,"Sim","Não")))</f>
        <v>Sim</v>
      </c>
      <c r="X85" s="3" t="n">
        <v>0.95</v>
      </c>
      <c r="Y85" s="3" t="n">
        <v>1</v>
      </c>
      <c r="Z85" s="4" t="n">
        <f aca="false">IF(OR(X85="",Y85=""),"",IFERROR(IF($K85="%",Y85-X85,Y85/X85-1),""))</f>
        <v>0.05</v>
      </c>
      <c r="AA85" s="5" t="str">
        <f aca="false">IF(OR(X85="",Y85=""),"",IF($F85="Maior Melhor",IF(Y85&gt;=X85,"Sim","Não"),IF(Y85&lt;=X85,"Sim","Não")))</f>
        <v>Sim</v>
      </c>
      <c r="AB85" s="3" t="n">
        <v>0.95</v>
      </c>
      <c r="AC85" s="3" t="n">
        <v>1</v>
      </c>
      <c r="AD85" s="4" t="n">
        <f aca="false">IF(OR(AB85="",AC85=""),"",IFERROR(IF($K85="%",AC85-AB85,AC85/AB85-1),""))</f>
        <v>0.05</v>
      </c>
      <c r="AE85" s="5" t="str">
        <f aca="false">IF(OR(AB85="",AC85=""),"",IF($F85="Maior Melhor",IF(AC85&gt;=AB85,"Sim","Não"),IF(AC85&lt;=AB85,"Sim","Não")))</f>
        <v>Sim</v>
      </c>
      <c r="AF85" s="3" t="n">
        <v>0.95</v>
      </c>
      <c r="AG85" s="3" t="n">
        <v>1</v>
      </c>
      <c r="AH85" s="4" t="n">
        <f aca="false">IF(OR(AF85="",AG85=""),"",IFERROR(IF($K85="%",AG85-AF85,AG85/AF85-1),""))</f>
        <v>0.05</v>
      </c>
      <c r="AI85" s="5" t="str">
        <f aca="false">IF(OR(AF85="",AG85=""),"",IF($F85="Maior Melhor",IF(AG85&gt;=AF85,"Sim","Não"),IF(AG85&lt;=AF85,"Sim","Não")))</f>
        <v>Sim</v>
      </c>
      <c r="AJ85" s="3" t="n">
        <v>0.95</v>
      </c>
      <c r="AK85" s="3" t="n">
        <v>1</v>
      </c>
      <c r="AL85" s="4" t="n">
        <f aca="false">IF(OR(AJ85="",AK85=""),"",IFERROR(IF($K85="%",AK85-AJ85,AK85/AJ85-1),""))</f>
        <v>0.05</v>
      </c>
      <c r="AM85" s="5" t="str">
        <f aca="false">IF(OR(AJ85="",AK85=""),"",IF($F85="Maior Melhor",IF(AK85&gt;=AJ85,"Sim","Não"),IF(AK85&lt;=AJ85,"Sim","Não")))</f>
        <v>Sim</v>
      </c>
      <c r="AN85" s="3" t="n">
        <v>0.95</v>
      </c>
      <c r="AO85" s="3" t="n">
        <v>1</v>
      </c>
      <c r="AP85" s="4" t="n">
        <f aca="false">IF(OR(AN85="",AO85=""),"",IFERROR(IF($K85="%",AO85-AN85,AO85/AN85-1),""))</f>
        <v>0.05</v>
      </c>
      <c r="AQ85" s="5" t="str">
        <f aca="false">IF(OR(AN85="",AO85=""),"",IF($F85="Maior Melhor",IF(AO85&gt;=AN85,"Sim","Não"),IF(AO85&lt;=AN85,"Sim","Não")))</f>
        <v>Sim</v>
      </c>
      <c r="AR85" s="3" t="n">
        <v>0.95</v>
      </c>
      <c r="AS85" s="3" t="n">
        <v>1</v>
      </c>
      <c r="AT85" s="4" t="n">
        <f aca="false">IF(OR(AR85="",AS85=""),"",IFERROR(IF($K85="%",AS85-AR85,AS85/AR85-1),""))</f>
        <v>0.05</v>
      </c>
      <c r="AU85" s="5" t="str">
        <f aca="false">IF(OR(AR85="",AS85=""),"",IF($F85="Maior Melhor",IF(AS85&gt;=AR85,"Sim","Não"),IF(AS85&lt;=AR85,"Sim","Não")))</f>
        <v>Sim</v>
      </c>
      <c r="AV85" s="3" t="n">
        <v>0.95</v>
      </c>
      <c r="AW85" s="3" t="n">
        <v>1</v>
      </c>
      <c r="AX85" s="4" t="n">
        <f aca="false">IF(OR(AV85="",AW85=""),"",IFERROR(IF($K85="%",AW85-AV85,AW85/AV85-1),""))</f>
        <v>0.05</v>
      </c>
      <c r="AY85" s="5" t="str">
        <f aca="false">IF(OR(AV85="",AW85=""),"",IF($F85="Maior Melhor",IF(AW85&gt;=AV85,"Sim","Não"),IF(AW85&lt;=AV85,"Sim","Não")))</f>
        <v>Sim</v>
      </c>
      <c r="AZ85" s="3" t="n">
        <v>0.95</v>
      </c>
      <c r="BA85" s="3" t="n">
        <v>1</v>
      </c>
      <c r="BB85" s="4" t="n">
        <f aca="false">IF(OR(AZ85="",BA85=""),"",IFERROR(IF($K85="%",BA85-AZ85,BA85/AZ85-1),""))</f>
        <v>0.05</v>
      </c>
      <c r="BC85" s="5" t="str">
        <f aca="false">IF(OR(AZ85="",BA85=""),"",IF($F85="Maior Melhor",IF(BA85&gt;=AZ85,"Sim","Não"),IF(BA85&lt;=AZ85,"Sim","Não")))</f>
        <v>Sim</v>
      </c>
      <c r="BD85" s="3" t="n">
        <v>0.95</v>
      </c>
      <c r="BE85" s="3" t="n">
        <v>1</v>
      </c>
      <c r="BF85" s="4" t="n">
        <f aca="false">IF(OR(BD85="",BE85=""),"",IFERROR(IF($K85="%",BE85-BD85,BE85/BD85-1),""))</f>
        <v>0.05</v>
      </c>
      <c r="BG85" s="5" t="str">
        <f aca="false">IF(OR(BD85="",BE85=""),"",IF($F85="Maior Melhor",IF(BE85&gt;=BD85,"Sim","Não"),IF(BE85&lt;=BD85,"Sim","Não")))</f>
        <v>Sim</v>
      </c>
      <c r="BH85" s="3" t="n">
        <v>0.95</v>
      </c>
      <c r="BI85" s="3" t="n">
        <v>1</v>
      </c>
      <c r="BJ85" s="4" t="n">
        <f aca="false">IF(OR(BH85="",BI85=""),"",IFERROR(IF($K85="%",BI85-BH85,BI85/BH85-1),""))</f>
        <v>0.05</v>
      </c>
      <c r="BK85" s="5" t="str">
        <f aca="false">IF(OR(BH85="",BI85=""),"",IF($F85="Maior Melhor",IF(BI85&gt;=BH85,"Sim","Não"),IF(BI85&lt;=BH85,"Sim","Não")))</f>
        <v>Sim</v>
      </c>
      <c r="BL85" s="6"/>
      <c r="BM85" s="6"/>
      <c r="BN85" s="4" t="str">
        <f aca="false">IF(OR(BL85="",BM85=""),"",IFERROR(IF($K85="%",BM85-BL85,BM85/BL85-1),""))</f>
        <v/>
      </c>
      <c r="BO85" s="5" t="str">
        <f aca="false">IF(OR(BL85="",BM85=""),"",IF($F85="Maior Melhor",IF(BM85&gt;=BL85,"Sim","Não"),IF(BM85&lt;=BL85,"Sim","Não")))</f>
        <v/>
      </c>
      <c r="BP85" s="6"/>
      <c r="BQ85" s="6"/>
      <c r="BR85" s="4" t="str">
        <f aca="false">IF(OR(BP85="",BQ85=""),"",IFERROR(IF($K85="%",BQ85-BP85,BQ85/BP85-1),""))</f>
        <v/>
      </c>
      <c r="BS85" s="5" t="str">
        <f aca="false">IF(OR(BP85="",BQ85=""),"",IF($F85="Maior Melhor",IF(BQ85&gt;=BP85,"Sim","Não"),IF(BQ85&lt;=BP85,"Sim","Não")))</f>
        <v/>
      </c>
      <c r="BT85" s="6"/>
      <c r="BU85" s="6"/>
      <c r="BV85" s="4" t="str">
        <f aca="false">IF(OR(BT85="",BU85=""),"",IFERROR(IF($K85="%",BU85-BT85,BU85/BT85-1),""))</f>
        <v/>
      </c>
      <c r="BW85" s="5" t="str">
        <f aca="false">IF(OR(BT85="",BU85=""),"",IF($F85="Maior Melhor",IF(BU85&gt;=BT85,"Sim","Não"),IF(BU85&lt;=BT85,"Sim","Não")))</f>
        <v/>
      </c>
      <c r="BX85" s="6"/>
      <c r="BY85" s="6"/>
      <c r="BZ85" s="4" t="str">
        <f aca="false">IF(OR(BX85="",BY85=""),"",IFERROR(IF($K85="%",BY85-BX85,BY85/BX85-1),""))</f>
        <v/>
      </c>
      <c r="CA85" s="5" t="str">
        <f aca="false">IF(OR(BX85="",BY85=""),"",IF($F85="Maior Melhor",IF(BY85&gt;=BX85,"Sim","Não"),IF(BY85&lt;=BX85,"Sim","Não")))</f>
        <v/>
      </c>
      <c r="CB85" s="6"/>
      <c r="CC85" s="6"/>
      <c r="CD85" s="4" t="str">
        <f aca="false">IF(OR(CB85="",CC85=""),"",IFERROR(IF($K85="%",CC85-CB85,CC85/CB85-1),""))</f>
        <v/>
      </c>
      <c r="CE85" s="5" t="str">
        <f aca="false">IF(OR(CB85="",CC85=""),"",IF($F85="Maior Melhor",IF(CC85&gt;=CB85,"Sim","Não"),IF(CC85&lt;=CB85,"Sim","Não")))</f>
        <v/>
      </c>
      <c r="CF85" s="6"/>
      <c r="CG85" s="6"/>
      <c r="CH85" s="4" t="str">
        <f aca="false">IF(OR(CF85="",CG85=""),"",IFERROR(IF($K85="%",CG85-CF85,CG85/CF85-1),""))</f>
        <v/>
      </c>
      <c r="CI85" s="5" t="str">
        <f aca="false">IF(OR(CF85="",CG85=""),"",IF($F85="Maior Melhor",IF(CG85&gt;=CF85,"Sim","Não"),IF(CG85&lt;=CF85,"Sim","Não")))</f>
        <v/>
      </c>
      <c r="CJ85" s="6"/>
      <c r="CK85" s="6"/>
      <c r="CL85" s="4" t="str">
        <f aca="false">IF(OR(CJ85="",CK85=""),"",IFERROR(IF($K85="%",CK85-CJ85,CK85/CJ85-1),""))</f>
        <v/>
      </c>
      <c r="CM85" s="5" t="str">
        <f aca="false">IF(OR(CJ85="",CK85=""),"",IF($F85="Maior Melhor",IF(CK85&gt;=CJ85,"Sim","Não"),IF(CK85&lt;=CJ85,"Sim","Não")))</f>
        <v/>
      </c>
      <c r="CN85" s="6"/>
      <c r="CO85" s="6"/>
      <c r="CP85" s="4" t="str">
        <f aca="false">IF(OR(CN85="",CO85=""),"",IFERROR(IF($K85="%",CO85-CN85,CO85/CN85-1),""))</f>
        <v/>
      </c>
      <c r="CQ85" s="5" t="str">
        <f aca="false">IF(OR(CN85="",CO85=""),"",IF($F85="Maior Melhor",IF(CO85&gt;=CN85,"Sim","Não"),IF(CO85&lt;=CN85,"Sim","Não")))</f>
        <v/>
      </c>
      <c r="CR85" s="2" t="s">
        <v>105</v>
      </c>
    </row>
    <row r="86" customFormat="false" ht="15" hidden="false" customHeight="false" outlineLevel="0" collapsed="false">
      <c r="A86" s="2" t="s">
        <v>151</v>
      </c>
      <c r="B86" s="2" t="s">
        <v>97</v>
      </c>
      <c r="C86" s="2" t="s">
        <v>125</v>
      </c>
      <c r="D86" s="2" t="s">
        <v>152</v>
      </c>
      <c r="E86" s="2" t="str">
        <f aca="false">C86&amp;D86</f>
        <v>UTD JEQUIÉCaptação de pastas - UTD</v>
      </c>
      <c r="F86" s="2" t="s">
        <v>100</v>
      </c>
      <c r="G86" s="2" t="s">
        <v>153</v>
      </c>
      <c r="H86" s="2" t="s">
        <v>102</v>
      </c>
      <c r="I86" s="2" t="s">
        <v>103</v>
      </c>
      <c r="J86" s="2" t="n">
        <v>3</v>
      </c>
      <c r="K86" s="2" t="s">
        <v>104</v>
      </c>
      <c r="L86" s="3" t="n">
        <v>0.9</v>
      </c>
      <c r="M86" s="3" t="n">
        <v>0</v>
      </c>
      <c r="N86" s="4" t="n">
        <f aca="false">IF(OR(L86="",M86=""),"",IFERROR(IF($K86="%",M86-L86,M86/L86-1),""))</f>
        <v>-0.9</v>
      </c>
      <c r="O86" s="5" t="str">
        <f aca="false">IF(OR(L86="",M86=""),"",IF($F86="Maior Melhor",IF(M86&gt;=L86,"Sim","Não"),IF(M86&lt;=L86,"Sim","Não")))</f>
        <v>Não</v>
      </c>
      <c r="P86" s="3" t="n">
        <v>0.9</v>
      </c>
      <c r="Q86" s="3" t="n">
        <v>0.4</v>
      </c>
      <c r="R86" s="4" t="n">
        <f aca="false">IF(OR(P86="",Q86=""),"",IFERROR(IF($K86="%",Q86-P86,Q86/P86-1),""))</f>
        <v>-0.5</v>
      </c>
      <c r="S86" s="5" t="str">
        <f aca="false">IF(OR(P86="",Q86=""),"",IF($F86="Maior Melhor",IF(Q86&gt;=P86,"Sim","Não"),IF(Q86&lt;=P86,"Sim","Não")))</f>
        <v>Não</v>
      </c>
      <c r="T86" s="3" t="n">
        <v>0.95</v>
      </c>
      <c r="U86" s="3" t="n">
        <v>1</v>
      </c>
      <c r="V86" s="4" t="n">
        <f aca="false">IF(OR(T86="",U86=""),"",IFERROR(IF($K86="%",U86-T86,U86/T86-1),""))</f>
        <v>0.05</v>
      </c>
      <c r="W86" s="5" t="str">
        <f aca="false">IF(OR(T86="",U86=""),"",IF($F86="Maior Melhor",IF(U86&gt;=T86,"Sim","Não"),IF(U86&lt;=T86,"Sim","Não")))</f>
        <v>Sim</v>
      </c>
      <c r="X86" s="3" t="n">
        <v>0.95</v>
      </c>
      <c r="Y86" s="3" t="n">
        <v>1</v>
      </c>
      <c r="Z86" s="4" t="n">
        <f aca="false">IF(OR(X86="",Y86=""),"",IFERROR(IF($K86="%",Y86-X86,Y86/X86-1),""))</f>
        <v>0.05</v>
      </c>
      <c r="AA86" s="5" t="str">
        <f aca="false">IF(OR(X86="",Y86=""),"",IF($F86="Maior Melhor",IF(Y86&gt;=X86,"Sim","Não"),IF(Y86&lt;=X86,"Sim","Não")))</f>
        <v>Sim</v>
      </c>
      <c r="AB86" s="3" t="n">
        <v>0.95</v>
      </c>
      <c r="AC86" s="3" t="n">
        <v>1</v>
      </c>
      <c r="AD86" s="4" t="n">
        <f aca="false">IF(OR(AB86="",AC86=""),"",IFERROR(IF($K86="%",AC86-AB86,AC86/AB86-1),""))</f>
        <v>0.05</v>
      </c>
      <c r="AE86" s="5" t="str">
        <f aca="false">IF(OR(AB86="",AC86=""),"",IF($F86="Maior Melhor",IF(AC86&gt;=AB86,"Sim","Não"),IF(AC86&lt;=AB86,"Sim","Não")))</f>
        <v>Sim</v>
      </c>
      <c r="AF86" s="3" t="n">
        <v>0.95</v>
      </c>
      <c r="AG86" s="3" t="n">
        <v>1</v>
      </c>
      <c r="AH86" s="4" t="n">
        <f aca="false">IF(OR(AF86="",AG86=""),"",IFERROR(IF($K86="%",AG86-AF86,AG86/AF86-1),""))</f>
        <v>0.05</v>
      </c>
      <c r="AI86" s="5" t="str">
        <f aca="false">IF(OR(AF86="",AG86=""),"",IF($F86="Maior Melhor",IF(AG86&gt;=AF86,"Sim","Não"),IF(AG86&lt;=AF86,"Sim","Não")))</f>
        <v>Sim</v>
      </c>
      <c r="AJ86" s="3" t="n">
        <v>0.95</v>
      </c>
      <c r="AK86" s="3" t="n">
        <v>1</v>
      </c>
      <c r="AL86" s="4" t="n">
        <f aca="false">IF(OR(AJ86="",AK86=""),"",IFERROR(IF($K86="%",AK86-AJ86,AK86/AJ86-1),""))</f>
        <v>0.05</v>
      </c>
      <c r="AM86" s="5" t="str">
        <f aca="false">IF(OR(AJ86="",AK86=""),"",IF($F86="Maior Melhor",IF(AK86&gt;=AJ86,"Sim","Não"),IF(AK86&lt;=AJ86,"Sim","Não")))</f>
        <v>Sim</v>
      </c>
      <c r="AN86" s="3" t="n">
        <v>0.95</v>
      </c>
      <c r="AO86" s="3" t="n">
        <v>0.666666667</v>
      </c>
      <c r="AP86" s="4" t="n">
        <f aca="false">IF(OR(AN86="",AO86=""),"",IFERROR(IF($K86="%",AO86-AN86,AO86/AN86-1),""))</f>
        <v>-0.283333333</v>
      </c>
      <c r="AQ86" s="5" t="str">
        <f aca="false">IF(OR(AN86="",AO86=""),"",IF($F86="Maior Melhor",IF(AO86&gt;=AN86,"Sim","Não"),IF(AO86&lt;=AN86,"Sim","Não")))</f>
        <v>Não</v>
      </c>
      <c r="AR86" s="3" t="n">
        <v>0.95</v>
      </c>
      <c r="AS86" s="3" t="n">
        <v>0.909090909</v>
      </c>
      <c r="AT86" s="4" t="n">
        <f aca="false">IF(OR(AR86="",AS86=""),"",IFERROR(IF($K86="%",AS86-AR86,AS86/AR86-1),""))</f>
        <v>-0.040909091</v>
      </c>
      <c r="AU86" s="5" t="str">
        <f aca="false">IF(OR(AR86="",AS86=""),"",IF($F86="Maior Melhor",IF(AS86&gt;=AR86,"Sim","Não"),IF(AS86&lt;=AR86,"Sim","Não")))</f>
        <v>Não</v>
      </c>
      <c r="AV86" s="3" t="n">
        <v>0.95</v>
      </c>
      <c r="AW86" s="3" t="n">
        <v>1</v>
      </c>
      <c r="AX86" s="4" t="n">
        <f aca="false">IF(OR(AV86="",AW86=""),"",IFERROR(IF($K86="%",AW86-AV86,AW86/AV86-1),""))</f>
        <v>0.05</v>
      </c>
      <c r="AY86" s="5" t="str">
        <f aca="false">IF(OR(AV86="",AW86=""),"",IF($F86="Maior Melhor",IF(AW86&gt;=AV86,"Sim","Não"),IF(AW86&lt;=AV86,"Sim","Não")))</f>
        <v>Sim</v>
      </c>
      <c r="AZ86" s="3" t="n">
        <v>0.95</v>
      </c>
      <c r="BA86" s="3" t="n">
        <v>0.923076923</v>
      </c>
      <c r="BB86" s="4" t="n">
        <f aca="false">IF(OR(AZ86="",BA86=""),"",IFERROR(IF($K86="%",BA86-AZ86,BA86/AZ86-1),""))</f>
        <v>-0.026923077</v>
      </c>
      <c r="BC86" s="5" t="str">
        <f aca="false">IF(OR(AZ86="",BA86=""),"",IF($F86="Maior Melhor",IF(BA86&gt;=AZ86,"Sim","Não"),IF(BA86&lt;=AZ86,"Sim","Não")))</f>
        <v>Não</v>
      </c>
      <c r="BD86" s="3" t="n">
        <v>0.95</v>
      </c>
      <c r="BE86" s="3" t="n">
        <v>1</v>
      </c>
      <c r="BF86" s="4" t="n">
        <f aca="false">IF(OR(BD86="",BE86=""),"",IFERROR(IF($K86="%",BE86-BD86,BE86/BD86-1),""))</f>
        <v>0.05</v>
      </c>
      <c r="BG86" s="5" t="str">
        <f aca="false">IF(OR(BD86="",BE86=""),"",IF($F86="Maior Melhor",IF(BE86&gt;=BD86,"Sim","Não"),IF(BE86&lt;=BD86,"Sim","Não")))</f>
        <v>Sim</v>
      </c>
      <c r="BH86" s="3" t="n">
        <v>0.95</v>
      </c>
      <c r="BI86" s="3" t="n">
        <v>0.933333333</v>
      </c>
      <c r="BJ86" s="4" t="n">
        <f aca="false">IF(OR(BH86="",BI86=""),"",IFERROR(IF($K86="%",BI86-BH86,BI86/BH86-1),""))</f>
        <v>-0.016666667</v>
      </c>
      <c r="BK86" s="5" t="str">
        <f aca="false">IF(OR(BH86="",BI86=""),"",IF($F86="Maior Melhor",IF(BI86&gt;=BH86,"Sim","Não"),IF(BI86&lt;=BH86,"Sim","Não")))</f>
        <v>Não</v>
      </c>
      <c r="BL86" s="6"/>
      <c r="BM86" s="6"/>
      <c r="BN86" s="4" t="str">
        <f aca="false">IF(OR(BL86="",BM86=""),"",IFERROR(IF($K86="%",BM86-BL86,BM86/BL86-1),""))</f>
        <v/>
      </c>
      <c r="BO86" s="5" t="str">
        <f aca="false">IF(OR(BL86="",BM86=""),"",IF($F86="Maior Melhor",IF(BM86&gt;=BL86,"Sim","Não"),IF(BM86&lt;=BL86,"Sim","Não")))</f>
        <v/>
      </c>
      <c r="BP86" s="6"/>
      <c r="BQ86" s="6"/>
      <c r="BR86" s="4" t="str">
        <f aca="false">IF(OR(BP86="",BQ86=""),"",IFERROR(IF($K86="%",BQ86-BP86,BQ86/BP86-1),""))</f>
        <v/>
      </c>
      <c r="BS86" s="5" t="str">
        <f aca="false">IF(OR(BP86="",BQ86=""),"",IF($F86="Maior Melhor",IF(BQ86&gt;=BP86,"Sim","Não"),IF(BQ86&lt;=BP86,"Sim","Não")))</f>
        <v/>
      </c>
      <c r="BT86" s="6"/>
      <c r="BU86" s="6"/>
      <c r="BV86" s="4" t="str">
        <f aca="false">IF(OR(BT86="",BU86=""),"",IFERROR(IF($K86="%",BU86-BT86,BU86/BT86-1),""))</f>
        <v/>
      </c>
      <c r="BW86" s="5" t="str">
        <f aca="false">IF(OR(BT86="",BU86=""),"",IF($F86="Maior Melhor",IF(BU86&gt;=BT86,"Sim","Não"),IF(BU86&lt;=BT86,"Sim","Não")))</f>
        <v/>
      </c>
      <c r="BX86" s="6"/>
      <c r="BY86" s="6"/>
      <c r="BZ86" s="4" t="str">
        <f aca="false">IF(OR(BX86="",BY86=""),"",IFERROR(IF($K86="%",BY86-BX86,BY86/BX86-1),""))</f>
        <v/>
      </c>
      <c r="CA86" s="5" t="str">
        <f aca="false">IF(OR(BX86="",BY86=""),"",IF($F86="Maior Melhor",IF(BY86&gt;=BX86,"Sim","Não"),IF(BY86&lt;=BX86,"Sim","Não")))</f>
        <v/>
      </c>
      <c r="CB86" s="6"/>
      <c r="CC86" s="6"/>
      <c r="CD86" s="4" t="str">
        <f aca="false">IF(OR(CB86="",CC86=""),"",IFERROR(IF($K86="%",CC86-CB86,CC86/CB86-1),""))</f>
        <v/>
      </c>
      <c r="CE86" s="5" t="str">
        <f aca="false">IF(OR(CB86="",CC86=""),"",IF($F86="Maior Melhor",IF(CC86&gt;=CB86,"Sim","Não"),IF(CC86&lt;=CB86,"Sim","Não")))</f>
        <v/>
      </c>
      <c r="CF86" s="6"/>
      <c r="CG86" s="6"/>
      <c r="CH86" s="4" t="str">
        <f aca="false">IF(OR(CF86="",CG86=""),"",IFERROR(IF($K86="%",CG86-CF86,CG86/CF86-1),""))</f>
        <v/>
      </c>
      <c r="CI86" s="5" t="str">
        <f aca="false">IF(OR(CF86="",CG86=""),"",IF($F86="Maior Melhor",IF(CG86&gt;=CF86,"Sim","Não"),IF(CG86&lt;=CF86,"Sim","Não")))</f>
        <v/>
      </c>
      <c r="CJ86" s="6"/>
      <c r="CK86" s="6"/>
      <c r="CL86" s="4" t="str">
        <f aca="false">IF(OR(CJ86="",CK86=""),"",IFERROR(IF($K86="%",CK86-CJ86,CK86/CJ86-1),""))</f>
        <v/>
      </c>
      <c r="CM86" s="5" t="str">
        <f aca="false">IF(OR(CJ86="",CK86=""),"",IF($F86="Maior Melhor",IF(CK86&gt;=CJ86,"Sim","Não"),IF(CK86&lt;=CJ86,"Sim","Não")))</f>
        <v/>
      </c>
      <c r="CN86" s="6"/>
      <c r="CO86" s="6"/>
      <c r="CP86" s="4" t="str">
        <f aca="false">IF(OR(CN86="",CO86=""),"",IFERROR(IF($K86="%",CO86-CN86,CO86/CN86-1),""))</f>
        <v/>
      </c>
      <c r="CQ86" s="5" t="str">
        <f aca="false">IF(OR(CN86="",CO86=""),"",IF($F86="Maior Melhor",IF(CO86&gt;=CN86,"Sim","Não"),IF(CO86&lt;=CN86,"Sim","Não")))</f>
        <v/>
      </c>
      <c r="CR86" s="2" t="s">
        <v>105</v>
      </c>
    </row>
    <row r="87" customFormat="false" ht="15" hidden="false" customHeight="false" outlineLevel="0" collapsed="false">
      <c r="A87" s="2" t="s">
        <v>151</v>
      </c>
      <c r="B87" s="2" t="s">
        <v>97</v>
      </c>
      <c r="C87" s="2" t="s">
        <v>126</v>
      </c>
      <c r="D87" s="2" t="s">
        <v>152</v>
      </c>
      <c r="E87" s="2" t="str">
        <f aca="false">C87&amp;D87</f>
        <v>UTD LIVRAMENTO DE NOSSA SENHORACaptação de pastas - UTD</v>
      </c>
      <c r="F87" s="2" t="s">
        <v>100</v>
      </c>
      <c r="G87" s="2" t="s">
        <v>153</v>
      </c>
      <c r="H87" s="2" t="s">
        <v>102</v>
      </c>
      <c r="I87" s="2" t="s">
        <v>103</v>
      </c>
      <c r="J87" s="2" t="n">
        <v>3</v>
      </c>
      <c r="K87" s="2" t="s">
        <v>104</v>
      </c>
      <c r="L87" s="3" t="n">
        <v>0.9</v>
      </c>
      <c r="M87" s="3" t="n">
        <v>0</v>
      </c>
      <c r="N87" s="4" t="n">
        <f aca="false">IF(OR(L87="",M87=""),"",IFERROR(IF($K87="%",M87-L87,M87/L87-1),""))</f>
        <v>-0.9</v>
      </c>
      <c r="O87" s="5" t="str">
        <f aca="false">IF(OR(L87="",M87=""),"",IF($F87="Maior Melhor",IF(M87&gt;=L87,"Sim","Não"),IF(M87&lt;=L87,"Sim","Não")))</f>
        <v>Não</v>
      </c>
      <c r="P87" s="3" t="n">
        <v>0.9</v>
      </c>
      <c r="Q87" s="3" t="n">
        <v>0</v>
      </c>
      <c r="R87" s="4" t="n">
        <f aca="false">IF(OR(P87="",Q87=""),"",IFERROR(IF($K87="%",Q87-P87,Q87/P87-1),""))</f>
        <v>-0.9</v>
      </c>
      <c r="S87" s="5" t="str">
        <f aca="false">IF(OR(P87="",Q87=""),"",IF($F87="Maior Melhor",IF(Q87&gt;=P87,"Sim","Não"),IF(Q87&lt;=P87,"Sim","Não")))</f>
        <v>Não</v>
      </c>
      <c r="T87" s="3" t="n">
        <v>0.95</v>
      </c>
      <c r="U87" s="3" t="n">
        <v>1</v>
      </c>
      <c r="V87" s="4" t="n">
        <f aca="false">IF(OR(T87="",U87=""),"",IFERROR(IF($K87="%",U87-T87,U87/T87-1),""))</f>
        <v>0.05</v>
      </c>
      <c r="W87" s="5" t="str">
        <f aca="false">IF(OR(T87="",U87=""),"",IF($F87="Maior Melhor",IF(U87&gt;=T87,"Sim","Não"),IF(U87&lt;=T87,"Sim","Não")))</f>
        <v>Sim</v>
      </c>
      <c r="X87" s="3" t="n">
        <v>0.95</v>
      </c>
      <c r="Y87" s="3" t="n">
        <v>1</v>
      </c>
      <c r="Z87" s="4" t="n">
        <f aca="false">IF(OR(X87="",Y87=""),"",IFERROR(IF($K87="%",Y87-X87,Y87/X87-1),""))</f>
        <v>0.05</v>
      </c>
      <c r="AA87" s="5" t="str">
        <f aca="false">IF(OR(X87="",Y87=""),"",IF($F87="Maior Melhor",IF(Y87&gt;=X87,"Sim","Não"),IF(Y87&lt;=X87,"Sim","Não")))</f>
        <v>Sim</v>
      </c>
      <c r="AB87" s="3" t="n">
        <v>0.95</v>
      </c>
      <c r="AC87" s="3" t="n">
        <v>1</v>
      </c>
      <c r="AD87" s="4" t="n">
        <f aca="false">IF(OR(AB87="",AC87=""),"",IFERROR(IF($K87="%",AC87-AB87,AC87/AB87-1),""))</f>
        <v>0.05</v>
      </c>
      <c r="AE87" s="5" t="str">
        <f aca="false">IF(OR(AB87="",AC87=""),"",IF($F87="Maior Melhor",IF(AC87&gt;=AB87,"Sim","Não"),IF(AC87&lt;=AB87,"Sim","Não")))</f>
        <v>Sim</v>
      </c>
      <c r="AF87" s="3" t="n">
        <v>0.95</v>
      </c>
      <c r="AG87" s="3" t="n">
        <v>1</v>
      </c>
      <c r="AH87" s="4" t="n">
        <f aca="false">IF(OR(AF87="",AG87=""),"",IFERROR(IF($K87="%",AG87-AF87,AG87/AF87-1),""))</f>
        <v>0.05</v>
      </c>
      <c r="AI87" s="5" t="str">
        <f aca="false">IF(OR(AF87="",AG87=""),"",IF($F87="Maior Melhor",IF(AG87&gt;=AF87,"Sim","Não"),IF(AG87&lt;=AF87,"Sim","Não")))</f>
        <v>Sim</v>
      </c>
      <c r="AJ87" s="3" t="n">
        <v>0.95</v>
      </c>
      <c r="AK87" s="3" t="n">
        <v>1</v>
      </c>
      <c r="AL87" s="4" t="n">
        <f aca="false">IF(OR(AJ87="",AK87=""),"",IFERROR(IF($K87="%",AK87-AJ87,AK87/AJ87-1),""))</f>
        <v>0.05</v>
      </c>
      <c r="AM87" s="5" t="str">
        <f aca="false">IF(OR(AJ87="",AK87=""),"",IF($F87="Maior Melhor",IF(AK87&gt;=AJ87,"Sim","Não"),IF(AK87&lt;=AJ87,"Sim","Não")))</f>
        <v>Sim</v>
      </c>
      <c r="AN87" s="3" t="n">
        <v>0.95</v>
      </c>
      <c r="AO87" s="3" t="n">
        <v>1</v>
      </c>
      <c r="AP87" s="4" t="n">
        <f aca="false">IF(OR(AN87="",AO87=""),"",IFERROR(IF($K87="%",AO87-AN87,AO87/AN87-1),""))</f>
        <v>0.05</v>
      </c>
      <c r="AQ87" s="5" t="str">
        <f aca="false">IF(OR(AN87="",AO87=""),"",IF($F87="Maior Melhor",IF(AO87&gt;=AN87,"Sim","Não"),IF(AO87&lt;=AN87,"Sim","Não")))</f>
        <v>Sim</v>
      </c>
      <c r="AR87" s="3" t="n">
        <v>0.95</v>
      </c>
      <c r="AS87" s="3" t="n">
        <v>1</v>
      </c>
      <c r="AT87" s="4" t="n">
        <f aca="false">IF(OR(AR87="",AS87=""),"",IFERROR(IF($K87="%",AS87-AR87,AS87/AR87-1),""))</f>
        <v>0.05</v>
      </c>
      <c r="AU87" s="5" t="str">
        <f aca="false">IF(OR(AR87="",AS87=""),"",IF($F87="Maior Melhor",IF(AS87&gt;=AR87,"Sim","Não"),IF(AS87&lt;=AR87,"Sim","Não")))</f>
        <v>Sim</v>
      </c>
      <c r="AV87" s="3" t="n">
        <v>0.95</v>
      </c>
      <c r="AW87" s="3" t="n">
        <v>1</v>
      </c>
      <c r="AX87" s="4" t="n">
        <f aca="false">IF(OR(AV87="",AW87=""),"",IFERROR(IF($K87="%",AW87-AV87,AW87/AV87-1),""))</f>
        <v>0.05</v>
      </c>
      <c r="AY87" s="5" t="str">
        <f aca="false">IF(OR(AV87="",AW87=""),"",IF($F87="Maior Melhor",IF(AW87&gt;=AV87,"Sim","Não"),IF(AW87&lt;=AV87,"Sim","Não")))</f>
        <v>Sim</v>
      </c>
      <c r="AZ87" s="3" t="n">
        <v>0.95</v>
      </c>
      <c r="BA87" s="3" t="n">
        <v>1</v>
      </c>
      <c r="BB87" s="4" t="n">
        <f aca="false">IF(OR(AZ87="",BA87=""),"",IFERROR(IF($K87="%",BA87-AZ87,BA87/AZ87-1),""))</f>
        <v>0.05</v>
      </c>
      <c r="BC87" s="5" t="str">
        <f aca="false">IF(OR(AZ87="",BA87=""),"",IF($F87="Maior Melhor",IF(BA87&gt;=AZ87,"Sim","Não"),IF(BA87&lt;=AZ87,"Sim","Não")))</f>
        <v>Sim</v>
      </c>
      <c r="BD87" s="3" t="n">
        <v>0.95</v>
      </c>
      <c r="BE87" s="3" t="n">
        <v>1</v>
      </c>
      <c r="BF87" s="4" t="n">
        <f aca="false">IF(OR(BD87="",BE87=""),"",IFERROR(IF($K87="%",BE87-BD87,BE87/BD87-1),""))</f>
        <v>0.05</v>
      </c>
      <c r="BG87" s="5" t="str">
        <f aca="false">IF(OR(BD87="",BE87=""),"",IF($F87="Maior Melhor",IF(BE87&gt;=BD87,"Sim","Não"),IF(BE87&lt;=BD87,"Sim","Não")))</f>
        <v>Sim</v>
      </c>
      <c r="BH87" s="3" t="n">
        <v>0.95</v>
      </c>
      <c r="BI87" s="3" t="n">
        <v>1</v>
      </c>
      <c r="BJ87" s="4" t="n">
        <f aca="false">IF(OR(BH87="",BI87=""),"",IFERROR(IF($K87="%",BI87-BH87,BI87/BH87-1),""))</f>
        <v>0.05</v>
      </c>
      <c r="BK87" s="5" t="str">
        <f aca="false">IF(OR(BH87="",BI87=""),"",IF($F87="Maior Melhor",IF(BI87&gt;=BH87,"Sim","Não"),IF(BI87&lt;=BH87,"Sim","Não")))</f>
        <v>Sim</v>
      </c>
      <c r="BL87" s="6"/>
      <c r="BM87" s="6"/>
      <c r="BN87" s="4" t="str">
        <f aca="false">IF(OR(BL87="",BM87=""),"",IFERROR(IF($K87="%",BM87-BL87,BM87/BL87-1),""))</f>
        <v/>
      </c>
      <c r="BO87" s="5" t="str">
        <f aca="false">IF(OR(BL87="",BM87=""),"",IF($F87="Maior Melhor",IF(BM87&gt;=BL87,"Sim","Não"),IF(BM87&lt;=BL87,"Sim","Não")))</f>
        <v/>
      </c>
      <c r="BP87" s="6"/>
      <c r="BQ87" s="6"/>
      <c r="BR87" s="4" t="str">
        <f aca="false">IF(OR(BP87="",BQ87=""),"",IFERROR(IF($K87="%",BQ87-BP87,BQ87/BP87-1),""))</f>
        <v/>
      </c>
      <c r="BS87" s="5" t="str">
        <f aca="false">IF(OR(BP87="",BQ87=""),"",IF($F87="Maior Melhor",IF(BQ87&gt;=BP87,"Sim","Não"),IF(BQ87&lt;=BP87,"Sim","Não")))</f>
        <v/>
      </c>
      <c r="BT87" s="6"/>
      <c r="BU87" s="6"/>
      <c r="BV87" s="4" t="str">
        <f aca="false">IF(OR(BT87="",BU87=""),"",IFERROR(IF($K87="%",BU87-BT87,BU87/BT87-1),""))</f>
        <v/>
      </c>
      <c r="BW87" s="5" t="str">
        <f aca="false">IF(OR(BT87="",BU87=""),"",IF($F87="Maior Melhor",IF(BU87&gt;=BT87,"Sim","Não"),IF(BU87&lt;=BT87,"Sim","Não")))</f>
        <v/>
      </c>
      <c r="BX87" s="6"/>
      <c r="BY87" s="6"/>
      <c r="BZ87" s="4" t="str">
        <f aca="false">IF(OR(BX87="",BY87=""),"",IFERROR(IF($K87="%",BY87-BX87,BY87/BX87-1),""))</f>
        <v/>
      </c>
      <c r="CA87" s="5" t="str">
        <f aca="false">IF(OR(BX87="",BY87=""),"",IF($F87="Maior Melhor",IF(BY87&gt;=BX87,"Sim","Não"),IF(BY87&lt;=BX87,"Sim","Não")))</f>
        <v/>
      </c>
      <c r="CB87" s="6"/>
      <c r="CC87" s="6"/>
      <c r="CD87" s="4" t="str">
        <f aca="false">IF(OR(CB87="",CC87=""),"",IFERROR(IF($K87="%",CC87-CB87,CC87/CB87-1),""))</f>
        <v/>
      </c>
      <c r="CE87" s="5" t="str">
        <f aca="false">IF(OR(CB87="",CC87=""),"",IF($F87="Maior Melhor",IF(CC87&gt;=CB87,"Sim","Não"),IF(CC87&lt;=CB87,"Sim","Não")))</f>
        <v/>
      </c>
      <c r="CF87" s="6"/>
      <c r="CG87" s="6"/>
      <c r="CH87" s="4" t="str">
        <f aca="false">IF(OR(CF87="",CG87=""),"",IFERROR(IF($K87="%",CG87-CF87,CG87/CF87-1),""))</f>
        <v/>
      </c>
      <c r="CI87" s="5" t="str">
        <f aca="false">IF(OR(CF87="",CG87=""),"",IF($F87="Maior Melhor",IF(CG87&gt;=CF87,"Sim","Não"),IF(CG87&lt;=CF87,"Sim","Não")))</f>
        <v/>
      </c>
      <c r="CJ87" s="6"/>
      <c r="CK87" s="6"/>
      <c r="CL87" s="4" t="str">
        <f aca="false">IF(OR(CJ87="",CK87=""),"",IFERROR(IF($K87="%",CK87-CJ87,CK87/CJ87-1),""))</f>
        <v/>
      </c>
      <c r="CM87" s="5" t="str">
        <f aca="false">IF(OR(CJ87="",CK87=""),"",IF($F87="Maior Melhor",IF(CK87&gt;=CJ87,"Sim","Não"),IF(CK87&lt;=CJ87,"Sim","Não")))</f>
        <v/>
      </c>
      <c r="CN87" s="6"/>
      <c r="CO87" s="6"/>
      <c r="CP87" s="4" t="str">
        <f aca="false">IF(OR(CN87="",CO87=""),"",IFERROR(IF($K87="%",CO87-CN87,CO87/CN87-1),""))</f>
        <v/>
      </c>
      <c r="CQ87" s="5" t="str">
        <f aca="false">IF(OR(CN87="",CO87=""),"",IF($F87="Maior Melhor",IF(CO87&gt;=CN87,"Sim","Não"),IF(CO87&lt;=CN87,"Sim","Não")))</f>
        <v/>
      </c>
      <c r="CR87" s="2" t="s">
        <v>105</v>
      </c>
    </row>
    <row r="88" customFormat="false" ht="15" hidden="false" customHeight="false" outlineLevel="0" collapsed="false">
      <c r="A88" s="2" t="s">
        <v>151</v>
      </c>
      <c r="B88" s="2" t="s">
        <v>106</v>
      </c>
      <c r="C88" s="2" t="s">
        <v>127</v>
      </c>
      <c r="D88" s="2" t="s">
        <v>152</v>
      </c>
      <c r="E88" s="2" t="str">
        <f aca="false">C88&amp;D88</f>
        <v>UTD LUIS EDUARDO MAGALHAESCaptação de pastas - UTD</v>
      </c>
      <c r="F88" s="2" t="s">
        <v>100</v>
      </c>
      <c r="G88" s="2" t="s">
        <v>153</v>
      </c>
      <c r="H88" s="2" t="s">
        <v>102</v>
      </c>
      <c r="I88" s="2" t="s">
        <v>103</v>
      </c>
      <c r="J88" s="2" t="n">
        <v>3</v>
      </c>
      <c r="K88" s="2" t="s">
        <v>104</v>
      </c>
      <c r="L88" s="3" t="n">
        <v>0.9</v>
      </c>
      <c r="M88" s="3" t="n">
        <v>0.3333</v>
      </c>
      <c r="N88" s="4" t="n">
        <f aca="false">IF(OR(L88="",M88=""),"",IFERROR(IF($K88="%",M88-L88,M88/L88-1),""))</f>
        <v>-0.5667</v>
      </c>
      <c r="O88" s="5" t="str">
        <f aca="false">IF(OR(L88="",M88=""),"",IF($F88="Maior Melhor",IF(M88&gt;=L88,"Sim","Não"),IF(M88&lt;=L88,"Sim","Não")))</f>
        <v>Não</v>
      </c>
      <c r="P88" s="3" t="n">
        <v>0.9</v>
      </c>
      <c r="Q88" s="3" t="n">
        <v>0.25</v>
      </c>
      <c r="R88" s="4" t="n">
        <f aca="false">IF(OR(P88="",Q88=""),"",IFERROR(IF($K88="%",Q88-P88,Q88/P88-1),""))</f>
        <v>-0.65</v>
      </c>
      <c r="S88" s="5" t="str">
        <f aca="false">IF(OR(P88="",Q88=""),"",IF($F88="Maior Melhor",IF(Q88&gt;=P88,"Sim","Não"),IF(Q88&lt;=P88,"Sim","Não")))</f>
        <v>Não</v>
      </c>
      <c r="T88" s="3" t="n">
        <v>0.95</v>
      </c>
      <c r="U88" s="3" t="n">
        <v>1</v>
      </c>
      <c r="V88" s="4" t="n">
        <f aca="false">IF(OR(T88="",U88=""),"",IFERROR(IF($K88="%",U88-T88,U88/T88-1),""))</f>
        <v>0.05</v>
      </c>
      <c r="W88" s="5" t="str">
        <f aca="false">IF(OR(T88="",U88=""),"",IF($F88="Maior Melhor",IF(U88&gt;=T88,"Sim","Não"),IF(U88&lt;=T88,"Sim","Não")))</f>
        <v>Sim</v>
      </c>
      <c r="X88" s="3" t="n">
        <v>0.95</v>
      </c>
      <c r="Y88" s="3" t="n">
        <v>1</v>
      </c>
      <c r="Z88" s="4" t="n">
        <f aca="false">IF(OR(X88="",Y88=""),"",IFERROR(IF($K88="%",Y88-X88,Y88/X88-1),""))</f>
        <v>0.05</v>
      </c>
      <c r="AA88" s="5" t="str">
        <f aca="false">IF(OR(X88="",Y88=""),"",IF($F88="Maior Melhor",IF(Y88&gt;=X88,"Sim","Não"),IF(Y88&lt;=X88,"Sim","Não")))</f>
        <v>Sim</v>
      </c>
      <c r="AB88" s="3" t="n">
        <v>0.95</v>
      </c>
      <c r="AC88" s="3" t="n">
        <v>1</v>
      </c>
      <c r="AD88" s="4" t="n">
        <f aca="false">IF(OR(AB88="",AC88=""),"",IFERROR(IF($K88="%",AC88-AB88,AC88/AB88-1),""))</f>
        <v>0.05</v>
      </c>
      <c r="AE88" s="5" t="str">
        <f aca="false">IF(OR(AB88="",AC88=""),"",IF($F88="Maior Melhor",IF(AC88&gt;=AB88,"Sim","Não"),IF(AC88&lt;=AB88,"Sim","Não")))</f>
        <v>Sim</v>
      </c>
      <c r="AF88" s="3" t="n">
        <v>0.95</v>
      </c>
      <c r="AG88" s="3" t="n">
        <v>1</v>
      </c>
      <c r="AH88" s="4" t="n">
        <f aca="false">IF(OR(AF88="",AG88=""),"",IFERROR(IF($K88="%",AG88-AF88,AG88/AF88-1),""))</f>
        <v>0.05</v>
      </c>
      <c r="AI88" s="5" t="str">
        <f aca="false">IF(OR(AF88="",AG88=""),"",IF($F88="Maior Melhor",IF(AG88&gt;=AF88,"Sim","Não"),IF(AG88&lt;=AF88,"Sim","Não")))</f>
        <v>Sim</v>
      </c>
      <c r="AJ88" s="3" t="n">
        <v>0.95</v>
      </c>
      <c r="AK88" s="3" t="n">
        <v>1</v>
      </c>
      <c r="AL88" s="4" t="n">
        <f aca="false">IF(OR(AJ88="",AK88=""),"",IFERROR(IF($K88="%",AK88-AJ88,AK88/AJ88-1),""))</f>
        <v>0.05</v>
      </c>
      <c r="AM88" s="5" t="str">
        <f aca="false">IF(OR(AJ88="",AK88=""),"",IF($F88="Maior Melhor",IF(AK88&gt;=AJ88,"Sim","Não"),IF(AK88&lt;=AJ88,"Sim","Não")))</f>
        <v>Sim</v>
      </c>
      <c r="AN88" s="3" t="n">
        <v>0.95</v>
      </c>
      <c r="AO88" s="3" t="n">
        <v>1</v>
      </c>
      <c r="AP88" s="4" t="n">
        <f aca="false">IF(OR(AN88="",AO88=""),"",IFERROR(IF($K88="%",AO88-AN88,AO88/AN88-1),""))</f>
        <v>0.05</v>
      </c>
      <c r="AQ88" s="5" t="str">
        <f aca="false">IF(OR(AN88="",AO88=""),"",IF($F88="Maior Melhor",IF(AO88&gt;=AN88,"Sim","Não"),IF(AO88&lt;=AN88,"Sim","Não")))</f>
        <v>Sim</v>
      </c>
      <c r="AR88" s="3" t="n">
        <v>0.95</v>
      </c>
      <c r="AS88" s="3" t="n">
        <v>1</v>
      </c>
      <c r="AT88" s="4" t="n">
        <f aca="false">IF(OR(AR88="",AS88=""),"",IFERROR(IF($K88="%",AS88-AR88,AS88/AR88-1),""))</f>
        <v>0.05</v>
      </c>
      <c r="AU88" s="5" t="str">
        <f aca="false">IF(OR(AR88="",AS88=""),"",IF($F88="Maior Melhor",IF(AS88&gt;=AR88,"Sim","Não"),IF(AS88&lt;=AR88,"Sim","Não")))</f>
        <v>Sim</v>
      </c>
      <c r="AV88" s="3" t="n">
        <v>0.95</v>
      </c>
      <c r="AW88" s="3" t="n">
        <v>1</v>
      </c>
      <c r="AX88" s="4" t="n">
        <f aca="false">IF(OR(AV88="",AW88=""),"",IFERROR(IF($K88="%",AW88-AV88,AW88/AV88-1),""))</f>
        <v>0.05</v>
      </c>
      <c r="AY88" s="5" t="str">
        <f aca="false">IF(OR(AV88="",AW88=""),"",IF($F88="Maior Melhor",IF(AW88&gt;=AV88,"Sim","Não"),IF(AW88&lt;=AV88,"Sim","Não")))</f>
        <v>Sim</v>
      </c>
      <c r="AZ88" s="3" t="n">
        <v>0.95</v>
      </c>
      <c r="BA88" s="3" t="n">
        <v>1</v>
      </c>
      <c r="BB88" s="4" t="n">
        <f aca="false">IF(OR(AZ88="",BA88=""),"",IFERROR(IF($K88="%",BA88-AZ88,BA88/AZ88-1),""))</f>
        <v>0.05</v>
      </c>
      <c r="BC88" s="5" t="str">
        <f aca="false">IF(OR(AZ88="",BA88=""),"",IF($F88="Maior Melhor",IF(BA88&gt;=AZ88,"Sim","Não"),IF(BA88&lt;=AZ88,"Sim","Não")))</f>
        <v>Sim</v>
      </c>
      <c r="BD88" s="3" t="n">
        <v>0.95</v>
      </c>
      <c r="BE88" s="3" t="n">
        <v>1</v>
      </c>
      <c r="BF88" s="4" t="n">
        <f aca="false">IF(OR(BD88="",BE88=""),"",IFERROR(IF($K88="%",BE88-BD88,BE88/BD88-1),""))</f>
        <v>0.05</v>
      </c>
      <c r="BG88" s="5" t="str">
        <f aca="false">IF(OR(BD88="",BE88=""),"",IF($F88="Maior Melhor",IF(BE88&gt;=BD88,"Sim","Não"),IF(BE88&lt;=BD88,"Sim","Não")))</f>
        <v>Sim</v>
      </c>
      <c r="BH88" s="3" t="n">
        <v>0.95</v>
      </c>
      <c r="BI88" s="3" t="n">
        <v>1</v>
      </c>
      <c r="BJ88" s="4" t="n">
        <f aca="false">IF(OR(BH88="",BI88=""),"",IFERROR(IF($K88="%",BI88-BH88,BI88/BH88-1),""))</f>
        <v>0.05</v>
      </c>
      <c r="BK88" s="5" t="str">
        <f aca="false">IF(OR(BH88="",BI88=""),"",IF($F88="Maior Melhor",IF(BI88&gt;=BH88,"Sim","Não"),IF(BI88&lt;=BH88,"Sim","Não")))</f>
        <v>Sim</v>
      </c>
      <c r="BL88" s="6"/>
      <c r="BM88" s="6"/>
      <c r="BN88" s="4" t="str">
        <f aca="false">IF(OR(BL88="",BM88=""),"",IFERROR(IF($K88="%",BM88-BL88,BM88/BL88-1),""))</f>
        <v/>
      </c>
      <c r="BO88" s="5" t="str">
        <f aca="false">IF(OR(BL88="",BM88=""),"",IF($F88="Maior Melhor",IF(BM88&gt;=BL88,"Sim","Não"),IF(BM88&lt;=BL88,"Sim","Não")))</f>
        <v/>
      </c>
      <c r="BP88" s="6"/>
      <c r="BQ88" s="6"/>
      <c r="BR88" s="4" t="str">
        <f aca="false">IF(OR(BP88="",BQ88=""),"",IFERROR(IF($K88="%",BQ88-BP88,BQ88/BP88-1),""))</f>
        <v/>
      </c>
      <c r="BS88" s="5" t="str">
        <f aca="false">IF(OR(BP88="",BQ88=""),"",IF($F88="Maior Melhor",IF(BQ88&gt;=BP88,"Sim","Não"),IF(BQ88&lt;=BP88,"Sim","Não")))</f>
        <v/>
      </c>
      <c r="BT88" s="6"/>
      <c r="BU88" s="6"/>
      <c r="BV88" s="4" t="str">
        <f aca="false">IF(OR(BT88="",BU88=""),"",IFERROR(IF($K88="%",BU88-BT88,BU88/BT88-1),""))</f>
        <v/>
      </c>
      <c r="BW88" s="5" t="str">
        <f aca="false">IF(OR(BT88="",BU88=""),"",IF($F88="Maior Melhor",IF(BU88&gt;=BT88,"Sim","Não"),IF(BU88&lt;=BT88,"Sim","Não")))</f>
        <v/>
      </c>
      <c r="BX88" s="6"/>
      <c r="BY88" s="6"/>
      <c r="BZ88" s="4" t="str">
        <f aca="false">IF(OR(BX88="",BY88=""),"",IFERROR(IF($K88="%",BY88-BX88,BY88/BX88-1),""))</f>
        <v/>
      </c>
      <c r="CA88" s="5" t="str">
        <f aca="false">IF(OR(BX88="",BY88=""),"",IF($F88="Maior Melhor",IF(BY88&gt;=BX88,"Sim","Não"),IF(BY88&lt;=BX88,"Sim","Não")))</f>
        <v/>
      </c>
      <c r="CB88" s="6"/>
      <c r="CC88" s="6"/>
      <c r="CD88" s="4" t="str">
        <f aca="false">IF(OR(CB88="",CC88=""),"",IFERROR(IF($K88="%",CC88-CB88,CC88/CB88-1),""))</f>
        <v/>
      </c>
      <c r="CE88" s="5" t="str">
        <f aca="false">IF(OR(CB88="",CC88=""),"",IF($F88="Maior Melhor",IF(CC88&gt;=CB88,"Sim","Não"),IF(CC88&lt;=CB88,"Sim","Não")))</f>
        <v/>
      </c>
      <c r="CF88" s="6"/>
      <c r="CG88" s="6"/>
      <c r="CH88" s="4" t="str">
        <f aca="false">IF(OR(CF88="",CG88=""),"",IFERROR(IF($K88="%",CG88-CF88,CG88/CF88-1),""))</f>
        <v/>
      </c>
      <c r="CI88" s="5" t="str">
        <f aca="false">IF(OR(CF88="",CG88=""),"",IF($F88="Maior Melhor",IF(CG88&gt;=CF88,"Sim","Não"),IF(CG88&lt;=CF88,"Sim","Não")))</f>
        <v/>
      </c>
      <c r="CJ88" s="6"/>
      <c r="CK88" s="6"/>
      <c r="CL88" s="4" t="str">
        <f aca="false">IF(OR(CJ88="",CK88=""),"",IFERROR(IF($K88="%",CK88-CJ88,CK88/CJ88-1),""))</f>
        <v/>
      </c>
      <c r="CM88" s="5" t="str">
        <f aca="false">IF(OR(CJ88="",CK88=""),"",IF($F88="Maior Melhor",IF(CK88&gt;=CJ88,"Sim","Não"),IF(CK88&lt;=CJ88,"Sim","Não")))</f>
        <v/>
      </c>
      <c r="CN88" s="6"/>
      <c r="CO88" s="6"/>
      <c r="CP88" s="4" t="str">
        <f aca="false">IF(OR(CN88="",CO88=""),"",IFERROR(IF($K88="%",CO88-CN88,CO88/CN88-1),""))</f>
        <v/>
      </c>
      <c r="CQ88" s="5" t="str">
        <f aca="false">IF(OR(CN88="",CO88=""),"",IF($F88="Maior Melhor",IF(CO88&gt;=CN88,"Sim","Não"),IF(CO88&lt;=CN88,"Sim","Não")))</f>
        <v/>
      </c>
      <c r="CR88" s="2" t="s">
        <v>105</v>
      </c>
    </row>
    <row r="89" customFormat="false" ht="15" hidden="false" customHeight="false" outlineLevel="0" collapsed="false">
      <c r="A89" s="2" t="s">
        <v>151</v>
      </c>
      <c r="B89" s="2" t="s">
        <v>106</v>
      </c>
      <c r="C89" s="2" t="s">
        <v>128</v>
      </c>
      <c r="D89" s="2" t="s">
        <v>152</v>
      </c>
      <c r="E89" s="2" t="str">
        <f aca="false">C89&amp;D89</f>
        <v>UTD SANTA MARIA DA VITORIACaptação de pastas - UTD</v>
      </c>
      <c r="F89" s="2" t="s">
        <v>100</v>
      </c>
      <c r="G89" s="2" t="s">
        <v>153</v>
      </c>
      <c r="H89" s="2" t="s">
        <v>102</v>
      </c>
      <c r="I89" s="2" t="s">
        <v>103</v>
      </c>
      <c r="J89" s="2" t="n">
        <v>3</v>
      </c>
      <c r="K89" s="2" t="s">
        <v>104</v>
      </c>
      <c r="L89" s="3" t="n">
        <v>0.9</v>
      </c>
      <c r="M89" s="3" t="n">
        <v>0</v>
      </c>
      <c r="N89" s="4" t="n">
        <f aca="false">IF(OR(L89="",M89=""),"",IFERROR(IF($K89="%",M89-L89,M89/L89-1),""))</f>
        <v>-0.9</v>
      </c>
      <c r="O89" s="5" t="str">
        <f aca="false">IF(OR(L89="",M89=""),"",IF($F89="Maior Melhor",IF(M89&gt;=L89,"Sim","Não"),IF(M89&lt;=L89,"Sim","Não")))</f>
        <v>Não</v>
      </c>
      <c r="P89" s="3" t="n">
        <v>0.9</v>
      </c>
      <c r="Q89" s="3" t="n">
        <v>0</v>
      </c>
      <c r="R89" s="4" t="n">
        <f aca="false">IF(OR(P89="",Q89=""),"",IFERROR(IF($K89="%",Q89-P89,Q89/P89-1),""))</f>
        <v>-0.9</v>
      </c>
      <c r="S89" s="5" t="str">
        <f aca="false">IF(OR(P89="",Q89=""),"",IF($F89="Maior Melhor",IF(Q89&gt;=P89,"Sim","Não"),IF(Q89&lt;=P89,"Sim","Não")))</f>
        <v>Não</v>
      </c>
      <c r="T89" s="3" t="n">
        <v>0.95</v>
      </c>
      <c r="U89" s="3" t="n">
        <v>1</v>
      </c>
      <c r="V89" s="4" t="n">
        <f aca="false">IF(OR(T89="",U89=""),"",IFERROR(IF($K89="%",U89-T89,U89/T89-1),""))</f>
        <v>0.05</v>
      </c>
      <c r="W89" s="5" t="str">
        <f aca="false">IF(OR(T89="",U89=""),"",IF($F89="Maior Melhor",IF(U89&gt;=T89,"Sim","Não"),IF(U89&lt;=T89,"Sim","Não")))</f>
        <v>Sim</v>
      </c>
      <c r="X89" s="3" t="n">
        <v>0.95</v>
      </c>
      <c r="Y89" s="3" t="n">
        <v>1</v>
      </c>
      <c r="Z89" s="4" t="n">
        <f aca="false">IF(OR(X89="",Y89=""),"",IFERROR(IF($K89="%",Y89-X89,Y89/X89-1),""))</f>
        <v>0.05</v>
      </c>
      <c r="AA89" s="5" t="str">
        <f aca="false">IF(OR(X89="",Y89=""),"",IF($F89="Maior Melhor",IF(Y89&gt;=X89,"Sim","Não"),IF(Y89&lt;=X89,"Sim","Não")))</f>
        <v>Sim</v>
      </c>
      <c r="AB89" s="3" t="n">
        <v>0.95</v>
      </c>
      <c r="AC89" s="3" t="n">
        <v>1</v>
      </c>
      <c r="AD89" s="4" t="n">
        <f aca="false">IF(OR(AB89="",AC89=""),"",IFERROR(IF($K89="%",AC89-AB89,AC89/AB89-1),""))</f>
        <v>0.05</v>
      </c>
      <c r="AE89" s="5" t="str">
        <f aca="false">IF(OR(AB89="",AC89=""),"",IF($F89="Maior Melhor",IF(AC89&gt;=AB89,"Sim","Não"),IF(AC89&lt;=AB89,"Sim","Não")))</f>
        <v>Sim</v>
      </c>
      <c r="AF89" s="3" t="n">
        <v>0.95</v>
      </c>
      <c r="AG89" s="3" t="n">
        <v>1</v>
      </c>
      <c r="AH89" s="4" t="n">
        <f aca="false">IF(OR(AF89="",AG89=""),"",IFERROR(IF($K89="%",AG89-AF89,AG89/AF89-1),""))</f>
        <v>0.05</v>
      </c>
      <c r="AI89" s="5" t="str">
        <f aca="false">IF(OR(AF89="",AG89=""),"",IF($F89="Maior Melhor",IF(AG89&gt;=AF89,"Sim","Não"),IF(AG89&lt;=AF89,"Sim","Não")))</f>
        <v>Sim</v>
      </c>
      <c r="AJ89" s="3" t="n">
        <v>0.95</v>
      </c>
      <c r="AK89" s="3" t="n">
        <v>1</v>
      </c>
      <c r="AL89" s="4" t="n">
        <f aca="false">IF(OR(AJ89="",AK89=""),"",IFERROR(IF($K89="%",AK89-AJ89,AK89/AJ89-1),""))</f>
        <v>0.05</v>
      </c>
      <c r="AM89" s="5" t="str">
        <f aca="false">IF(OR(AJ89="",AK89=""),"",IF($F89="Maior Melhor",IF(AK89&gt;=AJ89,"Sim","Não"),IF(AK89&lt;=AJ89,"Sim","Não")))</f>
        <v>Sim</v>
      </c>
      <c r="AN89" s="3" t="n">
        <v>0.95</v>
      </c>
      <c r="AO89" s="3" t="n">
        <v>1</v>
      </c>
      <c r="AP89" s="4" t="n">
        <f aca="false">IF(OR(AN89="",AO89=""),"",IFERROR(IF($K89="%",AO89-AN89,AO89/AN89-1),""))</f>
        <v>0.05</v>
      </c>
      <c r="AQ89" s="5" t="str">
        <f aca="false">IF(OR(AN89="",AO89=""),"",IF($F89="Maior Melhor",IF(AO89&gt;=AN89,"Sim","Não"),IF(AO89&lt;=AN89,"Sim","Não")))</f>
        <v>Sim</v>
      </c>
      <c r="AR89" s="3" t="n">
        <v>0.95</v>
      </c>
      <c r="AS89" s="3" t="n">
        <v>1</v>
      </c>
      <c r="AT89" s="4" t="n">
        <f aca="false">IF(OR(AR89="",AS89=""),"",IFERROR(IF($K89="%",AS89-AR89,AS89/AR89-1),""))</f>
        <v>0.05</v>
      </c>
      <c r="AU89" s="5" t="str">
        <f aca="false">IF(OR(AR89="",AS89=""),"",IF($F89="Maior Melhor",IF(AS89&gt;=AR89,"Sim","Não"),IF(AS89&lt;=AR89,"Sim","Não")))</f>
        <v>Sim</v>
      </c>
      <c r="AV89" s="3" t="n">
        <v>0.95</v>
      </c>
      <c r="AW89" s="3" t="n">
        <v>1</v>
      </c>
      <c r="AX89" s="4" t="n">
        <f aca="false">IF(OR(AV89="",AW89=""),"",IFERROR(IF($K89="%",AW89-AV89,AW89/AV89-1),""))</f>
        <v>0.05</v>
      </c>
      <c r="AY89" s="5" t="str">
        <f aca="false">IF(OR(AV89="",AW89=""),"",IF($F89="Maior Melhor",IF(AW89&gt;=AV89,"Sim","Não"),IF(AW89&lt;=AV89,"Sim","Não")))</f>
        <v>Sim</v>
      </c>
      <c r="AZ89" s="3" t="n">
        <v>0.95</v>
      </c>
      <c r="BA89" s="3" t="n">
        <v>1</v>
      </c>
      <c r="BB89" s="4" t="n">
        <f aca="false">IF(OR(AZ89="",BA89=""),"",IFERROR(IF($K89="%",BA89-AZ89,BA89/AZ89-1),""))</f>
        <v>0.05</v>
      </c>
      <c r="BC89" s="5" t="str">
        <f aca="false">IF(OR(AZ89="",BA89=""),"",IF($F89="Maior Melhor",IF(BA89&gt;=AZ89,"Sim","Não"),IF(BA89&lt;=AZ89,"Sim","Não")))</f>
        <v>Sim</v>
      </c>
      <c r="BD89" s="3" t="n">
        <v>0.95</v>
      </c>
      <c r="BE89" s="3" t="n">
        <v>1</v>
      </c>
      <c r="BF89" s="4" t="n">
        <f aca="false">IF(OR(BD89="",BE89=""),"",IFERROR(IF($K89="%",BE89-BD89,BE89/BD89-1),""))</f>
        <v>0.05</v>
      </c>
      <c r="BG89" s="5" t="str">
        <f aca="false">IF(OR(BD89="",BE89=""),"",IF($F89="Maior Melhor",IF(BE89&gt;=BD89,"Sim","Não"),IF(BE89&lt;=BD89,"Sim","Não")))</f>
        <v>Sim</v>
      </c>
      <c r="BH89" s="3" t="n">
        <v>0.95</v>
      </c>
      <c r="BI89" s="3" t="n">
        <v>1</v>
      </c>
      <c r="BJ89" s="4" t="n">
        <f aca="false">IF(OR(BH89="",BI89=""),"",IFERROR(IF($K89="%",BI89-BH89,BI89/BH89-1),""))</f>
        <v>0.05</v>
      </c>
      <c r="BK89" s="5" t="str">
        <f aca="false">IF(OR(BH89="",BI89=""),"",IF($F89="Maior Melhor",IF(BI89&gt;=BH89,"Sim","Não"),IF(BI89&lt;=BH89,"Sim","Não")))</f>
        <v>Sim</v>
      </c>
      <c r="BL89" s="6"/>
      <c r="BM89" s="6"/>
      <c r="BN89" s="4" t="str">
        <f aca="false">IF(OR(BL89="",BM89=""),"",IFERROR(IF($K89="%",BM89-BL89,BM89/BL89-1),""))</f>
        <v/>
      </c>
      <c r="BO89" s="5" t="str">
        <f aca="false">IF(OR(BL89="",BM89=""),"",IF($F89="Maior Melhor",IF(BM89&gt;=BL89,"Sim","Não"),IF(BM89&lt;=BL89,"Sim","Não")))</f>
        <v/>
      </c>
      <c r="BP89" s="6"/>
      <c r="BQ89" s="6"/>
      <c r="BR89" s="4" t="str">
        <f aca="false">IF(OR(BP89="",BQ89=""),"",IFERROR(IF($K89="%",BQ89-BP89,BQ89/BP89-1),""))</f>
        <v/>
      </c>
      <c r="BS89" s="5" t="str">
        <f aca="false">IF(OR(BP89="",BQ89=""),"",IF($F89="Maior Melhor",IF(BQ89&gt;=BP89,"Sim","Não"),IF(BQ89&lt;=BP89,"Sim","Não")))</f>
        <v/>
      </c>
      <c r="BT89" s="6"/>
      <c r="BU89" s="6"/>
      <c r="BV89" s="4" t="str">
        <f aca="false">IF(OR(BT89="",BU89=""),"",IFERROR(IF($K89="%",BU89-BT89,BU89/BT89-1),""))</f>
        <v/>
      </c>
      <c r="BW89" s="5" t="str">
        <f aca="false">IF(OR(BT89="",BU89=""),"",IF($F89="Maior Melhor",IF(BU89&gt;=BT89,"Sim","Não"),IF(BU89&lt;=BT89,"Sim","Não")))</f>
        <v/>
      </c>
      <c r="BX89" s="6"/>
      <c r="BY89" s="6"/>
      <c r="BZ89" s="4" t="str">
        <f aca="false">IF(OR(BX89="",BY89=""),"",IFERROR(IF($K89="%",BY89-BX89,BY89/BX89-1),""))</f>
        <v/>
      </c>
      <c r="CA89" s="5" t="str">
        <f aca="false">IF(OR(BX89="",BY89=""),"",IF($F89="Maior Melhor",IF(BY89&gt;=BX89,"Sim","Não"),IF(BY89&lt;=BX89,"Sim","Não")))</f>
        <v/>
      </c>
      <c r="CB89" s="6"/>
      <c r="CC89" s="6"/>
      <c r="CD89" s="4" t="str">
        <f aca="false">IF(OR(CB89="",CC89=""),"",IFERROR(IF($K89="%",CC89-CB89,CC89/CB89-1),""))</f>
        <v/>
      </c>
      <c r="CE89" s="5" t="str">
        <f aca="false">IF(OR(CB89="",CC89=""),"",IF($F89="Maior Melhor",IF(CC89&gt;=CB89,"Sim","Não"),IF(CC89&lt;=CB89,"Sim","Não")))</f>
        <v/>
      </c>
      <c r="CF89" s="6"/>
      <c r="CG89" s="6"/>
      <c r="CH89" s="4" t="str">
        <f aca="false">IF(OR(CF89="",CG89=""),"",IFERROR(IF($K89="%",CG89-CF89,CG89/CF89-1),""))</f>
        <v/>
      </c>
      <c r="CI89" s="5" t="str">
        <f aca="false">IF(OR(CF89="",CG89=""),"",IF($F89="Maior Melhor",IF(CG89&gt;=CF89,"Sim","Não"),IF(CG89&lt;=CF89,"Sim","Não")))</f>
        <v/>
      </c>
      <c r="CJ89" s="6"/>
      <c r="CK89" s="6"/>
      <c r="CL89" s="4" t="str">
        <f aca="false">IF(OR(CJ89="",CK89=""),"",IFERROR(IF($K89="%",CK89-CJ89,CK89/CJ89-1),""))</f>
        <v/>
      </c>
      <c r="CM89" s="5" t="str">
        <f aca="false">IF(OR(CJ89="",CK89=""),"",IF($F89="Maior Melhor",IF(CK89&gt;=CJ89,"Sim","Não"),IF(CK89&lt;=CJ89,"Sim","Não")))</f>
        <v/>
      </c>
      <c r="CN89" s="6"/>
      <c r="CO89" s="6"/>
      <c r="CP89" s="4" t="str">
        <f aca="false">IF(OR(CN89="",CO89=""),"",IFERROR(IF($K89="%",CO89-CN89,CO89/CN89-1),""))</f>
        <v/>
      </c>
      <c r="CQ89" s="5" t="str">
        <f aca="false">IF(OR(CN89="",CO89=""),"",IF($F89="Maior Melhor",IF(CO89&gt;=CN89,"Sim","Não"),IF(CO89&lt;=CN89,"Sim","Não")))</f>
        <v/>
      </c>
      <c r="CR89" s="2" t="s">
        <v>129</v>
      </c>
    </row>
    <row r="90" customFormat="false" ht="15" hidden="false" customHeight="false" outlineLevel="0" collapsed="false">
      <c r="A90" s="2" t="s">
        <v>151</v>
      </c>
      <c r="B90" s="2" t="s">
        <v>97</v>
      </c>
      <c r="C90" s="2" t="s">
        <v>130</v>
      </c>
      <c r="D90" s="2" t="s">
        <v>152</v>
      </c>
      <c r="E90" s="2" t="str">
        <f aca="false">C90&amp;D90</f>
        <v>UTD SEABRACaptação de pastas - UTD</v>
      </c>
      <c r="F90" s="2" t="s">
        <v>100</v>
      </c>
      <c r="G90" s="2" t="s">
        <v>153</v>
      </c>
      <c r="H90" s="2" t="s">
        <v>102</v>
      </c>
      <c r="I90" s="2" t="s">
        <v>103</v>
      </c>
      <c r="J90" s="2" t="n">
        <v>3</v>
      </c>
      <c r="K90" s="2" t="s">
        <v>104</v>
      </c>
      <c r="L90" s="3" t="n">
        <v>0.9</v>
      </c>
      <c r="M90" s="3" t="n">
        <v>0.6667</v>
      </c>
      <c r="N90" s="4" t="n">
        <f aca="false">IF(OR(L90="",M90=""),"",IFERROR(IF($K90="%",M90-L90,M90/L90-1),""))</f>
        <v>-0.2333</v>
      </c>
      <c r="O90" s="5" t="str">
        <f aca="false">IF(OR(L90="",M90=""),"",IF($F90="Maior Melhor",IF(M90&gt;=L90,"Sim","Não"),IF(M90&lt;=L90,"Sim","Não")))</f>
        <v>Não</v>
      </c>
      <c r="P90" s="3" t="n">
        <v>0.9</v>
      </c>
      <c r="Q90" s="3" t="n">
        <v>0.8571</v>
      </c>
      <c r="R90" s="4" t="n">
        <f aca="false">IF(OR(P90="",Q90=""),"",IFERROR(IF($K90="%",Q90-P90,Q90/P90-1),""))</f>
        <v>-0.0429000000000001</v>
      </c>
      <c r="S90" s="5" t="str">
        <f aca="false">IF(OR(P90="",Q90=""),"",IF($F90="Maior Melhor",IF(Q90&gt;=P90,"Sim","Não"),IF(Q90&lt;=P90,"Sim","Não")))</f>
        <v>Não</v>
      </c>
      <c r="T90" s="3" t="n">
        <v>0.95</v>
      </c>
      <c r="U90" s="3" t="n">
        <v>1</v>
      </c>
      <c r="V90" s="4" t="n">
        <f aca="false">IF(OR(T90="",U90=""),"",IFERROR(IF($K90="%",U90-T90,U90/T90-1),""))</f>
        <v>0.05</v>
      </c>
      <c r="W90" s="5" t="str">
        <f aca="false">IF(OR(T90="",U90=""),"",IF($F90="Maior Melhor",IF(U90&gt;=T90,"Sim","Não"),IF(U90&lt;=T90,"Sim","Não")))</f>
        <v>Sim</v>
      </c>
      <c r="X90" s="3" t="n">
        <v>0.95</v>
      </c>
      <c r="Y90" s="3" t="n">
        <v>1</v>
      </c>
      <c r="Z90" s="4" t="n">
        <f aca="false">IF(OR(X90="",Y90=""),"",IFERROR(IF($K90="%",Y90-X90,Y90/X90-1),""))</f>
        <v>0.05</v>
      </c>
      <c r="AA90" s="5" t="str">
        <f aca="false">IF(OR(X90="",Y90=""),"",IF($F90="Maior Melhor",IF(Y90&gt;=X90,"Sim","Não"),IF(Y90&lt;=X90,"Sim","Não")))</f>
        <v>Sim</v>
      </c>
      <c r="AB90" s="3" t="n">
        <v>0.95</v>
      </c>
      <c r="AC90" s="3" t="n">
        <v>1</v>
      </c>
      <c r="AD90" s="4" t="n">
        <f aca="false">IF(OR(AB90="",AC90=""),"",IFERROR(IF($K90="%",AC90-AB90,AC90/AB90-1),""))</f>
        <v>0.05</v>
      </c>
      <c r="AE90" s="5" t="str">
        <f aca="false">IF(OR(AB90="",AC90=""),"",IF($F90="Maior Melhor",IF(AC90&gt;=AB90,"Sim","Não"),IF(AC90&lt;=AB90,"Sim","Não")))</f>
        <v>Sim</v>
      </c>
      <c r="AF90" s="3" t="n">
        <v>0.95</v>
      </c>
      <c r="AG90" s="3" t="n">
        <v>1</v>
      </c>
      <c r="AH90" s="4" t="n">
        <f aca="false">IF(OR(AF90="",AG90=""),"",IFERROR(IF($K90="%",AG90-AF90,AG90/AF90-1),""))</f>
        <v>0.05</v>
      </c>
      <c r="AI90" s="5" t="str">
        <f aca="false">IF(OR(AF90="",AG90=""),"",IF($F90="Maior Melhor",IF(AG90&gt;=AF90,"Sim","Não"),IF(AG90&lt;=AF90,"Sim","Não")))</f>
        <v>Sim</v>
      </c>
      <c r="AJ90" s="3" t="n">
        <v>0.95</v>
      </c>
      <c r="AK90" s="3" t="n">
        <v>1</v>
      </c>
      <c r="AL90" s="4" t="n">
        <f aca="false">IF(OR(AJ90="",AK90=""),"",IFERROR(IF($K90="%",AK90-AJ90,AK90/AJ90-1),""))</f>
        <v>0.05</v>
      </c>
      <c r="AM90" s="5" t="str">
        <f aca="false">IF(OR(AJ90="",AK90=""),"",IF($F90="Maior Melhor",IF(AK90&gt;=AJ90,"Sim","Não"),IF(AK90&lt;=AJ90,"Sim","Não")))</f>
        <v>Sim</v>
      </c>
      <c r="AN90" s="3" t="n">
        <v>0.95</v>
      </c>
      <c r="AO90" s="3" t="n">
        <v>1</v>
      </c>
      <c r="AP90" s="4" t="n">
        <f aca="false">IF(OR(AN90="",AO90=""),"",IFERROR(IF($K90="%",AO90-AN90,AO90/AN90-1),""))</f>
        <v>0.05</v>
      </c>
      <c r="AQ90" s="5" t="str">
        <f aca="false">IF(OR(AN90="",AO90=""),"",IF($F90="Maior Melhor",IF(AO90&gt;=AN90,"Sim","Não"),IF(AO90&lt;=AN90,"Sim","Não")))</f>
        <v>Sim</v>
      </c>
      <c r="AR90" s="3" t="n">
        <v>0.95</v>
      </c>
      <c r="AS90" s="3" t="n">
        <v>1</v>
      </c>
      <c r="AT90" s="4" t="n">
        <f aca="false">IF(OR(AR90="",AS90=""),"",IFERROR(IF($K90="%",AS90-AR90,AS90/AR90-1),""))</f>
        <v>0.05</v>
      </c>
      <c r="AU90" s="5" t="str">
        <f aca="false">IF(OR(AR90="",AS90=""),"",IF($F90="Maior Melhor",IF(AS90&gt;=AR90,"Sim","Não"),IF(AS90&lt;=AR90,"Sim","Não")))</f>
        <v>Sim</v>
      </c>
      <c r="AV90" s="3" t="n">
        <v>0.95</v>
      </c>
      <c r="AW90" s="3" t="n">
        <v>1</v>
      </c>
      <c r="AX90" s="4" t="n">
        <f aca="false">IF(OR(AV90="",AW90=""),"",IFERROR(IF($K90="%",AW90-AV90,AW90/AV90-1),""))</f>
        <v>0.05</v>
      </c>
      <c r="AY90" s="5" t="str">
        <f aca="false">IF(OR(AV90="",AW90=""),"",IF($F90="Maior Melhor",IF(AW90&gt;=AV90,"Sim","Não"),IF(AW90&lt;=AV90,"Sim","Não")))</f>
        <v>Sim</v>
      </c>
      <c r="AZ90" s="3" t="n">
        <v>0.95</v>
      </c>
      <c r="BA90" s="3" t="n">
        <v>1</v>
      </c>
      <c r="BB90" s="4" t="n">
        <f aca="false">IF(OR(AZ90="",BA90=""),"",IFERROR(IF($K90="%",BA90-AZ90,BA90/AZ90-1),""))</f>
        <v>0.05</v>
      </c>
      <c r="BC90" s="5" t="str">
        <f aca="false">IF(OR(AZ90="",BA90=""),"",IF($F90="Maior Melhor",IF(BA90&gt;=AZ90,"Sim","Não"),IF(BA90&lt;=AZ90,"Sim","Não")))</f>
        <v>Sim</v>
      </c>
      <c r="BD90" s="3" t="n">
        <v>0.95</v>
      </c>
      <c r="BE90" s="3" t="n">
        <v>1</v>
      </c>
      <c r="BF90" s="4" t="n">
        <f aca="false">IF(OR(BD90="",BE90=""),"",IFERROR(IF($K90="%",BE90-BD90,BE90/BD90-1),""))</f>
        <v>0.05</v>
      </c>
      <c r="BG90" s="5" t="str">
        <f aca="false">IF(OR(BD90="",BE90=""),"",IF($F90="Maior Melhor",IF(BE90&gt;=BD90,"Sim","Não"),IF(BE90&lt;=BD90,"Sim","Não")))</f>
        <v>Sim</v>
      </c>
      <c r="BH90" s="3" t="n">
        <v>0.95</v>
      </c>
      <c r="BI90" s="3" t="n">
        <v>1</v>
      </c>
      <c r="BJ90" s="4" t="n">
        <f aca="false">IF(OR(BH90="",BI90=""),"",IFERROR(IF($K90="%",BI90-BH90,BI90/BH90-1),""))</f>
        <v>0.05</v>
      </c>
      <c r="BK90" s="5" t="str">
        <f aca="false">IF(OR(BH90="",BI90=""),"",IF($F90="Maior Melhor",IF(BI90&gt;=BH90,"Sim","Não"),IF(BI90&lt;=BH90,"Sim","Não")))</f>
        <v>Sim</v>
      </c>
      <c r="BL90" s="6"/>
      <c r="BM90" s="6"/>
      <c r="BN90" s="4" t="str">
        <f aca="false">IF(OR(BL90="",BM90=""),"",IFERROR(IF($K90="%",BM90-BL90,BM90/BL90-1),""))</f>
        <v/>
      </c>
      <c r="BO90" s="5" t="str">
        <f aca="false">IF(OR(BL90="",BM90=""),"",IF($F90="Maior Melhor",IF(BM90&gt;=BL90,"Sim","Não"),IF(BM90&lt;=BL90,"Sim","Não")))</f>
        <v/>
      </c>
      <c r="BP90" s="6"/>
      <c r="BQ90" s="6"/>
      <c r="BR90" s="4" t="str">
        <f aca="false">IF(OR(BP90="",BQ90=""),"",IFERROR(IF($K90="%",BQ90-BP90,BQ90/BP90-1),""))</f>
        <v/>
      </c>
      <c r="BS90" s="5" t="str">
        <f aca="false">IF(OR(BP90="",BQ90=""),"",IF($F90="Maior Melhor",IF(BQ90&gt;=BP90,"Sim","Não"),IF(BQ90&lt;=BP90,"Sim","Não")))</f>
        <v/>
      </c>
      <c r="BT90" s="6"/>
      <c r="BU90" s="6"/>
      <c r="BV90" s="4" t="str">
        <f aca="false">IF(OR(BT90="",BU90=""),"",IFERROR(IF($K90="%",BU90-BT90,BU90/BT90-1),""))</f>
        <v/>
      </c>
      <c r="BW90" s="5" t="str">
        <f aca="false">IF(OR(BT90="",BU90=""),"",IF($F90="Maior Melhor",IF(BU90&gt;=BT90,"Sim","Não"),IF(BU90&lt;=BT90,"Sim","Não")))</f>
        <v/>
      </c>
      <c r="BX90" s="6"/>
      <c r="BY90" s="6"/>
      <c r="BZ90" s="4" t="str">
        <f aca="false">IF(OR(BX90="",BY90=""),"",IFERROR(IF($K90="%",BY90-BX90,BY90/BX90-1),""))</f>
        <v/>
      </c>
      <c r="CA90" s="5" t="str">
        <f aca="false">IF(OR(BX90="",BY90=""),"",IF($F90="Maior Melhor",IF(BY90&gt;=BX90,"Sim","Não"),IF(BY90&lt;=BX90,"Sim","Não")))</f>
        <v/>
      </c>
      <c r="CB90" s="6"/>
      <c r="CC90" s="6"/>
      <c r="CD90" s="4" t="str">
        <f aca="false">IF(OR(CB90="",CC90=""),"",IFERROR(IF($K90="%",CC90-CB90,CC90/CB90-1),""))</f>
        <v/>
      </c>
      <c r="CE90" s="5" t="str">
        <f aca="false">IF(OR(CB90="",CC90=""),"",IF($F90="Maior Melhor",IF(CC90&gt;=CB90,"Sim","Não"),IF(CC90&lt;=CB90,"Sim","Não")))</f>
        <v/>
      </c>
      <c r="CF90" s="6"/>
      <c r="CG90" s="6"/>
      <c r="CH90" s="4" t="str">
        <f aca="false">IF(OR(CF90="",CG90=""),"",IFERROR(IF($K90="%",CG90-CF90,CG90/CF90-1),""))</f>
        <v/>
      </c>
      <c r="CI90" s="5" t="str">
        <f aca="false">IF(OR(CF90="",CG90=""),"",IF($F90="Maior Melhor",IF(CG90&gt;=CF90,"Sim","Não"),IF(CG90&lt;=CF90,"Sim","Não")))</f>
        <v/>
      </c>
      <c r="CJ90" s="6"/>
      <c r="CK90" s="6"/>
      <c r="CL90" s="4" t="str">
        <f aca="false">IF(OR(CJ90="",CK90=""),"",IFERROR(IF($K90="%",CK90-CJ90,CK90/CJ90-1),""))</f>
        <v/>
      </c>
      <c r="CM90" s="5" t="str">
        <f aca="false">IF(OR(CJ90="",CK90=""),"",IF($F90="Maior Melhor",IF(CK90&gt;=CJ90,"Sim","Não"),IF(CK90&lt;=CJ90,"Sim","Não")))</f>
        <v/>
      </c>
      <c r="CN90" s="6"/>
      <c r="CO90" s="6"/>
      <c r="CP90" s="4" t="str">
        <f aca="false">IF(OR(CN90="",CO90=""),"",IFERROR(IF($K90="%",CO90-CN90,CO90/CN90-1),""))</f>
        <v/>
      </c>
      <c r="CQ90" s="5" t="str">
        <f aca="false">IF(OR(CN90="",CO90=""),"",IF($F90="Maior Melhor",IF(CO90&gt;=CN90,"Sim","Não"),IF(CO90&lt;=CN90,"Sim","Não")))</f>
        <v/>
      </c>
      <c r="CR90" s="2" t="s">
        <v>105</v>
      </c>
    </row>
    <row r="91" customFormat="false" ht="15" hidden="false" customHeight="false" outlineLevel="0" collapsed="false">
      <c r="A91" s="2" t="s">
        <v>151</v>
      </c>
      <c r="B91" s="2" t="s">
        <v>108</v>
      </c>
      <c r="C91" s="2" t="s">
        <v>131</v>
      </c>
      <c r="D91" s="2" t="s">
        <v>152</v>
      </c>
      <c r="E91" s="2" t="str">
        <f aca="false">C91&amp;D91</f>
        <v>UTD VITORIA DA CONQUISTACaptação de pastas - UTD</v>
      </c>
      <c r="F91" s="2" t="s">
        <v>100</v>
      </c>
      <c r="G91" s="2" t="s">
        <v>153</v>
      </c>
      <c r="H91" s="2" t="s">
        <v>102</v>
      </c>
      <c r="I91" s="2" t="s">
        <v>103</v>
      </c>
      <c r="J91" s="2" t="n">
        <v>3</v>
      </c>
      <c r="K91" s="2" t="s">
        <v>104</v>
      </c>
      <c r="L91" s="3" t="n">
        <v>0.9</v>
      </c>
      <c r="M91" s="3" t="n">
        <v>1</v>
      </c>
      <c r="N91" s="4" t="n">
        <f aca="false">IF(OR(L91="",M91=""),"",IFERROR(IF($K91="%",M91-L91,M91/L91-1),""))</f>
        <v>0.1</v>
      </c>
      <c r="O91" s="5" t="str">
        <f aca="false">IF(OR(L91="",M91=""),"",IF($F91="Maior Melhor",IF(M91&gt;=L91,"Sim","Não"),IF(M91&lt;=L91,"Sim","Não")))</f>
        <v>Sim</v>
      </c>
      <c r="P91" s="3" t="n">
        <v>0.9</v>
      </c>
      <c r="Q91" s="3" t="n">
        <v>1</v>
      </c>
      <c r="R91" s="4" t="n">
        <f aca="false">IF(OR(P91="",Q91=""),"",IFERROR(IF($K91="%",Q91-P91,Q91/P91-1),""))</f>
        <v>0.1</v>
      </c>
      <c r="S91" s="5" t="str">
        <f aca="false">IF(OR(P91="",Q91=""),"",IF($F91="Maior Melhor",IF(Q91&gt;=P91,"Sim","Não"),IF(Q91&lt;=P91,"Sim","Não")))</f>
        <v>Sim</v>
      </c>
      <c r="T91" s="3" t="n">
        <v>0.95</v>
      </c>
      <c r="U91" s="3" t="n">
        <v>1</v>
      </c>
      <c r="V91" s="4" t="n">
        <f aca="false">IF(OR(T91="",U91=""),"",IFERROR(IF($K91="%",U91-T91,U91/T91-1),""))</f>
        <v>0.05</v>
      </c>
      <c r="W91" s="5" t="str">
        <f aca="false">IF(OR(T91="",U91=""),"",IF($F91="Maior Melhor",IF(U91&gt;=T91,"Sim","Não"),IF(U91&lt;=T91,"Sim","Não")))</f>
        <v>Sim</v>
      </c>
      <c r="X91" s="3" t="n">
        <v>0.95</v>
      </c>
      <c r="Y91" s="3" t="n">
        <v>1</v>
      </c>
      <c r="Z91" s="4" t="n">
        <f aca="false">IF(OR(X91="",Y91=""),"",IFERROR(IF($K91="%",Y91-X91,Y91/X91-1),""))</f>
        <v>0.05</v>
      </c>
      <c r="AA91" s="5" t="str">
        <f aca="false">IF(OR(X91="",Y91=""),"",IF($F91="Maior Melhor",IF(Y91&gt;=X91,"Sim","Não"),IF(Y91&lt;=X91,"Sim","Não")))</f>
        <v>Sim</v>
      </c>
      <c r="AB91" s="3" t="n">
        <v>0.95</v>
      </c>
      <c r="AC91" s="3" t="n">
        <v>1</v>
      </c>
      <c r="AD91" s="4" t="n">
        <f aca="false">IF(OR(AB91="",AC91=""),"",IFERROR(IF($K91="%",AC91-AB91,AC91/AB91-1),""))</f>
        <v>0.05</v>
      </c>
      <c r="AE91" s="5" t="str">
        <f aca="false">IF(OR(AB91="",AC91=""),"",IF($F91="Maior Melhor",IF(AC91&gt;=AB91,"Sim","Não"),IF(AC91&lt;=AB91,"Sim","Não")))</f>
        <v>Sim</v>
      </c>
      <c r="AF91" s="3" t="n">
        <v>0.95</v>
      </c>
      <c r="AG91" s="3" t="n">
        <v>1</v>
      </c>
      <c r="AH91" s="4" t="n">
        <f aca="false">IF(OR(AF91="",AG91=""),"",IFERROR(IF($K91="%",AG91-AF91,AG91/AF91-1),""))</f>
        <v>0.05</v>
      </c>
      <c r="AI91" s="5" t="str">
        <f aca="false">IF(OR(AF91="",AG91=""),"",IF($F91="Maior Melhor",IF(AG91&gt;=AF91,"Sim","Não"),IF(AG91&lt;=AF91,"Sim","Não")))</f>
        <v>Sim</v>
      </c>
      <c r="AJ91" s="3" t="n">
        <v>0.95</v>
      </c>
      <c r="AK91" s="3" t="n">
        <v>1</v>
      </c>
      <c r="AL91" s="4" t="n">
        <f aca="false">IF(OR(AJ91="",AK91=""),"",IFERROR(IF($K91="%",AK91-AJ91,AK91/AJ91-1),""))</f>
        <v>0.05</v>
      </c>
      <c r="AM91" s="5" t="str">
        <f aca="false">IF(OR(AJ91="",AK91=""),"",IF($F91="Maior Melhor",IF(AK91&gt;=AJ91,"Sim","Não"),IF(AK91&lt;=AJ91,"Sim","Não")))</f>
        <v>Sim</v>
      </c>
      <c r="AN91" s="3" t="n">
        <v>0.95</v>
      </c>
      <c r="AO91" s="3" t="n">
        <v>1</v>
      </c>
      <c r="AP91" s="4" t="n">
        <f aca="false">IF(OR(AN91="",AO91=""),"",IFERROR(IF($K91="%",AO91-AN91,AO91/AN91-1),""))</f>
        <v>0.05</v>
      </c>
      <c r="AQ91" s="5" t="str">
        <f aca="false">IF(OR(AN91="",AO91=""),"",IF($F91="Maior Melhor",IF(AO91&gt;=AN91,"Sim","Não"),IF(AO91&lt;=AN91,"Sim","Não")))</f>
        <v>Sim</v>
      </c>
      <c r="AR91" s="3" t="n">
        <v>0.95</v>
      </c>
      <c r="AS91" s="3" t="n">
        <v>1</v>
      </c>
      <c r="AT91" s="4" t="n">
        <f aca="false">IF(OR(AR91="",AS91=""),"",IFERROR(IF($K91="%",AS91-AR91,AS91/AR91-1),""))</f>
        <v>0.05</v>
      </c>
      <c r="AU91" s="5" t="str">
        <f aca="false">IF(OR(AR91="",AS91=""),"",IF($F91="Maior Melhor",IF(AS91&gt;=AR91,"Sim","Não"),IF(AS91&lt;=AR91,"Sim","Não")))</f>
        <v>Sim</v>
      </c>
      <c r="AV91" s="3" t="n">
        <v>0.95</v>
      </c>
      <c r="AW91" s="3" t="n">
        <v>1</v>
      </c>
      <c r="AX91" s="4" t="n">
        <f aca="false">IF(OR(AV91="",AW91=""),"",IFERROR(IF($K91="%",AW91-AV91,AW91/AV91-1),""))</f>
        <v>0.05</v>
      </c>
      <c r="AY91" s="5" t="str">
        <f aca="false">IF(OR(AV91="",AW91=""),"",IF($F91="Maior Melhor",IF(AW91&gt;=AV91,"Sim","Não"),IF(AW91&lt;=AV91,"Sim","Não")))</f>
        <v>Sim</v>
      </c>
      <c r="AZ91" s="3" t="n">
        <v>0.95</v>
      </c>
      <c r="BA91" s="3" t="n">
        <v>1</v>
      </c>
      <c r="BB91" s="4" t="n">
        <f aca="false">IF(OR(AZ91="",BA91=""),"",IFERROR(IF($K91="%",BA91-AZ91,BA91/AZ91-1),""))</f>
        <v>0.05</v>
      </c>
      <c r="BC91" s="5" t="str">
        <f aca="false">IF(OR(AZ91="",BA91=""),"",IF($F91="Maior Melhor",IF(BA91&gt;=AZ91,"Sim","Não"),IF(BA91&lt;=AZ91,"Sim","Não")))</f>
        <v>Sim</v>
      </c>
      <c r="BD91" s="3" t="n">
        <v>0.95</v>
      </c>
      <c r="BE91" s="3" t="n">
        <v>1</v>
      </c>
      <c r="BF91" s="4" t="n">
        <f aca="false">IF(OR(BD91="",BE91=""),"",IFERROR(IF($K91="%",BE91-BD91,BE91/BD91-1),""))</f>
        <v>0.05</v>
      </c>
      <c r="BG91" s="5" t="str">
        <f aca="false">IF(OR(BD91="",BE91=""),"",IF($F91="Maior Melhor",IF(BE91&gt;=BD91,"Sim","Não"),IF(BE91&lt;=BD91,"Sim","Não")))</f>
        <v>Sim</v>
      </c>
      <c r="BH91" s="3" t="n">
        <v>0.95</v>
      </c>
      <c r="BI91" s="3" t="n">
        <v>1</v>
      </c>
      <c r="BJ91" s="4" t="n">
        <f aca="false">IF(OR(BH91="",BI91=""),"",IFERROR(IF($K91="%",BI91-BH91,BI91/BH91-1),""))</f>
        <v>0.05</v>
      </c>
      <c r="BK91" s="5" t="str">
        <f aca="false">IF(OR(BH91="",BI91=""),"",IF($F91="Maior Melhor",IF(BI91&gt;=BH91,"Sim","Não"),IF(BI91&lt;=BH91,"Sim","Não")))</f>
        <v>Sim</v>
      </c>
      <c r="BL91" s="6"/>
      <c r="BM91" s="6"/>
      <c r="BN91" s="4" t="str">
        <f aca="false">IF(OR(BL91="",BM91=""),"",IFERROR(IF($K91="%",BM91-BL91,BM91/BL91-1),""))</f>
        <v/>
      </c>
      <c r="BO91" s="5" t="str">
        <f aca="false">IF(OR(BL91="",BM91=""),"",IF($F91="Maior Melhor",IF(BM91&gt;=BL91,"Sim","Não"),IF(BM91&lt;=BL91,"Sim","Não")))</f>
        <v/>
      </c>
      <c r="BP91" s="6"/>
      <c r="BQ91" s="6"/>
      <c r="BR91" s="4" t="str">
        <f aca="false">IF(OR(BP91="",BQ91=""),"",IFERROR(IF($K91="%",BQ91-BP91,BQ91/BP91-1),""))</f>
        <v/>
      </c>
      <c r="BS91" s="5" t="str">
        <f aca="false">IF(OR(BP91="",BQ91=""),"",IF($F91="Maior Melhor",IF(BQ91&gt;=BP91,"Sim","Não"),IF(BQ91&lt;=BP91,"Sim","Não")))</f>
        <v/>
      </c>
      <c r="BT91" s="6"/>
      <c r="BU91" s="6"/>
      <c r="BV91" s="4" t="str">
        <f aca="false">IF(OR(BT91="",BU91=""),"",IFERROR(IF($K91="%",BU91-BT91,BU91/BT91-1),""))</f>
        <v/>
      </c>
      <c r="BW91" s="5" t="str">
        <f aca="false">IF(OR(BT91="",BU91=""),"",IF($F91="Maior Melhor",IF(BU91&gt;=BT91,"Sim","Não"),IF(BU91&lt;=BT91,"Sim","Não")))</f>
        <v/>
      </c>
      <c r="BX91" s="6"/>
      <c r="BY91" s="6"/>
      <c r="BZ91" s="4" t="str">
        <f aca="false">IF(OR(BX91="",BY91=""),"",IFERROR(IF($K91="%",BY91-BX91,BY91/BX91-1),""))</f>
        <v/>
      </c>
      <c r="CA91" s="5" t="str">
        <f aca="false">IF(OR(BX91="",BY91=""),"",IF($F91="Maior Melhor",IF(BY91&gt;=BX91,"Sim","Não"),IF(BY91&lt;=BX91,"Sim","Não")))</f>
        <v/>
      </c>
      <c r="CB91" s="6"/>
      <c r="CC91" s="6"/>
      <c r="CD91" s="4" t="str">
        <f aca="false">IF(OR(CB91="",CC91=""),"",IFERROR(IF($K91="%",CC91-CB91,CC91/CB91-1),""))</f>
        <v/>
      </c>
      <c r="CE91" s="5" t="str">
        <f aca="false">IF(OR(CB91="",CC91=""),"",IF($F91="Maior Melhor",IF(CC91&gt;=CB91,"Sim","Não"),IF(CC91&lt;=CB91,"Sim","Não")))</f>
        <v/>
      </c>
      <c r="CF91" s="6"/>
      <c r="CG91" s="6"/>
      <c r="CH91" s="4" t="str">
        <f aca="false">IF(OR(CF91="",CG91=""),"",IFERROR(IF($K91="%",CG91-CF91,CG91/CF91-1),""))</f>
        <v/>
      </c>
      <c r="CI91" s="5" t="str">
        <f aca="false">IF(OR(CF91="",CG91=""),"",IF($F91="Maior Melhor",IF(CG91&gt;=CF91,"Sim","Não"),IF(CG91&lt;=CF91,"Sim","Não")))</f>
        <v/>
      </c>
      <c r="CJ91" s="6"/>
      <c r="CK91" s="6"/>
      <c r="CL91" s="4" t="str">
        <f aca="false">IF(OR(CJ91="",CK91=""),"",IFERROR(IF($K91="%",CK91-CJ91,CK91/CJ91-1),""))</f>
        <v/>
      </c>
      <c r="CM91" s="5" t="str">
        <f aca="false">IF(OR(CJ91="",CK91=""),"",IF($F91="Maior Melhor",IF(CK91&gt;=CJ91,"Sim","Não"),IF(CK91&lt;=CJ91,"Sim","Não")))</f>
        <v/>
      </c>
      <c r="CN91" s="6"/>
      <c r="CO91" s="6"/>
      <c r="CP91" s="4" t="str">
        <f aca="false">IF(OR(CN91="",CO91=""),"",IFERROR(IF($K91="%",CO91-CN91,CO91/CN91-1),""))</f>
        <v/>
      </c>
      <c r="CQ91" s="5" t="str">
        <f aca="false">IF(OR(CN91="",CO91=""),"",IF($F91="Maior Melhor",IF(CO91&gt;=CN91,"Sim","Não"),IF(CO91&lt;=CN91,"Sim","Não")))</f>
        <v/>
      </c>
      <c r="CR91" s="2" t="s">
        <v>105</v>
      </c>
    </row>
    <row r="92" customFormat="false" ht="15" hidden="false" customHeight="false" outlineLevel="0" collapsed="false">
      <c r="A92" s="2" t="s">
        <v>144</v>
      </c>
      <c r="B92" s="2" t="s">
        <v>97</v>
      </c>
      <c r="C92" s="2" t="s">
        <v>98</v>
      </c>
      <c r="D92" s="2" t="s">
        <v>155</v>
      </c>
      <c r="E92" s="2" t="str">
        <f aca="false">C92&amp;D92</f>
        <v>Gerência Centro OesteComportamento seguro</v>
      </c>
      <c r="F92" s="2" t="s">
        <v>100</v>
      </c>
      <c r="G92" s="2" t="s">
        <v>156</v>
      </c>
      <c r="H92" s="2" t="s">
        <v>102</v>
      </c>
      <c r="I92" s="2" t="s">
        <v>103</v>
      </c>
      <c r="J92" s="2" t="n">
        <v>3</v>
      </c>
      <c r="K92" s="2" t="s">
        <v>147</v>
      </c>
      <c r="L92" s="7" t="n">
        <v>0.85</v>
      </c>
      <c r="M92" s="7" t="n">
        <v>0.79</v>
      </c>
      <c r="N92" s="4" t="n">
        <f aca="false">IF(OR(L92="",M92=""),"",IFERROR(IF($K92="%",M92-L92,M92/L92-1),""))</f>
        <v>-0.0705882352941176</v>
      </c>
      <c r="O92" s="5" t="str">
        <f aca="false">IF(OR(L92="",M92=""),"",IF($F92="Maior Melhor",IF(M92&gt;=L92,"Sim","Não"),IF(M92&lt;=L92,"Sim","Não")))</f>
        <v>Não</v>
      </c>
      <c r="P92" s="7" t="n">
        <v>0.85</v>
      </c>
      <c r="Q92" s="7" t="n">
        <v>0.78</v>
      </c>
      <c r="R92" s="4" t="n">
        <f aca="false">IF(OR(P92="",Q92=""),"",IFERROR(IF($K92="%",Q92-P92,Q92/P92-1),""))</f>
        <v>-0.0823529411764705</v>
      </c>
      <c r="S92" s="5" t="str">
        <f aca="false">IF(OR(P92="",Q92=""),"",IF($F92="Maior Melhor",IF(Q92&gt;=P92,"Sim","Não"),IF(Q92&lt;=P92,"Sim","Não")))</f>
        <v>Não</v>
      </c>
      <c r="T92" s="7" t="n">
        <v>0.85</v>
      </c>
      <c r="U92" s="7" t="n">
        <v>0.92</v>
      </c>
      <c r="V92" s="4" t="n">
        <f aca="false">IF(OR(T92="",U92=""),"",IFERROR(IF($K92="%",U92-T92,U92/T92-1),""))</f>
        <v>0.0823529411764707</v>
      </c>
      <c r="W92" s="5" t="str">
        <f aca="false">IF(OR(T92="",U92=""),"",IF($F92="Maior Melhor",IF(U92&gt;=T92,"Sim","Não"),IF(U92&lt;=T92,"Sim","Não")))</f>
        <v>Sim</v>
      </c>
      <c r="X92" s="7" t="n">
        <v>0.85</v>
      </c>
      <c r="Y92" s="7" t="n">
        <v>0.84</v>
      </c>
      <c r="Z92" s="4" t="n">
        <f aca="false">IF(OR(X92="",Y92=""),"",IFERROR(IF($K92="%",Y92-X92,Y92/X92-1),""))</f>
        <v>-0.0117647058823529</v>
      </c>
      <c r="AA92" s="5" t="str">
        <f aca="false">IF(OR(X92="",Y92=""),"",IF($F92="Maior Melhor",IF(Y92&gt;=X92,"Sim","Não"),IF(Y92&lt;=X92,"Sim","Não")))</f>
        <v>Não</v>
      </c>
      <c r="AB92" s="7" t="n">
        <v>0.85</v>
      </c>
      <c r="AC92" s="7" t="n">
        <v>0.84</v>
      </c>
      <c r="AD92" s="4" t="n">
        <f aca="false">IF(OR(AB92="",AC92=""),"",IFERROR(IF($K92="%",AC92-AB92,AC92/AB92-1),""))</f>
        <v>-0.0117647058823529</v>
      </c>
      <c r="AE92" s="5" t="str">
        <f aca="false">IF(OR(AB92="",AC92=""),"",IF($F92="Maior Melhor",IF(AC92&gt;=AB92,"Sim","Não"),IF(AC92&lt;=AB92,"Sim","Não")))</f>
        <v>Não</v>
      </c>
      <c r="AF92" s="7" t="n">
        <v>0.85</v>
      </c>
      <c r="AG92" s="7" t="n">
        <v>0.85</v>
      </c>
      <c r="AH92" s="4" t="n">
        <f aca="false">IF(OR(AF92="",AG92=""),"",IFERROR(IF($K92="%",AG92-AF92,AG92/AF92-1),""))</f>
        <v>0</v>
      </c>
      <c r="AI92" s="5" t="str">
        <f aca="false">IF(OR(AF92="",AG92=""),"",IF($F92="Maior Melhor",IF(AG92&gt;=AF92,"Sim","Não"),IF(AG92&lt;=AF92,"Sim","Não")))</f>
        <v>Sim</v>
      </c>
      <c r="AJ92" s="7" t="n">
        <v>0.85</v>
      </c>
      <c r="AK92" s="7" t="n">
        <v>0.84</v>
      </c>
      <c r="AL92" s="4" t="n">
        <f aca="false">IF(OR(AJ92="",AK92=""),"",IFERROR(IF($K92="%",AK92-AJ92,AK92/AJ92-1),""))</f>
        <v>-0.0117647058823529</v>
      </c>
      <c r="AM92" s="5" t="str">
        <f aca="false">IF(OR(AJ92="",AK92=""),"",IF($F92="Maior Melhor",IF(AK92&gt;=AJ92,"Sim","Não"),IF(AK92&lt;=AJ92,"Sim","Não")))</f>
        <v>Não</v>
      </c>
      <c r="AN92" s="7" t="n">
        <v>0.85</v>
      </c>
      <c r="AO92" s="7" t="n">
        <v>0.95</v>
      </c>
      <c r="AP92" s="4" t="n">
        <f aca="false">IF(OR(AN92="",AO92=""),"",IFERROR(IF($K92="%",AO92-AN92,AO92/AN92-1),""))</f>
        <v>0.117647058823529</v>
      </c>
      <c r="AQ92" s="5" t="str">
        <f aca="false">IF(OR(AN92="",AO92=""),"",IF($F92="Maior Melhor",IF(AO92&gt;=AN92,"Sim","Não"),IF(AO92&lt;=AN92,"Sim","Não")))</f>
        <v>Sim</v>
      </c>
      <c r="AR92" s="7" t="n">
        <v>0.85</v>
      </c>
      <c r="AS92" s="7" t="n">
        <v>0.86</v>
      </c>
      <c r="AT92" s="4" t="n">
        <f aca="false">IF(OR(AR92="",AS92=""),"",IFERROR(IF($K92="%",AS92-AR92,AS92/AR92-1),""))</f>
        <v>0.0117647058823529</v>
      </c>
      <c r="AU92" s="5" t="str">
        <f aca="false">IF(OR(AR92="",AS92=""),"",IF($F92="Maior Melhor",IF(AS92&gt;=AR92,"Sim","Não"),IF(AS92&lt;=AR92,"Sim","Não")))</f>
        <v>Sim</v>
      </c>
      <c r="AV92" s="7" t="n">
        <v>0.85</v>
      </c>
      <c r="AW92" s="7" t="n">
        <v>0.85</v>
      </c>
      <c r="AX92" s="4" t="n">
        <f aca="false">IF(OR(AV92="",AW92=""),"",IFERROR(IF($K92="%",AW92-AV92,AW92/AV92-1),""))</f>
        <v>0</v>
      </c>
      <c r="AY92" s="5" t="str">
        <f aca="false">IF(OR(AV92="",AW92=""),"",IF($F92="Maior Melhor",IF(AW92&gt;=AV92,"Sim","Não"),IF(AW92&lt;=AV92,"Sim","Não")))</f>
        <v>Sim</v>
      </c>
      <c r="AZ92" s="7" t="n">
        <v>0.85</v>
      </c>
      <c r="BA92" s="7" t="n">
        <v>0.79</v>
      </c>
      <c r="BB92" s="4" t="n">
        <f aca="false">IF(OR(AZ92="",BA92=""),"",IFERROR(IF($K92="%",BA92-AZ92,BA92/AZ92-1),""))</f>
        <v>-0.0705882352941176</v>
      </c>
      <c r="BC92" s="5" t="str">
        <f aca="false">IF(OR(AZ92="",BA92=""),"",IF($F92="Maior Melhor",IF(BA92&gt;=AZ92,"Sim","Não"),IF(BA92&lt;=AZ92,"Sim","Não")))</f>
        <v>Não</v>
      </c>
      <c r="BD92" s="7" t="n">
        <v>0.85</v>
      </c>
      <c r="BE92" s="7" t="n">
        <v>0.99</v>
      </c>
      <c r="BF92" s="4" t="n">
        <f aca="false">IF(OR(BD92="",BE92=""),"",IFERROR(IF($K92="%",BE92-BD92,BE92/BD92-1),""))</f>
        <v>0.164705882352941</v>
      </c>
      <c r="BG92" s="5" t="str">
        <f aca="false">IF(OR(BD92="",BE92=""),"",IF($F92="Maior Melhor",IF(BE92&gt;=BD92,"Sim","Não"),IF(BE92&lt;=BD92,"Sim","Não")))</f>
        <v>Sim</v>
      </c>
      <c r="BH92" s="7" t="n">
        <v>0.85</v>
      </c>
      <c r="BI92" s="7" t="n">
        <v>0.88</v>
      </c>
      <c r="BJ92" s="4" t="n">
        <f aca="false">IF(OR(BH92="",BI92=""),"",IFERROR(IF($K92="%",BI92-BH92,BI92/BH92-1),""))</f>
        <v>0.0352941176470589</v>
      </c>
      <c r="BK92" s="5" t="str">
        <f aca="false">IF(OR(BH92="",BI92=""),"",IF($F92="Maior Melhor",IF(BI92&gt;=BH92,"Sim","Não"),IF(BI92&lt;=BH92,"Sim","Não")))</f>
        <v>Sim</v>
      </c>
      <c r="BL92" s="8"/>
      <c r="BM92" s="8"/>
      <c r="BN92" s="4" t="str">
        <f aca="false">IF(OR(BL92="",BM92=""),"",IFERROR(IF($K92="%",BM92-BL92,BM92/BL92-1),""))</f>
        <v/>
      </c>
      <c r="BO92" s="5" t="str">
        <f aca="false">IF(OR(BL92="",BM92=""),"",IF($F92="Maior Melhor",IF(BM92&gt;=BL92,"Sim","Não"),IF(BM92&lt;=BL92,"Sim","Não")))</f>
        <v/>
      </c>
      <c r="BP92" s="8"/>
      <c r="BQ92" s="8"/>
      <c r="BR92" s="4" t="str">
        <f aca="false">IF(OR(BP92="",BQ92=""),"",IFERROR(IF($K92="%",BQ92-BP92,BQ92/BP92-1),""))</f>
        <v/>
      </c>
      <c r="BS92" s="5" t="str">
        <f aca="false">IF(OR(BP92="",BQ92=""),"",IF($F92="Maior Melhor",IF(BQ92&gt;=BP92,"Sim","Não"),IF(BQ92&lt;=BP92,"Sim","Não")))</f>
        <v/>
      </c>
      <c r="BT92" s="8"/>
      <c r="BU92" s="8"/>
      <c r="BV92" s="4" t="str">
        <f aca="false">IF(OR(BT92="",BU92=""),"",IFERROR(IF($K92="%",BU92-BT92,BU92/BT92-1),""))</f>
        <v/>
      </c>
      <c r="BW92" s="5" t="str">
        <f aca="false">IF(OR(BT92="",BU92=""),"",IF($F92="Maior Melhor",IF(BU92&gt;=BT92,"Sim","Não"),IF(BU92&lt;=BT92,"Sim","Não")))</f>
        <v/>
      </c>
      <c r="BX92" s="8"/>
      <c r="BY92" s="8"/>
      <c r="BZ92" s="4" t="str">
        <f aca="false">IF(OR(BX92="",BY92=""),"",IFERROR(IF($K92="%",BY92-BX92,BY92/BX92-1),""))</f>
        <v/>
      </c>
      <c r="CA92" s="5" t="str">
        <f aca="false">IF(OR(BX92="",BY92=""),"",IF($F92="Maior Melhor",IF(BY92&gt;=BX92,"Sim","Não"),IF(BY92&lt;=BX92,"Sim","Não")))</f>
        <v/>
      </c>
      <c r="CB92" s="8"/>
      <c r="CC92" s="8"/>
      <c r="CD92" s="4" t="str">
        <f aca="false">IF(OR(CB92="",CC92=""),"",IFERROR(IF($K92="%",CC92-CB92,CC92/CB92-1),""))</f>
        <v/>
      </c>
      <c r="CE92" s="5" t="str">
        <f aca="false">IF(OR(CB92="",CC92=""),"",IF($F92="Maior Melhor",IF(CC92&gt;=CB92,"Sim","Não"),IF(CC92&lt;=CB92,"Sim","Não")))</f>
        <v/>
      </c>
      <c r="CF92" s="8"/>
      <c r="CG92" s="8"/>
      <c r="CH92" s="4" t="str">
        <f aca="false">IF(OR(CF92="",CG92=""),"",IFERROR(IF($K92="%",CG92-CF92,CG92/CF92-1),""))</f>
        <v/>
      </c>
      <c r="CI92" s="5" t="str">
        <f aca="false">IF(OR(CF92="",CG92=""),"",IF($F92="Maior Melhor",IF(CG92&gt;=CF92,"Sim","Não"),IF(CG92&lt;=CF92,"Sim","Não")))</f>
        <v/>
      </c>
      <c r="CJ92" s="8"/>
      <c r="CK92" s="8"/>
      <c r="CL92" s="4" t="str">
        <f aca="false">IF(OR(CJ92="",CK92=""),"",IFERROR(IF($K92="%",CK92-CJ92,CK92/CJ92-1),""))</f>
        <v/>
      </c>
      <c r="CM92" s="5" t="str">
        <f aca="false">IF(OR(CJ92="",CK92=""),"",IF($F92="Maior Melhor",IF(CK92&gt;=CJ92,"Sim","Não"),IF(CK92&lt;=CJ92,"Sim","Não")))</f>
        <v/>
      </c>
      <c r="CN92" s="8"/>
      <c r="CO92" s="8"/>
      <c r="CP92" s="4" t="str">
        <f aca="false">IF(OR(CN92="",CO92=""),"",IFERROR(IF($K92="%",CO92-CN92,CO92/CN92-1),""))</f>
        <v/>
      </c>
      <c r="CQ92" s="5" t="str">
        <f aca="false">IF(OR(CN92="",CO92=""),"",IF($F92="Maior Melhor",IF(CO92&gt;=CN92,"Sim","Não"),IF(CO92&lt;=CN92,"Sim","Não")))</f>
        <v/>
      </c>
      <c r="CR92" s="2" t="s">
        <v>105</v>
      </c>
    </row>
    <row r="93" customFormat="false" ht="15" hidden="false" customHeight="false" outlineLevel="0" collapsed="false">
      <c r="A93" s="2" t="s">
        <v>144</v>
      </c>
      <c r="B93" s="2" t="s">
        <v>106</v>
      </c>
      <c r="C93" s="2" t="s">
        <v>107</v>
      </c>
      <c r="D93" s="2" t="s">
        <v>155</v>
      </c>
      <c r="E93" s="2" t="str">
        <f aca="false">C93&amp;D93</f>
        <v>Gerência OesteComportamento seguro</v>
      </c>
      <c r="F93" s="2" t="s">
        <v>100</v>
      </c>
      <c r="G93" s="2" t="s">
        <v>156</v>
      </c>
      <c r="H93" s="2" t="s">
        <v>102</v>
      </c>
      <c r="I93" s="2" t="s">
        <v>103</v>
      </c>
      <c r="J93" s="2" t="n">
        <v>3</v>
      </c>
      <c r="K93" s="2" t="s">
        <v>147</v>
      </c>
      <c r="L93" s="7" t="n">
        <v>0.85</v>
      </c>
      <c r="M93" s="7" t="n">
        <v>0.74</v>
      </c>
      <c r="N93" s="4" t="n">
        <f aca="false">IF(OR(L93="",M93=""),"",IFERROR(IF($K93="%",M93-L93,M93/L93-1),""))</f>
        <v>-0.129411764705882</v>
      </c>
      <c r="O93" s="5" t="str">
        <f aca="false">IF(OR(L93="",M93=""),"",IF($F93="Maior Melhor",IF(M93&gt;=L93,"Sim","Não"),IF(M93&lt;=L93,"Sim","Não")))</f>
        <v>Não</v>
      </c>
      <c r="P93" s="7" t="n">
        <v>0.85</v>
      </c>
      <c r="Q93" s="7" t="n">
        <v>0.8</v>
      </c>
      <c r="R93" s="4" t="n">
        <f aca="false">IF(OR(P93="",Q93=""),"",IFERROR(IF($K93="%",Q93-P93,Q93/P93-1),""))</f>
        <v>-0.0588235294117646</v>
      </c>
      <c r="S93" s="5" t="str">
        <f aca="false">IF(OR(P93="",Q93=""),"",IF($F93="Maior Melhor",IF(Q93&gt;=P93,"Sim","Não"),IF(Q93&lt;=P93,"Sim","Não")))</f>
        <v>Não</v>
      </c>
      <c r="T93" s="7" t="n">
        <v>0.85</v>
      </c>
      <c r="U93" s="7" t="n">
        <v>1</v>
      </c>
      <c r="V93" s="4" t="n">
        <f aca="false">IF(OR(T93="",U93=""),"",IFERROR(IF($K93="%",U93-T93,U93/T93-1),""))</f>
        <v>0.176470588235294</v>
      </c>
      <c r="W93" s="5" t="str">
        <f aca="false">IF(OR(T93="",U93=""),"",IF($F93="Maior Melhor",IF(U93&gt;=T93,"Sim","Não"),IF(U93&lt;=T93,"Sim","Não")))</f>
        <v>Sim</v>
      </c>
      <c r="X93" s="7" t="n">
        <v>0.85</v>
      </c>
      <c r="Y93" s="7" t="n">
        <v>0.76</v>
      </c>
      <c r="Z93" s="4" t="n">
        <f aca="false">IF(OR(X93="",Y93=""),"",IFERROR(IF($K93="%",Y93-X93,Y93/X93-1),""))</f>
        <v>-0.105882352941176</v>
      </c>
      <c r="AA93" s="5" t="str">
        <f aca="false">IF(OR(X93="",Y93=""),"",IF($F93="Maior Melhor",IF(Y93&gt;=X93,"Sim","Não"),IF(Y93&lt;=X93,"Sim","Não")))</f>
        <v>Não</v>
      </c>
      <c r="AB93" s="7" t="n">
        <v>0.85</v>
      </c>
      <c r="AC93" s="7" t="n">
        <v>0.83</v>
      </c>
      <c r="AD93" s="4" t="n">
        <f aca="false">IF(OR(AB93="",AC93=""),"",IFERROR(IF($K93="%",AC93-AB93,AC93/AB93-1),""))</f>
        <v>-0.0235294117647059</v>
      </c>
      <c r="AE93" s="5" t="str">
        <f aca="false">IF(OR(AB93="",AC93=""),"",IF($F93="Maior Melhor",IF(AC93&gt;=AB93,"Sim","Não"),IF(AC93&lt;=AB93,"Sim","Não")))</f>
        <v>Não</v>
      </c>
      <c r="AF93" s="7" t="n">
        <v>0.85</v>
      </c>
      <c r="AG93" s="7" t="n">
        <v>1</v>
      </c>
      <c r="AH93" s="4" t="n">
        <f aca="false">IF(OR(AF93="",AG93=""),"",IFERROR(IF($K93="%",AG93-AF93,AG93/AF93-1),""))</f>
        <v>0.176470588235294</v>
      </c>
      <c r="AI93" s="5" t="str">
        <f aca="false">IF(OR(AF93="",AG93=""),"",IF($F93="Maior Melhor",IF(AG93&gt;=AF93,"Sim","Não"),IF(AG93&lt;=AF93,"Sim","Não")))</f>
        <v>Sim</v>
      </c>
      <c r="AJ93" s="7" t="n">
        <v>0.85</v>
      </c>
      <c r="AK93" s="7" t="n">
        <v>0.86</v>
      </c>
      <c r="AL93" s="4" t="n">
        <f aca="false">IF(OR(AJ93="",AK93=""),"",IFERROR(IF($K93="%",AK93-AJ93,AK93/AJ93-1),""))</f>
        <v>0.0117647058823529</v>
      </c>
      <c r="AM93" s="5" t="str">
        <f aca="false">IF(OR(AJ93="",AK93=""),"",IF($F93="Maior Melhor",IF(AK93&gt;=AJ93,"Sim","Não"),IF(AK93&lt;=AJ93,"Sim","Não")))</f>
        <v>Sim</v>
      </c>
      <c r="AN93" s="7" t="n">
        <v>0.85</v>
      </c>
      <c r="AO93" s="7" t="n">
        <v>0.89</v>
      </c>
      <c r="AP93" s="4" t="n">
        <f aca="false">IF(OR(AN93="",AO93=""),"",IFERROR(IF($K93="%",AO93-AN93,AO93/AN93-1),""))</f>
        <v>0.0470588235294118</v>
      </c>
      <c r="AQ93" s="5" t="str">
        <f aca="false">IF(OR(AN93="",AO93=""),"",IF($F93="Maior Melhor",IF(AO93&gt;=AN93,"Sim","Não"),IF(AO93&lt;=AN93,"Sim","Não")))</f>
        <v>Sim</v>
      </c>
      <c r="AR93" s="7" t="n">
        <v>0.85</v>
      </c>
      <c r="AS93" s="7" t="n">
        <v>0.87</v>
      </c>
      <c r="AT93" s="4" t="n">
        <f aca="false">IF(OR(AR93="",AS93=""),"",IFERROR(IF($K93="%",AS93-AR93,AS93/AR93-1),""))</f>
        <v>0.0235294117647058</v>
      </c>
      <c r="AU93" s="5" t="str">
        <f aca="false">IF(OR(AR93="",AS93=""),"",IF($F93="Maior Melhor",IF(AS93&gt;=AR93,"Sim","Não"),IF(AS93&lt;=AR93,"Sim","Não")))</f>
        <v>Sim</v>
      </c>
      <c r="AV93" s="7" t="n">
        <v>0.85</v>
      </c>
      <c r="AW93" s="7" t="n">
        <v>0.69</v>
      </c>
      <c r="AX93" s="4" t="n">
        <f aca="false">IF(OR(AV93="",AW93=""),"",IFERROR(IF($K93="%",AW93-AV93,AW93/AV93-1),""))</f>
        <v>-0.188235294117647</v>
      </c>
      <c r="AY93" s="5" t="str">
        <f aca="false">IF(OR(AV93="",AW93=""),"",IF($F93="Maior Melhor",IF(AW93&gt;=AV93,"Sim","Não"),IF(AW93&lt;=AV93,"Sim","Não")))</f>
        <v>Não</v>
      </c>
      <c r="AZ93" s="7" t="n">
        <v>0.85</v>
      </c>
      <c r="BA93" s="7" t="n">
        <v>0.84</v>
      </c>
      <c r="BB93" s="4" t="n">
        <f aca="false">IF(OR(AZ93="",BA93=""),"",IFERROR(IF($K93="%",BA93-AZ93,BA93/AZ93-1),""))</f>
        <v>-0.0117647058823529</v>
      </c>
      <c r="BC93" s="5" t="str">
        <f aca="false">IF(OR(AZ93="",BA93=""),"",IF($F93="Maior Melhor",IF(BA93&gt;=AZ93,"Sim","Não"),IF(BA93&lt;=AZ93,"Sim","Não")))</f>
        <v>Não</v>
      </c>
      <c r="BD93" s="7" t="n">
        <v>0.85</v>
      </c>
      <c r="BE93" s="7" t="n">
        <v>0.8</v>
      </c>
      <c r="BF93" s="4" t="n">
        <f aca="false">IF(OR(BD93="",BE93=""),"",IFERROR(IF($K93="%",BE93-BD93,BE93/BD93-1),""))</f>
        <v>-0.0588235294117646</v>
      </c>
      <c r="BG93" s="5" t="str">
        <f aca="false">IF(OR(BD93="",BE93=""),"",IF($F93="Maior Melhor",IF(BE93&gt;=BD93,"Sim","Não"),IF(BE93&lt;=BD93,"Sim","Não")))</f>
        <v>Não</v>
      </c>
      <c r="BH93" s="7" t="n">
        <v>0.85</v>
      </c>
      <c r="BI93" s="7" t="n">
        <v>0.88</v>
      </c>
      <c r="BJ93" s="4" t="n">
        <f aca="false">IF(OR(BH93="",BI93=""),"",IFERROR(IF($K93="%",BI93-BH93,BI93/BH93-1),""))</f>
        <v>0.0352941176470589</v>
      </c>
      <c r="BK93" s="5" t="str">
        <f aca="false">IF(OR(BH93="",BI93=""),"",IF($F93="Maior Melhor",IF(BI93&gt;=BH93,"Sim","Não"),IF(BI93&lt;=BH93,"Sim","Não")))</f>
        <v>Sim</v>
      </c>
      <c r="BL93" s="8"/>
      <c r="BM93" s="8"/>
      <c r="BN93" s="4" t="str">
        <f aca="false">IF(OR(BL93="",BM93=""),"",IFERROR(IF($K93="%",BM93-BL93,BM93/BL93-1),""))</f>
        <v/>
      </c>
      <c r="BO93" s="5" t="str">
        <f aca="false">IF(OR(BL93="",BM93=""),"",IF($F93="Maior Melhor",IF(BM93&gt;=BL93,"Sim","Não"),IF(BM93&lt;=BL93,"Sim","Não")))</f>
        <v/>
      </c>
      <c r="BP93" s="8"/>
      <c r="BQ93" s="8"/>
      <c r="BR93" s="4" t="str">
        <f aca="false">IF(OR(BP93="",BQ93=""),"",IFERROR(IF($K93="%",BQ93-BP93,BQ93/BP93-1),""))</f>
        <v/>
      </c>
      <c r="BS93" s="5" t="str">
        <f aca="false">IF(OR(BP93="",BQ93=""),"",IF($F93="Maior Melhor",IF(BQ93&gt;=BP93,"Sim","Não"),IF(BQ93&lt;=BP93,"Sim","Não")))</f>
        <v/>
      </c>
      <c r="BT93" s="8"/>
      <c r="BU93" s="8"/>
      <c r="BV93" s="4" t="str">
        <f aca="false">IF(OR(BT93="",BU93=""),"",IFERROR(IF($K93="%",BU93-BT93,BU93/BT93-1),""))</f>
        <v/>
      </c>
      <c r="BW93" s="5" t="str">
        <f aca="false">IF(OR(BT93="",BU93=""),"",IF($F93="Maior Melhor",IF(BU93&gt;=BT93,"Sim","Não"),IF(BU93&lt;=BT93,"Sim","Não")))</f>
        <v/>
      </c>
      <c r="BX93" s="8"/>
      <c r="BY93" s="8"/>
      <c r="BZ93" s="4" t="str">
        <f aca="false">IF(OR(BX93="",BY93=""),"",IFERROR(IF($K93="%",BY93-BX93,BY93/BX93-1),""))</f>
        <v/>
      </c>
      <c r="CA93" s="5" t="str">
        <f aca="false">IF(OR(BX93="",BY93=""),"",IF($F93="Maior Melhor",IF(BY93&gt;=BX93,"Sim","Não"),IF(BY93&lt;=BX93,"Sim","Não")))</f>
        <v/>
      </c>
      <c r="CB93" s="8"/>
      <c r="CC93" s="8"/>
      <c r="CD93" s="4" t="str">
        <f aca="false">IF(OR(CB93="",CC93=""),"",IFERROR(IF($K93="%",CC93-CB93,CC93/CB93-1),""))</f>
        <v/>
      </c>
      <c r="CE93" s="5" t="str">
        <f aca="false">IF(OR(CB93="",CC93=""),"",IF($F93="Maior Melhor",IF(CC93&gt;=CB93,"Sim","Não"),IF(CC93&lt;=CB93,"Sim","Não")))</f>
        <v/>
      </c>
      <c r="CF93" s="8"/>
      <c r="CG93" s="8"/>
      <c r="CH93" s="4" t="str">
        <f aca="false">IF(OR(CF93="",CG93=""),"",IFERROR(IF($K93="%",CG93-CF93,CG93/CF93-1),""))</f>
        <v/>
      </c>
      <c r="CI93" s="5" t="str">
        <f aca="false">IF(OR(CF93="",CG93=""),"",IF($F93="Maior Melhor",IF(CG93&gt;=CF93,"Sim","Não"),IF(CG93&lt;=CF93,"Sim","Não")))</f>
        <v/>
      </c>
      <c r="CJ93" s="8"/>
      <c r="CK93" s="8"/>
      <c r="CL93" s="4" t="str">
        <f aca="false">IF(OR(CJ93="",CK93=""),"",IFERROR(IF($K93="%",CK93-CJ93,CK93/CJ93-1),""))</f>
        <v/>
      </c>
      <c r="CM93" s="5" t="str">
        <f aca="false">IF(OR(CJ93="",CK93=""),"",IF($F93="Maior Melhor",IF(CK93&gt;=CJ93,"Sim","Não"),IF(CK93&lt;=CJ93,"Sim","Não")))</f>
        <v/>
      </c>
      <c r="CN93" s="8"/>
      <c r="CO93" s="8"/>
      <c r="CP93" s="4" t="str">
        <f aca="false">IF(OR(CN93="",CO93=""),"",IFERROR(IF($K93="%",CO93-CN93,CO93/CN93-1),""))</f>
        <v/>
      </c>
      <c r="CQ93" s="5" t="str">
        <f aca="false">IF(OR(CN93="",CO93=""),"",IF($F93="Maior Melhor",IF(CO93&gt;=CN93,"Sim","Não"),IF(CO93&lt;=CN93,"Sim","Não")))</f>
        <v/>
      </c>
      <c r="CR93" s="2" t="s">
        <v>105</v>
      </c>
    </row>
    <row r="94" customFormat="false" ht="15" hidden="false" customHeight="false" outlineLevel="0" collapsed="false">
      <c r="A94" s="2" t="s">
        <v>144</v>
      </c>
      <c r="B94" s="2" t="s">
        <v>108</v>
      </c>
      <c r="C94" s="2" t="s">
        <v>109</v>
      </c>
      <c r="D94" s="2" t="s">
        <v>155</v>
      </c>
      <c r="E94" s="2" t="str">
        <f aca="false">C94&amp;D94</f>
        <v>Gerência SudoesteComportamento seguro</v>
      </c>
      <c r="F94" s="2" t="s">
        <v>100</v>
      </c>
      <c r="G94" s="2" t="s">
        <v>156</v>
      </c>
      <c r="H94" s="2" t="s">
        <v>102</v>
      </c>
      <c r="I94" s="2" t="s">
        <v>103</v>
      </c>
      <c r="J94" s="2" t="n">
        <v>3</v>
      </c>
      <c r="K94" s="2" t="s">
        <v>147</v>
      </c>
      <c r="L94" s="7" t="n">
        <v>0.85</v>
      </c>
      <c r="M94" s="7" t="n">
        <v>0.7</v>
      </c>
      <c r="N94" s="4" t="n">
        <f aca="false">IF(OR(L94="",M94=""),"",IFERROR(IF($K94="%",M94-L94,M94/L94-1),""))</f>
        <v>-0.176470588235294</v>
      </c>
      <c r="O94" s="5" t="str">
        <f aca="false">IF(OR(L94="",M94=""),"",IF($F94="Maior Melhor",IF(M94&gt;=L94,"Sim","Não"),IF(M94&lt;=L94,"Sim","Não")))</f>
        <v>Não</v>
      </c>
      <c r="P94" s="7" t="n">
        <v>0.85</v>
      </c>
      <c r="Q94" s="7" t="n">
        <v>0.82</v>
      </c>
      <c r="R94" s="4" t="n">
        <f aca="false">IF(OR(P94="",Q94=""),"",IFERROR(IF($K94="%",Q94-P94,Q94/P94-1),""))</f>
        <v>-0.0352941176470588</v>
      </c>
      <c r="S94" s="5" t="str">
        <f aca="false">IF(OR(P94="",Q94=""),"",IF($F94="Maior Melhor",IF(Q94&gt;=P94,"Sim","Não"),IF(Q94&lt;=P94,"Sim","Não")))</f>
        <v>Não</v>
      </c>
      <c r="T94" s="7" t="n">
        <v>0.85</v>
      </c>
      <c r="U94" s="7" t="n">
        <v>0.9</v>
      </c>
      <c r="V94" s="4" t="n">
        <f aca="false">IF(OR(T94="",U94=""),"",IFERROR(IF($K94="%",U94-T94,U94/T94-1),""))</f>
        <v>0.0588235294117647</v>
      </c>
      <c r="W94" s="5" t="str">
        <f aca="false">IF(OR(T94="",U94=""),"",IF($F94="Maior Melhor",IF(U94&gt;=T94,"Sim","Não"),IF(U94&lt;=T94,"Sim","Não")))</f>
        <v>Sim</v>
      </c>
      <c r="X94" s="7" t="n">
        <v>0.85</v>
      </c>
      <c r="Y94" s="7" t="n">
        <v>0.68</v>
      </c>
      <c r="Z94" s="4" t="n">
        <f aca="false">IF(OR(X94="",Y94=""),"",IFERROR(IF($K94="%",Y94-X94,Y94/X94-1),""))</f>
        <v>-0.2</v>
      </c>
      <c r="AA94" s="5" t="str">
        <f aca="false">IF(OR(X94="",Y94=""),"",IF($F94="Maior Melhor",IF(Y94&gt;=X94,"Sim","Não"),IF(Y94&lt;=X94,"Sim","Não")))</f>
        <v>Não</v>
      </c>
      <c r="AB94" s="7" t="n">
        <v>0.85</v>
      </c>
      <c r="AC94" s="7" t="n">
        <v>0.77</v>
      </c>
      <c r="AD94" s="4" t="n">
        <f aca="false">IF(OR(AB94="",AC94=""),"",IFERROR(IF($K94="%",AC94-AB94,AC94/AB94-1),""))</f>
        <v>-0.0941176470588235</v>
      </c>
      <c r="AE94" s="5" t="str">
        <f aca="false">IF(OR(AB94="",AC94=""),"",IF($F94="Maior Melhor",IF(AC94&gt;=AB94,"Sim","Não"),IF(AC94&lt;=AB94,"Sim","Não")))</f>
        <v>Não</v>
      </c>
      <c r="AF94" s="7" t="n">
        <v>0.85</v>
      </c>
      <c r="AG94" s="7" t="n">
        <v>0.89</v>
      </c>
      <c r="AH94" s="4" t="n">
        <f aca="false">IF(OR(AF94="",AG94=""),"",IFERROR(IF($K94="%",AG94-AF94,AG94/AF94-1),""))</f>
        <v>0.0470588235294118</v>
      </c>
      <c r="AI94" s="5" t="str">
        <f aca="false">IF(OR(AF94="",AG94=""),"",IF($F94="Maior Melhor",IF(AG94&gt;=AF94,"Sim","Não"),IF(AG94&lt;=AF94,"Sim","Não")))</f>
        <v>Sim</v>
      </c>
      <c r="AJ94" s="7" t="n">
        <v>0.85</v>
      </c>
      <c r="AK94" s="7" t="n">
        <v>0.8</v>
      </c>
      <c r="AL94" s="4" t="n">
        <f aca="false">IF(OR(AJ94="",AK94=""),"",IFERROR(IF($K94="%",AK94-AJ94,AK94/AJ94-1),""))</f>
        <v>-0.0588235294117646</v>
      </c>
      <c r="AM94" s="5" t="str">
        <f aca="false">IF(OR(AJ94="",AK94=""),"",IF($F94="Maior Melhor",IF(AK94&gt;=AJ94,"Sim","Não"),IF(AK94&lt;=AJ94,"Sim","Não")))</f>
        <v>Não</v>
      </c>
      <c r="AN94" s="7" t="n">
        <v>0.85</v>
      </c>
      <c r="AO94" s="7" t="n">
        <v>0.91</v>
      </c>
      <c r="AP94" s="4" t="n">
        <f aca="false">IF(OR(AN94="",AO94=""),"",IFERROR(IF($K94="%",AO94-AN94,AO94/AN94-1),""))</f>
        <v>0.0705882352941176</v>
      </c>
      <c r="AQ94" s="5" t="str">
        <f aca="false">IF(OR(AN94="",AO94=""),"",IF($F94="Maior Melhor",IF(AO94&gt;=AN94,"Sim","Não"),IF(AO94&lt;=AN94,"Sim","Não")))</f>
        <v>Sim</v>
      </c>
      <c r="AR94" s="7" t="n">
        <v>0.85</v>
      </c>
      <c r="AS94" s="7" t="n">
        <v>0.81</v>
      </c>
      <c r="AT94" s="4" t="n">
        <f aca="false">IF(OR(AR94="",AS94=""),"",IFERROR(IF($K94="%",AS94-AR94,AS94/AR94-1),""))</f>
        <v>-0.0470588235294117</v>
      </c>
      <c r="AU94" s="5" t="str">
        <f aca="false">IF(OR(AR94="",AS94=""),"",IF($F94="Maior Melhor",IF(AS94&gt;=AR94,"Sim","Não"),IF(AS94&lt;=AR94,"Sim","Não")))</f>
        <v>Não</v>
      </c>
      <c r="AV94" s="7" t="n">
        <v>0.85</v>
      </c>
      <c r="AW94" s="7" t="n">
        <v>0.54</v>
      </c>
      <c r="AX94" s="4" t="n">
        <f aca="false">IF(OR(AV94="",AW94=""),"",IFERROR(IF($K94="%",AW94-AV94,AW94/AV94-1),""))</f>
        <v>-0.364705882352941</v>
      </c>
      <c r="AY94" s="5" t="str">
        <f aca="false">IF(OR(AV94="",AW94=""),"",IF($F94="Maior Melhor",IF(AW94&gt;=AV94,"Sim","Não"),IF(AW94&lt;=AV94,"Sim","Não")))</f>
        <v>Não</v>
      </c>
      <c r="AZ94" s="7" t="n">
        <v>0.85</v>
      </c>
      <c r="BA94" s="7" t="n">
        <v>0.7</v>
      </c>
      <c r="BB94" s="4" t="n">
        <f aca="false">IF(OR(AZ94="",BA94=""),"",IFERROR(IF($K94="%",BA94-AZ94,BA94/AZ94-1),""))</f>
        <v>-0.176470588235294</v>
      </c>
      <c r="BC94" s="5" t="str">
        <f aca="false">IF(OR(AZ94="",BA94=""),"",IF($F94="Maior Melhor",IF(BA94&gt;=AZ94,"Sim","Não"),IF(BA94&lt;=AZ94,"Sim","Não")))</f>
        <v>Não</v>
      </c>
      <c r="BD94" s="7" t="n">
        <v>0.85</v>
      </c>
      <c r="BE94" s="7" t="n">
        <v>0.84</v>
      </c>
      <c r="BF94" s="4" t="n">
        <f aca="false">IF(OR(BD94="",BE94=""),"",IFERROR(IF($K94="%",BE94-BD94,BE94/BD94-1),""))</f>
        <v>-0.0117647058823529</v>
      </c>
      <c r="BG94" s="5" t="str">
        <f aca="false">IF(OR(BD94="",BE94=""),"",IF($F94="Maior Melhor",IF(BE94&gt;=BD94,"Sim","Não"),IF(BE94&lt;=BD94,"Sim","Não")))</f>
        <v>Não</v>
      </c>
      <c r="BH94" s="7" t="n">
        <v>0.85</v>
      </c>
      <c r="BI94" s="7" t="n">
        <v>0.83</v>
      </c>
      <c r="BJ94" s="4" t="n">
        <f aca="false">IF(OR(BH94="",BI94=""),"",IFERROR(IF($K94="%",BI94-BH94,BI94/BH94-1),""))</f>
        <v>-0.0235294117647059</v>
      </c>
      <c r="BK94" s="5" t="str">
        <f aca="false">IF(OR(BH94="",BI94=""),"",IF($F94="Maior Melhor",IF(BI94&gt;=BH94,"Sim","Não"),IF(BI94&lt;=BH94,"Sim","Não")))</f>
        <v>Não</v>
      </c>
      <c r="BL94" s="8"/>
      <c r="BM94" s="8"/>
      <c r="BN94" s="4" t="str">
        <f aca="false">IF(OR(BL94="",BM94=""),"",IFERROR(IF($K94="%",BM94-BL94,BM94/BL94-1),""))</f>
        <v/>
      </c>
      <c r="BO94" s="5" t="str">
        <f aca="false">IF(OR(BL94="",BM94=""),"",IF($F94="Maior Melhor",IF(BM94&gt;=BL94,"Sim","Não"),IF(BM94&lt;=BL94,"Sim","Não")))</f>
        <v/>
      </c>
      <c r="BP94" s="8"/>
      <c r="BQ94" s="8"/>
      <c r="BR94" s="4" t="str">
        <f aca="false">IF(OR(BP94="",BQ94=""),"",IFERROR(IF($K94="%",BQ94-BP94,BQ94/BP94-1),""))</f>
        <v/>
      </c>
      <c r="BS94" s="5" t="str">
        <f aca="false">IF(OR(BP94="",BQ94=""),"",IF($F94="Maior Melhor",IF(BQ94&gt;=BP94,"Sim","Não"),IF(BQ94&lt;=BP94,"Sim","Não")))</f>
        <v/>
      </c>
      <c r="BT94" s="8"/>
      <c r="BU94" s="8"/>
      <c r="BV94" s="4" t="str">
        <f aca="false">IF(OR(BT94="",BU94=""),"",IFERROR(IF($K94="%",BU94-BT94,BU94/BT94-1),""))</f>
        <v/>
      </c>
      <c r="BW94" s="5" t="str">
        <f aca="false">IF(OR(BT94="",BU94=""),"",IF($F94="Maior Melhor",IF(BU94&gt;=BT94,"Sim","Não"),IF(BU94&lt;=BT94,"Sim","Não")))</f>
        <v/>
      </c>
      <c r="BX94" s="8"/>
      <c r="BY94" s="8"/>
      <c r="BZ94" s="4" t="str">
        <f aca="false">IF(OR(BX94="",BY94=""),"",IFERROR(IF($K94="%",BY94-BX94,BY94/BX94-1),""))</f>
        <v/>
      </c>
      <c r="CA94" s="5" t="str">
        <f aca="false">IF(OR(BX94="",BY94=""),"",IF($F94="Maior Melhor",IF(BY94&gt;=BX94,"Sim","Não"),IF(BY94&lt;=BX94,"Sim","Não")))</f>
        <v/>
      </c>
      <c r="CB94" s="8"/>
      <c r="CC94" s="8"/>
      <c r="CD94" s="4" t="str">
        <f aca="false">IF(OR(CB94="",CC94=""),"",IFERROR(IF($K94="%",CC94-CB94,CC94/CB94-1),""))</f>
        <v/>
      </c>
      <c r="CE94" s="5" t="str">
        <f aca="false">IF(OR(CB94="",CC94=""),"",IF($F94="Maior Melhor",IF(CC94&gt;=CB94,"Sim","Não"),IF(CC94&lt;=CB94,"Sim","Não")))</f>
        <v/>
      </c>
      <c r="CF94" s="8"/>
      <c r="CG94" s="8"/>
      <c r="CH94" s="4" t="str">
        <f aca="false">IF(OR(CF94="",CG94=""),"",IFERROR(IF($K94="%",CG94-CF94,CG94/CF94-1),""))</f>
        <v/>
      </c>
      <c r="CI94" s="5" t="str">
        <f aca="false">IF(OR(CF94="",CG94=""),"",IF($F94="Maior Melhor",IF(CG94&gt;=CF94,"Sim","Não"),IF(CG94&lt;=CF94,"Sim","Não")))</f>
        <v/>
      </c>
      <c r="CJ94" s="8"/>
      <c r="CK94" s="8"/>
      <c r="CL94" s="4" t="str">
        <f aca="false">IF(OR(CJ94="",CK94=""),"",IFERROR(IF($K94="%",CK94-CJ94,CK94/CJ94-1),""))</f>
        <v/>
      </c>
      <c r="CM94" s="5" t="str">
        <f aca="false">IF(OR(CJ94="",CK94=""),"",IF($F94="Maior Melhor",IF(CK94&gt;=CJ94,"Sim","Não"),IF(CK94&lt;=CJ94,"Sim","Não")))</f>
        <v/>
      </c>
      <c r="CN94" s="8"/>
      <c r="CO94" s="8"/>
      <c r="CP94" s="4" t="str">
        <f aca="false">IF(OR(CN94="",CO94=""),"",IFERROR(IF($K94="%",CO94-CN94,CO94/CN94-1),""))</f>
        <v/>
      </c>
      <c r="CQ94" s="5" t="str">
        <f aca="false">IF(OR(CN94="",CO94=""),"",IF($F94="Maior Melhor",IF(CO94&gt;=CN94,"Sim","Não"),IF(CO94&lt;=CN94,"Sim","Não")))</f>
        <v/>
      </c>
      <c r="CR94" s="2" t="s">
        <v>105</v>
      </c>
    </row>
    <row r="95" customFormat="false" ht="15" hidden="false" customHeight="false" outlineLevel="0" collapsed="false">
      <c r="A95" s="2" t="s">
        <v>144</v>
      </c>
      <c r="B95" s="2" t="s">
        <v>110</v>
      </c>
      <c r="C95" s="2" t="s">
        <v>110</v>
      </c>
      <c r="D95" s="2" t="s">
        <v>155</v>
      </c>
      <c r="E95" s="2" t="str">
        <f aca="false">C95&amp;D95</f>
        <v>Sup OesteComportamento seguro</v>
      </c>
      <c r="F95" s="2" t="s">
        <v>100</v>
      </c>
      <c r="G95" s="2" t="s">
        <v>156</v>
      </c>
      <c r="H95" s="2" t="s">
        <v>102</v>
      </c>
      <c r="I95" s="2" t="s">
        <v>103</v>
      </c>
      <c r="J95" s="2" t="n">
        <v>3</v>
      </c>
      <c r="K95" s="2" t="s">
        <v>147</v>
      </c>
      <c r="L95" s="7" t="n">
        <v>0.85</v>
      </c>
      <c r="M95" s="7" t="n">
        <v>0.75</v>
      </c>
      <c r="N95" s="4" t="n">
        <f aca="false">IF(OR(L95="",M95=""),"",IFERROR(IF($K95="%",M95-L95,M95/L95-1),""))</f>
        <v>-0.117647058823529</v>
      </c>
      <c r="O95" s="5" t="str">
        <f aca="false">IF(OR(L95="",M95=""),"",IF($F95="Maior Melhor",IF(M95&gt;=L95,"Sim","Não"),IF(M95&lt;=L95,"Sim","Não")))</f>
        <v>Não</v>
      </c>
      <c r="P95" s="7" t="n">
        <v>0.85</v>
      </c>
      <c r="Q95" s="7" t="n">
        <v>0.8</v>
      </c>
      <c r="R95" s="4" t="n">
        <f aca="false">IF(OR(P95="",Q95=""),"",IFERROR(IF($K95="%",Q95-P95,Q95/P95-1),""))</f>
        <v>-0.0588235294117646</v>
      </c>
      <c r="S95" s="5" t="str">
        <f aca="false">IF(OR(P95="",Q95=""),"",IF($F95="Maior Melhor",IF(Q95&gt;=P95,"Sim","Não"),IF(Q95&lt;=P95,"Sim","Não")))</f>
        <v>Não</v>
      </c>
      <c r="T95" s="7" t="n">
        <v>0.85</v>
      </c>
      <c r="U95" s="7" t="n">
        <v>0.94</v>
      </c>
      <c r="V95" s="4" t="n">
        <f aca="false">IF(OR(T95="",U95=""),"",IFERROR(IF($K95="%",U95-T95,U95/T95-1),""))</f>
        <v>0.105882352941177</v>
      </c>
      <c r="W95" s="5" t="str">
        <f aca="false">IF(OR(T95="",U95=""),"",IF($F95="Maior Melhor",IF(U95&gt;=T95,"Sim","Não"),IF(U95&lt;=T95,"Sim","Não")))</f>
        <v>Sim</v>
      </c>
      <c r="X95" s="7" t="n">
        <v>0.85</v>
      </c>
      <c r="Y95" s="7" t="n">
        <v>0.77</v>
      </c>
      <c r="Z95" s="4" t="n">
        <f aca="false">IF(OR(X95="",Y95=""),"",IFERROR(IF($K95="%",Y95-X95,Y95/X95-1),""))</f>
        <v>-0.0941176470588235</v>
      </c>
      <c r="AA95" s="5" t="str">
        <f aca="false">IF(OR(X95="",Y95=""),"",IF($F95="Maior Melhor",IF(Y95&gt;=X95,"Sim","Não"),IF(Y95&lt;=X95,"Sim","Não")))</f>
        <v>Não</v>
      </c>
      <c r="AB95" s="7" t="n">
        <v>0.85</v>
      </c>
      <c r="AC95" s="7" t="n">
        <v>0.81</v>
      </c>
      <c r="AD95" s="4" t="n">
        <f aca="false">IF(OR(AB95="",AC95=""),"",IFERROR(IF($K95="%",AC95-AB95,AC95/AB95-1),""))</f>
        <v>-0.0470588235294117</v>
      </c>
      <c r="AE95" s="5" t="str">
        <f aca="false">IF(OR(AB95="",AC95=""),"",IF($F95="Maior Melhor",IF(AC95&gt;=AB95,"Sim","Não"),IF(AC95&lt;=AB95,"Sim","Não")))</f>
        <v>Não</v>
      </c>
      <c r="AF95" s="7" t="n">
        <v>0.85</v>
      </c>
      <c r="AG95" s="7" t="n">
        <v>0.89</v>
      </c>
      <c r="AH95" s="4" t="n">
        <f aca="false">IF(OR(AF95="",AG95=""),"",IFERROR(IF($K95="%",AG95-AF95,AG95/AF95-1),""))</f>
        <v>0.0470588235294118</v>
      </c>
      <c r="AI95" s="5" t="str">
        <f aca="false">IF(OR(AF95="",AG95=""),"",IF($F95="Maior Melhor",IF(AG95&gt;=AF95,"Sim","Não"),IF(AG95&lt;=AF95,"Sim","Não")))</f>
        <v>Sim</v>
      </c>
      <c r="AJ95" s="7" t="n">
        <v>0.85</v>
      </c>
      <c r="AK95" s="7" t="n">
        <v>0.83</v>
      </c>
      <c r="AL95" s="4" t="n">
        <f aca="false">IF(OR(AJ95="",AK95=""),"",IFERROR(IF($K95="%",AK95-AJ95,AK95/AJ95-1),""))</f>
        <v>-0.0235294117647059</v>
      </c>
      <c r="AM95" s="5" t="str">
        <f aca="false">IF(OR(AJ95="",AK95=""),"",IF($F95="Maior Melhor",IF(AK95&gt;=AJ95,"Sim","Não"),IF(AK95&lt;=AJ95,"Sim","Não")))</f>
        <v>Não</v>
      </c>
      <c r="AN95" s="7" t="n">
        <v>0.85</v>
      </c>
      <c r="AO95" s="7" t="n">
        <v>0.92</v>
      </c>
      <c r="AP95" s="4" t="n">
        <f aca="false">IF(OR(AN95="",AO95=""),"",IFERROR(IF($K95="%",AO95-AN95,AO95/AN95-1),""))</f>
        <v>0.0823529411764707</v>
      </c>
      <c r="AQ95" s="5" t="str">
        <f aca="false">IF(OR(AN95="",AO95=""),"",IF($F95="Maior Melhor",IF(AO95&gt;=AN95,"Sim","Não"),IF(AO95&lt;=AN95,"Sim","Não")))</f>
        <v>Sim</v>
      </c>
      <c r="AR95" s="7" t="n">
        <v>0.85</v>
      </c>
      <c r="AS95" s="7" t="n">
        <v>0.85</v>
      </c>
      <c r="AT95" s="4" t="n">
        <f aca="false">IF(OR(AR95="",AS95=""),"",IFERROR(IF($K95="%",AS95-AR95,AS95/AR95-1),""))</f>
        <v>0</v>
      </c>
      <c r="AU95" s="5" t="str">
        <f aca="false">IF(OR(AR95="",AS95=""),"",IF($F95="Maior Melhor",IF(AS95&gt;=AR95,"Sim","Não"),IF(AS95&lt;=AR95,"Sim","Não")))</f>
        <v>Sim</v>
      </c>
      <c r="AV95" s="7" t="n">
        <v>0.85</v>
      </c>
      <c r="AW95" s="7" t="n">
        <v>0.73</v>
      </c>
      <c r="AX95" s="4" t="n">
        <f aca="false">IF(OR(AV95="",AW95=""),"",IFERROR(IF($K95="%",AW95-AV95,AW95/AV95-1),""))</f>
        <v>-0.141176470588235</v>
      </c>
      <c r="AY95" s="5" t="str">
        <f aca="false">IF(OR(AV95="",AW95=""),"",IF($F95="Maior Melhor",IF(AW95&gt;=AV95,"Sim","Não"),IF(AW95&lt;=AV95,"Sim","Não")))</f>
        <v>Não</v>
      </c>
      <c r="AZ95" s="7" t="n">
        <v>0.85</v>
      </c>
      <c r="BA95" s="7" t="n">
        <v>0.79</v>
      </c>
      <c r="BB95" s="4" t="n">
        <f aca="false">IF(OR(AZ95="",BA95=""),"",IFERROR(IF($K95="%",BA95-AZ95,BA95/AZ95-1),""))</f>
        <v>-0.0705882352941176</v>
      </c>
      <c r="BC95" s="5" t="str">
        <f aca="false">IF(OR(AZ95="",BA95=""),"",IF($F95="Maior Melhor",IF(BA95&gt;=AZ95,"Sim","Não"),IF(BA95&lt;=AZ95,"Sim","Não")))</f>
        <v>Não</v>
      </c>
      <c r="BD95" s="7" t="n">
        <v>0.85</v>
      </c>
      <c r="BE95" s="7" t="n">
        <v>0.92</v>
      </c>
      <c r="BF95" s="4" t="n">
        <f aca="false">IF(OR(BD95="",BE95=""),"",IFERROR(IF($K95="%",BE95-BD95,BE95/BD95-1),""))</f>
        <v>0.0823529411764707</v>
      </c>
      <c r="BG95" s="5" t="str">
        <f aca="false">IF(OR(BD95="",BE95=""),"",IF($F95="Maior Melhor",IF(BE95&gt;=BD95,"Sim","Não"),IF(BE95&lt;=BD95,"Sim","Não")))</f>
        <v>Sim</v>
      </c>
      <c r="BH95" s="7" t="n">
        <v>0.85</v>
      </c>
      <c r="BI95" s="7" t="n">
        <v>0.84</v>
      </c>
      <c r="BJ95" s="4" t="n">
        <f aca="false">IF(OR(BH95="",BI95=""),"",IFERROR(IF($K95="%",BI95-BH95,BI95/BH95-1),""))</f>
        <v>-0.0117647058823529</v>
      </c>
      <c r="BK95" s="5" t="str">
        <f aca="false">IF(OR(BH95="",BI95=""),"",IF($F95="Maior Melhor",IF(BI95&gt;=BH95,"Sim","Não"),IF(BI95&lt;=BH95,"Sim","Não")))</f>
        <v>Não</v>
      </c>
      <c r="BL95" s="8"/>
      <c r="BM95" s="8"/>
      <c r="BN95" s="4" t="str">
        <f aca="false">IF(OR(BL95="",BM95=""),"",IFERROR(IF($K95="%",BM95-BL95,BM95/BL95-1),""))</f>
        <v/>
      </c>
      <c r="BO95" s="5" t="str">
        <f aca="false">IF(OR(BL95="",BM95=""),"",IF($F95="Maior Melhor",IF(BM95&gt;=BL95,"Sim","Não"),IF(BM95&lt;=BL95,"Sim","Não")))</f>
        <v/>
      </c>
      <c r="BP95" s="8"/>
      <c r="BQ95" s="8"/>
      <c r="BR95" s="4" t="str">
        <f aca="false">IF(OR(BP95="",BQ95=""),"",IFERROR(IF($K95="%",BQ95-BP95,BQ95/BP95-1),""))</f>
        <v/>
      </c>
      <c r="BS95" s="5" t="str">
        <f aca="false">IF(OR(BP95="",BQ95=""),"",IF($F95="Maior Melhor",IF(BQ95&gt;=BP95,"Sim","Não"),IF(BQ95&lt;=BP95,"Sim","Não")))</f>
        <v/>
      </c>
      <c r="BT95" s="8"/>
      <c r="BU95" s="8"/>
      <c r="BV95" s="4" t="str">
        <f aca="false">IF(OR(BT95="",BU95=""),"",IFERROR(IF($K95="%",BU95-BT95,BU95/BT95-1),""))</f>
        <v/>
      </c>
      <c r="BW95" s="5" t="str">
        <f aca="false">IF(OR(BT95="",BU95=""),"",IF($F95="Maior Melhor",IF(BU95&gt;=BT95,"Sim","Não"),IF(BU95&lt;=BT95,"Sim","Não")))</f>
        <v/>
      </c>
      <c r="BX95" s="8"/>
      <c r="BY95" s="8"/>
      <c r="BZ95" s="4" t="str">
        <f aca="false">IF(OR(BX95="",BY95=""),"",IFERROR(IF($K95="%",BY95-BX95,BY95/BX95-1),""))</f>
        <v/>
      </c>
      <c r="CA95" s="5" t="str">
        <f aca="false">IF(OR(BX95="",BY95=""),"",IF($F95="Maior Melhor",IF(BY95&gt;=BX95,"Sim","Não"),IF(BY95&lt;=BX95,"Sim","Não")))</f>
        <v/>
      </c>
      <c r="CB95" s="8"/>
      <c r="CC95" s="8"/>
      <c r="CD95" s="4" t="str">
        <f aca="false">IF(OR(CB95="",CC95=""),"",IFERROR(IF($K95="%",CC95-CB95,CC95/CB95-1),""))</f>
        <v/>
      </c>
      <c r="CE95" s="5" t="str">
        <f aca="false">IF(OR(CB95="",CC95=""),"",IF($F95="Maior Melhor",IF(CC95&gt;=CB95,"Sim","Não"),IF(CC95&lt;=CB95,"Sim","Não")))</f>
        <v/>
      </c>
      <c r="CF95" s="8"/>
      <c r="CG95" s="8"/>
      <c r="CH95" s="4" t="str">
        <f aca="false">IF(OR(CF95="",CG95=""),"",IFERROR(IF($K95="%",CG95-CF95,CG95/CF95-1),""))</f>
        <v/>
      </c>
      <c r="CI95" s="5" t="str">
        <f aca="false">IF(OR(CF95="",CG95=""),"",IF($F95="Maior Melhor",IF(CG95&gt;=CF95,"Sim","Não"),IF(CG95&lt;=CF95,"Sim","Não")))</f>
        <v/>
      </c>
      <c r="CJ95" s="8"/>
      <c r="CK95" s="8"/>
      <c r="CL95" s="4" t="str">
        <f aca="false">IF(OR(CJ95="",CK95=""),"",IFERROR(IF($K95="%",CK95-CJ95,CK95/CJ95-1),""))</f>
        <v/>
      </c>
      <c r="CM95" s="5" t="str">
        <f aca="false">IF(OR(CJ95="",CK95=""),"",IF($F95="Maior Melhor",IF(CK95&gt;=CJ95,"Sim","Não"),IF(CK95&lt;=CJ95,"Sim","Não")))</f>
        <v/>
      </c>
      <c r="CN95" s="8"/>
      <c r="CO95" s="8"/>
      <c r="CP95" s="4" t="str">
        <f aca="false">IF(OR(CN95="",CO95=""),"",IFERROR(IF($K95="%",CO95-CN95,CO95/CN95-1),""))</f>
        <v/>
      </c>
      <c r="CQ95" s="5" t="str">
        <f aca="false">IF(OR(CN95="",CO95=""),"",IF($F95="Maior Melhor",IF(CO95&gt;=CN95,"Sim","Não"),IF(CO95&lt;=CN95,"Sim","Não")))</f>
        <v/>
      </c>
      <c r="CR95" s="2" t="s">
        <v>105</v>
      </c>
    </row>
    <row r="96" customFormat="false" ht="15" hidden="false" customHeight="false" outlineLevel="0" collapsed="false">
      <c r="A96" s="2" t="s">
        <v>144</v>
      </c>
      <c r="B96" s="2" t="s">
        <v>106</v>
      </c>
      <c r="C96" s="2" t="s">
        <v>111</v>
      </c>
      <c r="D96" s="2" t="s">
        <v>155</v>
      </c>
      <c r="E96" s="2" t="str">
        <f aca="false">C96&amp;D96</f>
        <v>UTD BARREIRASComportamento seguro</v>
      </c>
      <c r="F96" s="2" t="s">
        <v>100</v>
      </c>
      <c r="G96" s="2" t="s">
        <v>156</v>
      </c>
      <c r="H96" s="2" t="s">
        <v>102</v>
      </c>
      <c r="I96" s="2" t="s">
        <v>103</v>
      </c>
      <c r="J96" s="2" t="n">
        <v>3</v>
      </c>
      <c r="K96" s="2" t="s">
        <v>147</v>
      </c>
      <c r="L96" s="7" t="n">
        <v>0.85</v>
      </c>
      <c r="M96" s="7" t="n">
        <v>1</v>
      </c>
      <c r="N96" s="4" t="n">
        <f aca="false">IF(OR(L96="",M96=""),"",IFERROR(IF($K96="%",M96-L96,M96/L96-1),""))</f>
        <v>0.176470588235294</v>
      </c>
      <c r="O96" s="5" t="str">
        <f aca="false">IF(OR(L96="",M96=""),"",IF($F96="Maior Melhor",IF(M96&gt;=L96,"Sim","Não"),IF(M96&lt;=L96,"Sim","Não")))</f>
        <v>Sim</v>
      </c>
      <c r="P96" s="7" t="n">
        <v>0.85</v>
      </c>
      <c r="Q96" s="7" t="n">
        <v>1</v>
      </c>
      <c r="R96" s="4" t="n">
        <f aca="false">IF(OR(P96="",Q96=""),"",IFERROR(IF($K96="%",Q96-P96,Q96/P96-1),""))</f>
        <v>0.176470588235294</v>
      </c>
      <c r="S96" s="5" t="str">
        <f aca="false">IF(OR(P96="",Q96=""),"",IF($F96="Maior Melhor",IF(Q96&gt;=P96,"Sim","Não"),IF(Q96&lt;=P96,"Sim","Não")))</f>
        <v>Sim</v>
      </c>
      <c r="T96" s="7" t="n">
        <v>0.85</v>
      </c>
      <c r="U96" s="7" t="n">
        <v>1</v>
      </c>
      <c r="V96" s="4" t="n">
        <f aca="false">IF(OR(T96="",U96=""),"",IFERROR(IF($K96="%",U96-T96,U96/T96-1),""))</f>
        <v>0.176470588235294</v>
      </c>
      <c r="W96" s="5" t="str">
        <f aca="false">IF(OR(T96="",U96=""),"",IF($F96="Maior Melhor",IF(U96&gt;=T96,"Sim","Não"),IF(U96&lt;=T96,"Sim","Não")))</f>
        <v>Sim</v>
      </c>
      <c r="X96" s="7" t="n">
        <v>0.85</v>
      </c>
      <c r="Y96" s="7" t="n">
        <v>1</v>
      </c>
      <c r="Z96" s="4" t="n">
        <f aca="false">IF(OR(X96="",Y96=""),"",IFERROR(IF($K96="%",Y96-X96,Y96/X96-1),""))</f>
        <v>0.176470588235294</v>
      </c>
      <c r="AA96" s="5" t="str">
        <f aca="false">IF(OR(X96="",Y96=""),"",IF($F96="Maior Melhor",IF(Y96&gt;=X96,"Sim","Não"),IF(Y96&lt;=X96,"Sim","Não")))</f>
        <v>Sim</v>
      </c>
      <c r="AB96" s="7" t="n">
        <v>0.85</v>
      </c>
      <c r="AC96" s="7" t="n">
        <v>1</v>
      </c>
      <c r="AD96" s="4" t="n">
        <f aca="false">IF(OR(AB96="",AC96=""),"",IFERROR(IF($K96="%",AC96-AB96,AC96/AB96-1),""))</f>
        <v>0.176470588235294</v>
      </c>
      <c r="AE96" s="5" t="str">
        <f aca="false">IF(OR(AB96="",AC96=""),"",IF($F96="Maior Melhor",IF(AC96&gt;=AB96,"Sim","Não"),IF(AC96&lt;=AB96,"Sim","Não")))</f>
        <v>Sim</v>
      </c>
      <c r="AF96" s="7" t="n">
        <v>0.85</v>
      </c>
      <c r="AG96" s="7" t="n">
        <v>1</v>
      </c>
      <c r="AH96" s="4" t="n">
        <f aca="false">IF(OR(AF96="",AG96=""),"",IFERROR(IF($K96="%",AG96-AF96,AG96/AF96-1),""))</f>
        <v>0.176470588235294</v>
      </c>
      <c r="AI96" s="5" t="str">
        <f aca="false">IF(OR(AF96="",AG96=""),"",IF($F96="Maior Melhor",IF(AG96&gt;=AF96,"Sim","Não"),IF(AG96&lt;=AF96,"Sim","Não")))</f>
        <v>Sim</v>
      </c>
      <c r="AJ96" s="7" t="n">
        <v>0.85</v>
      </c>
      <c r="AK96" s="7" t="n">
        <v>1</v>
      </c>
      <c r="AL96" s="4" t="n">
        <f aca="false">IF(OR(AJ96="",AK96=""),"",IFERROR(IF($K96="%",AK96-AJ96,AK96/AJ96-1),""))</f>
        <v>0.176470588235294</v>
      </c>
      <c r="AM96" s="5" t="str">
        <f aca="false">IF(OR(AJ96="",AK96=""),"",IF($F96="Maior Melhor",IF(AK96&gt;=AJ96,"Sim","Não"),IF(AK96&lt;=AJ96,"Sim","Não")))</f>
        <v>Sim</v>
      </c>
      <c r="AN96" s="7" t="n">
        <v>0.85</v>
      </c>
      <c r="AO96" s="7" t="n">
        <v>1</v>
      </c>
      <c r="AP96" s="4" t="n">
        <f aca="false">IF(OR(AN96="",AO96=""),"",IFERROR(IF($K96="%",AO96-AN96,AO96/AN96-1),""))</f>
        <v>0.176470588235294</v>
      </c>
      <c r="AQ96" s="5" t="str">
        <f aca="false">IF(OR(AN96="",AO96=""),"",IF($F96="Maior Melhor",IF(AO96&gt;=AN96,"Sim","Não"),IF(AO96&lt;=AN96,"Sim","Não")))</f>
        <v>Sim</v>
      </c>
      <c r="AR96" s="7" t="n">
        <v>0.85</v>
      </c>
      <c r="AS96" s="7" t="n">
        <v>1</v>
      </c>
      <c r="AT96" s="4" t="n">
        <f aca="false">IF(OR(AR96="",AS96=""),"",IFERROR(IF($K96="%",AS96-AR96,AS96/AR96-1),""))</f>
        <v>0.176470588235294</v>
      </c>
      <c r="AU96" s="5" t="str">
        <f aca="false">IF(OR(AR96="",AS96=""),"",IF($F96="Maior Melhor",IF(AS96&gt;=AR96,"Sim","Não"),IF(AS96&lt;=AR96,"Sim","Não")))</f>
        <v>Sim</v>
      </c>
      <c r="AV96" s="7" t="n">
        <v>0.85</v>
      </c>
      <c r="AW96" s="7" t="n">
        <v>0.77</v>
      </c>
      <c r="AX96" s="4" t="n">
        <f aca="false">IF(OR(AV96="",AW96=""),"",IFERROR(IF($K96="%",AW96-AV96,AW96/AV96-1),""))</f>
        <v>-0.0941176470588235</v>
      </c>
      <c r="AY96" s="5" t="str">
        <f aca="false">IF(OR(AV96="",AW96=""),"",IF($F96="Maior Melhor",IF(AW96&gt;=AV96,"Sim","Não"),IF(AW96&lt;=AV96,"Sim","Não")))</f>
        <v>Não</v>
      </c>
      <c r="AZ96" s="7" t="n">
        <v>0.85</v>
      </c>
      <c r="BA96" s="7" t="n">
        <v>0.97</v>
      </c>
      <c r="BB96" s="4" t="n">
        <f aca="false">IF(OR(AZ96="",BA96=""),"",IFERROR(IF($K96="%",BA96-AZ96,BA96/AZ96-1),""))</f>
        <v>0.141176470588235</v>
      </c>
      <c r="BC96" s="5" t="str">
        <f aca="false">IF(OR(AZ96="",BA96=""),"",IF($F96="Maior Melhor",IF(BA96&gt;=AZ96,"Sim","Não"),IF(BA96&lt;=AZ96,"Sim","Não")))</f>
        <v>Sim</v>
      </c>
      <c r="BD96" s="7" t="n">
        <v>0.85</v>
      </c>
      <c r="BE96" s="7" t="n">
        <v>1</v>
      </c>
      <c r="BF96" s="4" t="n">
        <f aca="false">IF(OR(BD96="",BE96=""),"",IFERROR(IF($K96="%",BE96-BD96,BE96/BD96-1),""))</f>
        <v>0.176470588235294</v>
      </c>
      <c r="BG96" s="5" t="str">
        <f aca="false">IF(OR(BD96="",BE96=""),"",IF($F96="Maior Melhor",IF(BE96&gt;=BD96,"Sim","Não"),IF(BE96&lt;=BD96,"Sim","Não")))</f>
        <v>Sim</v>
      </c>
      <c r="BH96" s="7" t="n">
        <v>0.85</v>
      </c>
      <c r="BI96" s="7" t="n">
        <v>0.97</v>
      </c>
      <c r="BJ96" s="4" t="n">
        <f aca="false">IF(OR(BH96="",BI96=""),"",IFERROR(IF($K96="%",BI96-BH96,BI96/BH96-1),""))</f>
        <v>0.141176470588235</v>
      </c>
      <c r="BK96" s="5" t="str">
        <f aca="false">IF(OR(BH96="",BI96=""),"",IF($F96="Maior Melhor",IF(BI96&gt;=BH96,"Sim","Não"),IF(BI96&lt;=BH96,"Sim","Não")))</f>
        <v>Sim</v>
      </c>
      <c r="BL96" s="8"/>
      <c r="BM96" s="8"/>
      <c r="BN96" s="4" t="str">
        <f aca="false">IF(OR(BL96="",BM96=""),"",IFERROR(IF($K96="%",BM96-BL96,BM96/BL96-1),""))</f>
        <v/>
      </c>
      <c r="BO96" s="5" t="str">
        <f aca="false">IF(OR(BL96="",BM96=""),"",IF($F96="Maior Melhor",IF(BM96&gt;=BL96,"Sim","Não"),IF(BM96&lt;=BL96,"Sim","Não")))</f>
        <v/>
      </c>
      <c r="BP96" s="8"/>
      <c r="BQ96" s="8"/>
      <c r="BR96" s="4" t="str">
        <f aca="false">IF(OR(BP96="",BQ96=""),"",IFERROR(IF($K96="%",BQ96-BP96,BQ96/BP96-1),""))</f>
        <v/>
      </c>
      <c r="BS96" s="5" t="str">
        <f aca="false">IF(OR(BP96="",BQ96=""),"",IF($F96="Maior Melhor",IF(BQ96&gt;=BP96,"Sim","Não"),IF(BQ96&lt;=BP96,"Sim","Não")))</f>
        <v/>
      </c>
      <c r="BT96" s="8"/>
      <c r="BU96" s="8"/>
      <c r="BV96" s="4" t="str">
        <f aca="false">IF(OR(BT96="",BU96=""),"",IFERROR(IF($K96="%",BU96-BT96,BU96/BT96-1),""))</f>
        <v/>
      </c>
      <c r="BW96" s="5" t="str">
        <f aca="false">IF(OR(BT96="",BU96=""),"",IF($F96="Maior Melhor",IF(BU96&gt;=BT96,"Sim","Não"),IF(BU96&lt;=BT96,"Sim","Não")))</f>
        <v/>
      </c>
      <c r="BX96" s="8"/>
      <c r="BY96" s="8"/>
      <c r="BZ96" s="4" t="str">
        <f aca="false">IF(OR(BX96="",BY96=""),"",IFERROR(IF($K96="%",BY96-BX96,BY96/BX96-1),""))</f>
        <v/>
      </c>
      <c r="CA96" s="5" t="str">
        <f aca="false">IF(OR(BX96="",BY96=""),"",IF($F96="Maior Melhor",IF(BY96&gt;=BX96,"Sim","Não"),IF(BY96&lt;=BX96,"Sim","Não")))</f>
        <v/>
      </c>
      <c r="CB96" s="8"/>
      <c r="CC96" s="8"/>
      <c r="CD96" s="4" t="str">
        <f aca="false">IF(OR(CB96="",CC96=""),"",IFERROR(IF($K96="%",CC96-CB96,CC96/CB96-1),""))</f>
        <v/>
      </c>
      <c r="CE96" s="5" t="str">
        <f aca="false">IF(OR(CB96="",CC96=""),"",IF($F96="Maior Melhor",IF(CC96&gt;=CB96,"Sim","Não"),IF(CC96&lt;=CB96,"Sim","Não")))</f>
        <v/>
      </c>
      <c r="CF96" s="8"/>
      <c r="CG96" s="8"/>
      <c r="CH96" s="4" t="str">
        <f aca="false">IF(OR(CF96="",CG96=""),"",IFERROR(IF($K96="%",CG96-CF96,CG96/CF96-1),""))</f>
        <v/>
      </c>
      <c r="CI96" s="5" t="str">
        <f aca="false">IF(OR(CF96="",CG96=""),"",IF($F96="Maior Melhor",IF(CG96&gt;=CF96,"Sim","Não"),IF(CG96&lt;=CF96,"Sim","Não")))</f>
        <v/>
      </c>
      <c r="CJ96" s="8"/>
      <c r="CK96" s="8"/>
      <c r="CL96" s="4" t="str">
        <f aca="false">IF(OR(CJ96="",CK96=""),"",IFERROR(IF($K96="%",CK96-CJ96,CK96/CJ96-1),""))</f>
        <v/>
      </c>
      <c r="CM96" s="5" t="str">
        <f aca="false">IF(OR(CJ96="",CK96=""),"",IF($F96="Maior Melhor",IF(CK96&gt;=CJ96,"Sim","Não"),IF(CK96&lt;=CJ96,"Sim","Não")))</f>
        <v/>
      </c>
      <c r="CN96" s="8"/>
      <c r="CO96" s="8"/>
      <c r="CP96" s="4" t="str">
        <f aca="false">IF(OR(CN96="",CO96=""),"",IFERROR(IF($K96="%",CO96-CN96,CO96/CN96-1),""))</f>
        <v/>
      </c>
      <c r="CQ96" s="5" t="str">
        <f aca="false">IF(OR(CN96="",CO96=""),"",IF($F96="Maior Melhor",IF(CO96&gt;=CN96,"Sim","Não"),IF(CO96&lt;=CN96,"Sim","Não")))</f>
        <v/>
      </c>
      <c r="CR96" s="2" t="s">
        <v>157</v>
      </c>
    </row>
    <row r="97" customFormat="false" ht="15" hidden="false" customHeight="false" outlineLevel="0" collapsed="false">
      <c r="A97" s="2" t="s">
        <v>144</v>
      </c>
      <c r="B97" s="2" t="s">
        <v>106</v>
      </c>
      <c r="C97" s="2" t="s">
        <v>113</v>
      </c>
      <c r="D97" s="2" t="s">
        <v>155</v>
      </c>
      <c r="E97" s="2" t="str">
        <f aca="false">C97&amp;D97</f>
        <v>UTD BOM JESUS DA LAPAComportamento seguro</v>
      </c>
      <c r="F97" s="2" t="s">
        <v>100</v>
      </c>
      <c r="G97" s="2" t="s">
        <v>156</v>
      </c>
      <c r="H97" s="2" t="s">
        <v>102</v>
      </c>
      <c r="I97" s="2" t="s">
        <v>103</v>
      </c>
      <c r="J97" s="2" t="n">
        <v>3</v>
      </c>
      <c r="K97" s="2" t="s">
        <v>147</v>
      </c>
      <c r="L97" s="7" t="n">
        <v>0.85</v>
      </c>
      <c r="M97" s="7" t="n">
        <v>0.02</v>
      </c>
      <c r="N97" s="4" t="n">
        <f aca="false">IF(OR(L97="",M97=""),"",IFERROR(IF($K97="%",M97-L97,M97/L97-1),""))</f>
        <v>-0.976470588235294</v>
      </c>
      <c r="O97" s="5" t="str">
        <f aca="false">IF(OR(L97="",M97=""),"",IF($F97="Maior Melhor",IF(M97&gt;=L97,"Sim","Não"),IF(M97&lt;=L97,"Sim","Não")))</f>
        <v>Não</v>
      </c>
      <c r="P97" s="7" t="n">
        <v>0.85</v>
      </c>
      <c r="Q97" s="7" t="n">
        <v>1</v>
      </c>
      <c r="R97" s="4" t="n">
        <f aca="false">IF(OR(P97="",Q97=""),"",IFERROR(IF($K97="%",Q97-P97,Q97/P97-1),""))</f>
        <v>0.176470588235294</v>
      </c>
      <c r="S97" s="5" t="str">
        <f aca="false">IF(OR(P97="",Q97=""),"",IF($F97="Maior Melhor",IF(Q97&gt;=P97,"Sim","Não"),IF(Q97&lt;=P97,"Sim","Não")))</f>
        <v>Sim</v>
      </c>
      <c r="T97" s="7" t="n">
        <v>0.85</v>
      </c>
      <c r="U97" s="7" t="n">
        <v>1</v>
      </c>
      <c r="V97" s="4" t="n">
        <f aca="false">IF(OR(T97="",U97=""),"",IFERROR(IF($K97="%",U97-T97,U97/T97-1),""))</f>
        <v>0.176470588235294</v>
      </c>
      <c r="W97" s="5" t="str">
        <f aca="false">IF(OR(T97="",U97=""),"",IF($F97="Maior Melhor",IF(U97&gt;=T97,"Sim","Não"),IF(U97&lt;=T97,"Sim","Não")))</f>
        <v>Sim</v>
      </c>
      <c r="X97" s="7" t="n">
        <v>0.85</v>
      </c>
      <c r="Y97" s="7" t="n">
        <v>0.32</v>
      </c>
      <c r="Z97" s="4" t="n">
        <f aca="false">IF(OR(X97="",Y97=""),"",IFERROR(IF($K97="%",Y97-X97,Y97/X97-1),""))</f>
        <v>-0.623529411764706</v>
      </c>
      <c r="AA97" s="5" t="str">
        <f aca="false">IF(OR(X97="",Y97=""),"",IF($F97="Maior Melhor",IF(Y97&gt;=X97,"Sim","Não"),IF(Y97&lt;=X97,"Sim","Não")))</f>
        <v>Não</v>
      </c>
      <c r="AB97" s="7" t="n">
        <v>0.85</v>
      </c>
      <c r="AC97" s="7" t="n">
        <v>0.58</v>
      </c>
      <c r="AD97" s="4" t="n">
        <f aca="false">IF(OR(AB97="",AC97=""),"",IFERROR(IF($K97="%",AC97-AB97,AC97/AB97-1),""))</f>
        <v>-0.317647058823529</v>
      </c>
      <c r="AE97" s="5" t="str">
        <f aca="false">IF(OR(AB97="",AC97=""),"",IF($F97="Maior Melhor",IF(AC97&gt;=AB97,"Sim","Não"),IF(AC97&lt;=AB97,"Sim","Não")))</f>
        <v>Não</v>
      </c>
      <c r="AF97" s="7" t="n">
        <v>0.85</v>
      </c>
      <c r="AG97" s="7" t="n">
        <v>1</v>
      </c>
      <c r="AH97" s="4" t="n">
        <f aca="false">IF(OR(AF97="",AG97=""),"",IFERROR(IF($K97="%",AG97-AF97,AG97/AF97-1),""))</f>
        <v>0.176470588235294</v>
      </c>
      <c r="AI97" s="5" t="str">
        <f aca="false">IF(OR(AF97="",AG97=""),"",IF($F97="Maior Melhor",IF(AG97&gt;=AF97,"Sim","Não"),IF(AG97&lt;=AF97,"Sim","Não")))</f>
        <v>Sim</v>
      </c>
      <c r="AJ97" s="7" t="n">
        <v>0.85</v>
      </c>
      <c r="AK97" s="7" t="n">
        <v>0.67</v>
      </c>
      <c r="AL97" s="4" t="n">
        <f aca="false">IF(OR(AJ97="",AK97=""),"",IFERROR(IF($K97="%",AK97-AJ97,AK97/AJ97-1),""))</f>
        <v>-0.211764705882353</v>
      </c>
      <c r="AM97" s="5" t="str">
        <f aca="false">IF(OR(AJ97="",AK97=""),"",IF($F97="Maior Melhor",IF(AK97&gt;=AJ97,"Sim","Não"),IF(AK97&lt;=AJ97,"Sim","Não")))</f>
        <v>Não</v>
      </c>
      <c r="AN97" s="7" t="n">
        <v>0.85</v>
      </c>
      <c r="AO97" s="7" t="n">
        <v>1</v>
      </c>
      <c r="AP97" s="4" t="n">
        <f aca="false">IF(OR(AN97="",AO97=""),"",IFERROR(IF($K97="%",AO97-AN97,AO97/AN97-1),""))</f>
        <v>0.176470588235294</v>
      </c>
      <c r="AQ97" s="5" t="str">
        <f aca="false">IF(OR(AN97="",AO97=""),"",IF($F97="Maior Melhor",IF(AO97&gt;=AN97,"Sim","Não"),IF(AO97&lt;=AN97,"Sim","Não")))</f>
        <v>Sim</v>
      </c>
      <c r="AR97" s="7" t="n">
        <v>0.85</v>
      </c>
      <c r="AS97" s="7" t="n">
        <v>0.72</v>
      </c>
      <c r="AT97" s="4" t="n">
        <f aca="false">IF(OR(AR97="",AS97=""),"",IFERROR(IF($K97="%",AS97-AR97,AS97/AR97-1),""))</f>
        <v>-0.152941176470588</v>
      </c>
      <c r="AU97" s="5" t="str">
        <f aca="false">IF(OR(AR97="",AS97=""),"",IF($F97="Maior Melhor",IF(AS97&gt;=AR97,"Sim","Não"),IF(AS97&lt;=AR97,"Sim","Não")))</f>
        <v>Não</v>
      </c>
      <c r="AV97" s="7" t="n">
        <v>0.85</v>
      </c>
      <c r="AW97" s="7" t="n">
        <v>1</v>
      </c>
      <c r="AX97" s="4" t="n">
        <f aca="false">IF(OR(AV97="",AW97=""),"",IFERROR(IF($K97="%",AW97-AV97,AW97/AV97-1),""))</f>
        <v>0.176470588235294</v>
      </c>
      <c r="AY97" s="5" t="str">
        <f aca="false">IF(OR(AV97="",AW97=""),"",IF($F97="Maior Melhor",IF(AW97&gt;=AV97,"Sim","Não"),IF(AW97&lt;=AV97,"Sim","Não")))</f>
        <v>Sim</v>
      </c>
      <c r="AZ97" s="7" t="n">
        <v>0.85</v>
      </c>
      <c r="BA97" s="7" t="n">
        <v>0.58</v>
      </c>
      <c r="BB97" s="4" t="n">
        <f aca="false">IF(OR(AZ97="",BA97=""),"",IFERROR(IF($K97="%",BA97-AZ97,BA97/AZ97-1),""))</f>
        <v>-0.317647058823529</v>
      </c>
      <c r="BC97" s="5" t="str">
        <f aca="false">IF(OR(AZ97="",BA97=""),"",IF($F97="Maior Melhor",IF(BA97&gt;=AZ97,"Sim","Não"),IF(BA97&lt;=AZ97,"Sim","Não")))</f>
        <v>Não</v>
      </c>
      <c r="BD97" s="7" t="n">
        <v>0.85</v>
      </c>
      <c r="BE97" s="7" t="n">
        <v>0.75</v>
      </c>
      <c r="BF97" s="4" t="n">
        <f aca="false">IF(OR(BD97="",BE97=""),"",IFERROR(IF($K97="%",BE97-BD97,BE97/BD97-1),""))</f>
        <v>-0.117647058823529</v>
      </c>
      <c r="BG97" s="5" t="str">
        <f aca="false">IF(OR(BD97="",BE97=""),"",IF($F97="Maior Melhor",IF(BE97&gt;=BD97,"Sim","Não"),IF(BE97&lt;=BD97,"Sim","Não")))</f>
        <v>Não</v>
      </c>
      <c r="BH97" s="7" t="n">
        <v>0.85</v>
      </c>
      <c r="BI97" s="7" t="n">
        <v>0.76</v>
      </c>
      <c r="BJ97" s="4" t="n">
        <f aca="false">IF(OR(BH97="",BI97=""),"",IFERROR(IF($K97="%",BI97-BH97,BI97/BH97-1),""))</f>
        <v>-0.105882352941176</v>
      </c>
      <c r="BK97" s="5" t="str">
        <f aca="false">IF(OR(BH97="",BI97=""),"",IF($F97="Maior Melhor",IF(BI97&gt;=BH97,"Sim","Não"),IF(BI97&lt;=BH97,"Sim","Não")))</f>
        <v>Não</v>
      </c>
      <c r="BL97" s="8"/>
      <c r="BM97" s="8"/>
      <c r="BN97" s="4" t="str">
        <f aca="false">IF(OR(BL97="",BM97=""),"",IFERROR(IF($K97="%",BM97-BL97,BM97/BL97-1),""))</f>
        <v/>
      </c>
      <c r="BO97" s="5" t="str">
        <f aca="false">IF(OR(BL97="",BM97=""),"",IF($F97="Maior Melhor",IF(BM97&gt;=BL97,"Sim","Não"),IF(BM97&lt;=BL97,"Sim","Não")))</f>
        <v/>
      </c>
      <c r="BP97" s="8"/>
      <c r="BQ97" s="8"/>
      <c r="BR97" s="4" t="str">
        <f aca="false">IF(OR(BP97="",BQ97=""),"",IFERROR(IF($K97="%",BQ97-BP97,BQ97/BP97-1),""))</f>
        <v/>
      </c>
      <c r="BS97" s="5" t="str">
        <f aca="false">IF(OR(BP97="",BQ97=""),"",IF($F97="Maior Melhor",IF(BQ97&gt;=BP97,"Sim","Não"),IF(BQ97&lt;=BP97,"Sim","Não")))</f>
        <v/>
      </c>
      <c r="BT97" s="8"/>
      <c r="BU97" s="8"/>
      <c r="BV97" s="4" t="str">
        <f aca="false">IF(OR(BT97="",BU97=""),"",IFERROR(IF($K97="%",BU97-BT97,BU97/BT97-1),""))</f>
        <v/>
      </c>
      <c r="BW97" s="5" t="str">
        <f aca="false">IF(OR(BT97="",BU97=""),"",IF($F97="Maior Melhor",IF(BU97&gt;=BT97,"Sim","Não"),IF(BU97&lt;=BT97,"Sim","Não")))</f>
        <v/>
      </c>
      <c r="BX97" s="8"/>
      <c r="BY97" s="8"/>
      <c r="BZ97" s="4" t="str">
        <f aca="false">IF(OR(BX97="",BY97=""),"",IFERROR(IF($K97="%",BY97-BX97,BY97/BX97-1),""))</f>
        <v/>
      </c>
      <c r="CA97" s="5" t="str">
        <f aca="false">IF(OR(BX97="",BY97=""),"",IF($F97="Maior Melhor",IF(BY97&gt;=BX97,"Sim","Não"),IF(BY97&lt;=BX97,"Sim","Não")))</f>
        <v/>
      </c>
      <c r="CB97" s="8"/>
      <c r="CC97" s="8"/>
      <c r="CD97" s="4" t="str">
        <f aca="false">IF(OR(CB97="",CC97=""),"",IFERROR(IF($K97="%",CC97-CB97,CC97/CB97-1),""))</f>
        <v/>
      </c>
      <c r="CE97" s="5" t="str">
        <f aca="false">IF(OR(CB97="",CC97=""),"",IF($F97="Maior Melhor",IF(CC97&gt;=CB97,"Sim","Não"),IF(CC97&lt;=CB97,"Sim","Não")))</f>
        <v/>
      </c>
      <c r="CF97" s="8"/>
      <c r="CG97" s="8"/>
      <c r="CH97" s="4" t="str">
        <f aca="false">IF(OR(CF97="",CG97=""),"",IFERROR(IF($K97="%",CG97-CF97,CG97/CF97-1),""))</f>
        <v/>
      </c>
      <c r="CI97" s="5" t="str">
        <f aca="false">IF(OR(CF97="",CG97=""),"",IF($F97="Maior Melhor",IF(CG97&gt;=CF97,"Sim","Não"),IF(CG97&lt;=CF97,"Sim","Não")))</f>
        <v/>
      </c>
      <c r="CJ97" s="8"/>
      <c r="CK97" s="8"/>
      <c r="CL97" s="4" t="str">
        <f aca="false">IF(OR(CJ97="",CK97=""),"",IFERROR(IF($K97="%",CK97-CJ97,CK97/CJ97-1),""))</f>
        <v/>
      </c>
      <c r="CM97" s="5" t="str">
        <f aca="false">IF(OR(CJ97="",CK97=""),"",IF($F97="Maior Melhor",IF(CK97&gt;=CJ97,"Sim","Não"),IF(CK97&lt;=CJ97,"Sim","Não")))</f>
        <v/>
      </c>
      <c r="CN97" s="8"/>
      <c r="CO97" s="8"/>
      <c r="CP97" s="4" t="str">
        <f aca="false">IF(OR(CN97="",CO97=""),"",IFERROR(IF($K97="%",CO97-CN97,CO97/CN97-1),""))</f>
        <v/>
      </c>
      <c r="CQ97" s="5" t="str">
        <f aca="false">IF(OR(CN97="",CO97=""),"",IF($F97="Maior Melhor",IF(CO97&gt;=CN97,"Sim","Não"),IF(CO97&lt;=CN97,"Sim","Não")))</f>
        <v/>
      </c>
      <c r="CR97" s="2" t="s">
        <v>158</v>
      </c>
    </row>
    <row r="98" customFormat="false" ht="15" hidden="false" customHeight="false" outlineLevel="0" collapsed="false">
      <c r="A98" s="2" t="s">
        <v>144</v>
      </c>
      <c r="B98" s="2" t="s">
        <v>108</v>
      </c>
      <c r="C98" s="2" t="s">
        <v>115</v>
      </c>
      <c r="D98" s="2" t="s">
        <v>155</v>
      </c>
      <c r="E98" s="2" t="str">
        <f aca="false">C98&amp;D98</f>
        <v>UTD BRUMADOComportamento seguro</v>
      </c>
      <c r="F98" s="2" t="s">
        <v>100</v>
      </c>
      <c r="G98" s="2" t="s">
        <v>156</v>
      </c>
      <c r="H98" s="2" t="s">
        <v>102</v>
      </c>
      <c r="I98" s="2" t="s">
        <v>103</v>
      </c>
      <c r="J98" s="2" t="n">
        <v>3</v>
      </c>
      <c r="K98" s="2" t="s">
        <v>147</v>
      </c>
      <c r="L98" s="7" t="n">
        <v>0.85</v>
      </c>
      <c r="M98" s="7" t="n">
        <v>1</v>
      </c>
      <c r="N98" s="4" t="n">
        <f aca="false">IF(OR(L98="",M98=""),"",IFERROR(IF($K98="%",M98-L98,M98/L98-1),""))</f>
        <v>0.176470588235294</v>
      </c>
      <c r="O98" s="5" t="str">
        <f aca="false">IF(OR(L98="",M98=""),"",IF($F98="Maior Melhor",IF(M98&gt;=L98,"Sim","Não"),IF(M98&lt;=L98,"Sim","Não")))</f>
        <v>Sim</v>
      </c>
      <c r="P98" s="7" t="n">
        <v>0.85</v>
      </c>
      <c r="Q98" s="7" t="n">
        <v>1</v>
      </c>
      <c r="R98" s="4" t="n">
        <f aca="false">IF(OR(P98="",Q98=""),"",IFERROR(IF($K98="%",Q98-P98,Q98/P98-1),""))</f>
        <v>0.176470588235294</v>
      </c>
      <c r="S98" s="5" t="str">
        <f aca="false">IF(OR(P98="",Q98=""),"",IF($F98="Maior Melhor",IF(Q98&gt;=P98,"Sim","Não"),IF(Q98&lt;=P98,"Sim","Não")))</f>
        <v>Sim</v>
      </c>
      <c r="T98" s="7" t="n">
        <v>0.85</v>
      </c>
      <c r="U98" s="7" t="n">
        <v>1</v>
      </c>
      <c r="V98" s="4" t="n">
        <f aca="false">IF(OR(T98="",U98=""),"",IFERROR(IF($K98="%",U98-T98,U98/T98-1),""))</f>
        <v>0.176470588235294</v>
      </c>
      <c r="W98" s="5" t="str">
        <f aca="false">IF(OR(T98="",U98=""),"",IF($F98="Maior Melhor",IF(U98&gt;=T98,"Sim","Não"),IF(U98&lt;=T98,"Sim","Não")))</f>
        <v>Sim</v>
      </c>
      <c r="X98" s="7" t="n">
        <v>0.85</v>
      </c>
      <c r="Y98" s="7" t="n">
        <v>1</v>
      </c>
      <c r="Z98" s="4" t="n">
        <f aca="false">IF(OR(X98="",Y98=""),"",IFERROR(IF($K98="%",Y98-X98,Y98/X98-1),""))</f>
        <v>0.176470588235294</v>
      </c>
      <c r="AA98" s="5" t="str">
        <f aca="false">IF(OR(X98="",Y98=""),"",IF($F98="Maior Melhor",IF(Y98&gt;=X98,"Sim","Não"),IF(Y98&lt;=X98,"Sim","Não")))</f>
        <v>Sim</v>
      </c>
      <c r="AB98" s="7" t="n">
        <v>0.85</v>
      </c>
      <c r="AC98" s="7" t="n">
        <v>1</v>
      </c>
      <c r="AD98" s="4" t="n">
        <f aca="false">IF(OR(AB98="",AC98=""),"",IFERROR(IF($K98="%",AC98-AB98,AC98/AB98-1),""))</f>
        <v>0.176470588235294</v>
      </c>
      <c r="AE98" s="5" t="str">
        <f aca="false">IF(OR(AB98="",AC98=""),"",IF($F98="Maior Melhor",IF(AC98&gt;=AB98,"Sim","Não"),IF(AC98&lt;=AB98,"Sim","Não")))</f>
        <v>Sim</v>
      </c>
      <c r="AF98" s="7" t="n">
        <v>0.85</v>
      </c>
      <c r="AG98" s="7" t="n">
        <v>1</v>
      </c>
      <c r="AH98" s="4" t="n">
        <f aca="false">IF(OR(AF98="",AG98=""),"",IFERROR(IF($K98="%",AG98-AF98,AG98/AF98-1),""))</f>
        <v>0.176470588235294</v>
      </c>
      <c r="AI98" s="5" t="str">
        <f aca="false">IF(OR(AF98="",AG98=""),"",IF($F98="Maior Melhor",IF(AG98&gt;=AF98,"Sim","Não"),IF(AG98&lt;=AF98,"Sim","Não")))</f>
        <v>Sim</v>
      </c>
      <c r="AJ98" s="7" t="n">
        <v>0.85</v>
      </c>
      <c r="AK98" s="7" t="n">
        <v>1</v>
      </c>
      <c r="AL98" s="4" t="n">
        <f aca="false">IF(OR(AJ98="",AK98=""),"",IFERROR(IF($K98="%",AK98-AJ98,AK98/AJ98-1),""))</f>
        <v>0.176470588235294</v>
      </c>
      <c r="AM98" s="5" t="str">
        <f aca="false">IF(OR(AJ98="",AK98=""),"",IF($F98="Maior Melhor",IF(AK98&gt;=AJ98,"Sim","Não"),IF(AK98&lt;=AJ98,"Sim","Não")))</f>
        <v>Sim</v>
      </c>
      <c r="AN98" s="7" t="n">
        <v>0.85</v>
      </c>
      <c r="AO98" s="7" t="n">
        <v>1</v>
      </c>
      <c r="AP98" s="4" t="n">
        <f aca="false">IF(OR(AN98="",AO98=""),"",IFERROR(IF($K98="%",AO98-AN98,AO98/AN98-1),""))</f>
        <v>0.176470588235294</v>
      </c>
      <c r="AQ98" s="5" t="str">
        <f aca="false">IF(OR(AN98="",AO98=""),"",IF($F98="Maior Melhor",IF(AO98&gt;=AN98,"Sim","Não"),IF(AO98&lt;=AN98,"Sim","Não")))</f>
        <v>Sim</v>
      </c>
      <c r="AR98" s="7" t="n">
        <v>0.85</v>
      </c>
      <c r="AS98" s="7" t="n">
        <v>1</v>
      </c>
      <c r="AT98" s="4" t="n">
        <f aca="false">IF(OR(AR98="",AS98=""),"",IFERROR(IF($K98="%",AS98-AR98,AS98/AR98-1),""))</f>
        <v>0.176470588235294</v>
      </c>
      <c r="AU98" s="5" t="str">
        <f aca="false">IF(OR(AR98="",AS98=""),"",IF($F98="Maior Melhor",IF(AS98&gt;=AR98,"Sim","Não"),IF(AS98&lt;=AR98,"Sim","Não")))</f>
        <v>Sim</v>
      </c>
      <c r="AV98" s="7" t="n">
        <v>0.85</v>
      </c>
      <c r="AW98" s="7" t="n">
        <v>1</v>
      </c>
      <c r="AX98" s="4" t="n">
        <f aca="false">IF(OR(AV98="",AW98=""),"",IFERROR(IF($K98="%",AW98-AV98,AW98/AV98-1),""))</f>
        <v>0.176470588235294</v>
      </c>
      <c r="AY98" s="5" t="str">
        <f aca="false">IF(OR(AV98="",AW98=""),"",IF($F98="Maior Melhor",IF(AW98&gt;=AV98,"Sim","Não"),IF(AW98&lt;=AV98,"Sim","Não")))</f>
        <v>Sim</v>
      </c>
      <c r="AZ98" s="7" t="n">
        <v>0.85</v>
      </c>
      <c r="BA98" s="7" t="n">
        <v>1</v>
      </c>
      <c r="BB98" s="4" t="n">
        <f aca="false">IF(OR(AZ98="",BA98=""),"",IFERROR(IF($K98="%",BA98-AZ98,BA98/AZ98-1),""))</f>
        <v>0.176470588235294</v>
      </c>
      <c r="BC98" s="5" t="str">
        <f aca="false">IF(OR(AZ98="",BA98=""),"",IF($F98="Maior Melhor",IF(BA98&gt;=AZ98,"Sim","Não"),IF(BA98&lt;=AZ98,"Sim","Não")))</f>
        <v>Sim</v>
      </c>
      <c r="BD98" s="7" t="n">
        <v>0.85</v>
      </c>
      <c r="BE98" s="7" t="n">
        <v>1</v>
      </c>
      <c r="BF98" s="4" t="n">
        <f aca="false">IF(OR(BD98="",BE98=""),"",IFERROR(IF($K98="%",BE98-BD98,BE98/BD98-1),""))</f>
        <v>0.176470588235294</v>
      </c>
      <c r="BG98" s="5" t="str">
        <f aca="false">IF(OR(BD98="",BE98=""),"",IF($F98="Maior Melhor",IF(BE98&gt;=BD98,"Sim","Não"),IF(BE98&lt;=BD98,"Sim","Não")))</f>
        <v>Sim</v>
      </c>
      <c r="BH98" s="7" t="n">
        <v>0.85</v>
      </c>
      <c r="BI98" s="7" t="n">
        <v>1</v>
      </c>
      <c r="BJ98" s="4" t="n">
        <f aca="false">IF(OR(BH98="",BI98=""),"",IFERROR(IF($K98="%",BI98-BH98,BI98/BH98-1),""))</f>
        <v>0.176470588235294</v>
      </c>
      <c r="BK98" s="5" t="str">
        <f aca="false">IF(OR(BH98="",BI98=""),"",IF($F98="Maior Melhor",IF(BI98&gt;=BH98,"Sim","Não"),IF(BI98&lt;=BH98,"Sim","Não")))</f>
        <v>Sim</v>
      </c>
      <c r="BL98" s="8"/>
      <c r="BM98" s="8"/>
      <c r="BN98" s="4" t="str">
        <f aca="false">IF(OR(BL98="",BM98=""),"",IFERROR(IF($K98="%",BM98-BL98,BM98/BL98-1),""))</f>
        <v/>
      </c>
      <c r="BO98" s="5" t="str">
        <f aca="false">IF(OR(BL98="",BM98=""),"",IF($F98="Maior Melhor",IF(BM98&gt;=BL98,"Sim","Não"),IF(BM98&lt;=BL98,"Sim","Não")))</f>
        <v/>
      </c>
      <c r="BP98" s="8"/>
      <c r="BQ98" s="8"/>
      <c r="BR98" s="4" t="str">
        <f aca="false">IF(OR(BP98="",BQ98=""),"",IFERROR(IF($K98="%",BQ98-BP98,BQ98/BP98-1),""))</f>
        <v/>
      </c>
      <c r="BS98" s="5" t="str">
        <f aca="false">IF(OR(BP98="",BQ98=""),"",IF($F98="Maior Melhor",IF(BQ98&gt;=BP98,"Sim","Não"),IF(BQ98&lt;=BP98,"Sim","Não")))</f>
        <v/>
      </c>
      <c r="BT98" s="8"/>
      <c r="BU98" s="8"/>
      <c r="BV98" s="4" t="str">
        <f aca="false">IF(OR(BT98="",BU98=""),"",IFERROR(IF($K98="%",BU98-BT98,BU98/BT98-1),""))</f>
        <v/>
      </c>
      <c r="BW98" s="5" t="str">
        <f aca="false">IF(OR(BT98="",BU98=""),"",IF($F98="Maior Melhor",IF(BU98&gt;=BT98,"Sim","Não"),IF(BU98&lt;=BT98,"Sim","Não")))</f>
        <v/>
      </c>
      <c r="BX98" s="8"/>
      <c r="BY98" s="8"/>
      <c r="BZ98" s="4" t="str">
        <f aca="false">IF(OR(BX98="",BY98=""),"",IFERROR(IF($K98="%",BY98-BX98,BY98/BX98-1),""))</f>
        <v/>
      </c>
      <c r="CA98" s="5" t="str">
        <f aca="false">IF(OR(BX98="",BY98=""),"",IF($F98="Maior Melhor",IF(BY98&gt;=BX98,"Sim","Não"),IF(BY98&lt;=BX98,"Sim","Não")))</f>
        <v/>
      </c>
      <c r="CB98" s="8"/>
      <c r="CC98" s="8"/>
      <c r="CD98" s="4" t="str">
        <f aca="false">IF(OR(CB98="",CC98=""),"",IFERROR(IF($K98="%",CC98-CB98,CC98/CB98-1),""))</f>
        <v/>
      </c>
      <c r="CE98" s="5" t="str">
        <f aca="false">IF(OR(CB98="",CC98=""),"",IF($F98="Maior Melhor",IF(CC98&gt;=CB98,"Sim","Não"),IF(CC98&lt;=CB98,"Sim","Não")))</f>
        <v/>
      </c>
      <c r="CF98" s="8"/>
      <c r="CG98" s="8"/>
      <c r="CH98" s="4" t="str">
        <f aca="false">IF(OR(CF98="",CG98=""),"",IFERROR(IF($K98="%",CG98-CF98,CG98/CF98-1),""))</f>
        <v/>
      </c>
      <c r="CI98" s="5" t="str">
        <f aca="false">IF(OR(CF98="",CG98=""),"",IF($F98="Maior Melhor",IF(CG98&gt;=CF98,"Sim","Não"),IF(CG98&lt;=CF98,"Sim","Não")))</f>
        <v/>
      </c>
      <c r="CJ98" s="8"/>
      <c r="CK98" s="8"/>
      <c r="CL98" s="4" t="str">
        <f aca="false">IF(OR(CJ98="",CK98=""),"",IFERROR(IF($K98="%",CK98-CJ98,CK98/CJ98-1),""))</f>
        <v/>
      </c>
      <c r="CM98" s="5" t="str">
        <f aca="false">IF(OR(CJ98="",CK98=""),"",IF($F98="Maior Melhor",IF(CK98&gt;=CJ98,"Sim","Não"),IF(CK98&lt;=CJ98,"Sim","Não")))</f>
        <v/>
      </c>
      <c r="CN98" s="8"/>
      <c r="CO98" s="8"/>
      <c r="CP98" s="4" t="str">
        <f aca="false">IF(OR(CN98="",CO98=""),"",IFERROR(IF($K98="%",CO98-CN98,CO98/CN98-1),""))</f>
        <v/>
      </c>
      <c r="CQ98" s="5" t="str">
        <f aca="false">IF(OR(CN98="",CO98=""),"",IF($F98="Maior Melhor",IF(CO98&gt;=CN98,"Sim","Não"),IF(CO98&lt;=CN98,"Sim","Não")))</f>
        <v/>
      </c>
      <c r="CR98" s="2" t="s">
        <v>105</v>
      </c>
    </row>
    <row r="99" customFormat="false" ht="15" hidden="false" customHeight="false" outlineLevel="0" collapsed="false">
      <c r="A99" s="2" t="s">
        <v>144</v>
      </c>
      <c r="B99" s="2" t="s">
        <v>108</v>
      </c>
      <c r="C99" s="2" t="s">
        <v>117</v>
      </c>
      <c r="D99" s="2" t="s">
        <v>155</v>
      </c>
      <c r="E99" s="2" t="str">
        <f aca="false">C99&amp;D99</f>
        <v>UTD GUANAMBIComportamento seguro</v>
      </c>
      <c r="F99" s="2" t="s">
        <v>100</v>
      </c>
      <c r="G99" s="2" t="s">
        <v>156</v>
      </c>
      <c r="H99" s="2" t="s">
        <v>102</v>
      </c>
      <c r="I99" s="2" t="s">
        <v>103</v>
      </c>
      <c r="J99" s="2" t="n">
        <v>3</v>
      </c>
      <c r="K99" s="2" t="s">
        <v>147</v>
      </c>
      <c r="L99" s="7" t="n">
        <v>0.85</v>
      </c>
      <c r="M99" s="7" t="n">
        <v>1</v>
      </c>
      <c r="N99" s="4" t="n">
        <f aca="false">IF(OR(L99="",M99=""),"",IFERROR(IF($K99="%",M99-L99,M99/L99-1),""))</f>
        <v>0.176470588235294</v>
      </c>
      <c r="O99" s="5" t="str">
        <f aca="false">IF(OR(L99="",M99=""),"",IF($F99="Maior Melhor",IF(M99&gt;=L99,"Sim","Não"),IF(M99&lt;=L99,"Sim","Não")))</f>
        <v>Sim</v>
      </c>
      <c r="P99" s="7" t="n">
        <v>0.85</v>
      </c>
      <c r="Q99" s="7" t="n">
        <v>1</v>
      </c>
      <c r="R99" s="4" t="n">
        <f aca="false">IF(OR(P99="",Q99=""),"",IFERROR(IF($K99="%",Q99-P99,Q99/P99-1),""))</f>
        <v>0.176470588235294</v>
      </c>
      <c r="S99" s="5" t="str">
        <f aca="false">IF(OR(P99="",Q99=""),"",IF($F99="Maior Melhor",IF(Q99&gt;=P99,"Sim","Não"),IF(Q99&lt;=P99,"Sim","Não")))</f>
        <v>Sim</v>
      </c>
      <c r="T99" s="7" t="n">
        <v>0.85</v>
      </c>
      <c r="U99" s="7" t="n">
        <v>1</v>
      </c>
      <c r="V99" s="4" t="n">
        <f aca="false">IF(OR(T99="",U99=""),"",IFERROR(IF($K99="%",U99-T99,U99/T99-1),""))</f>
        <v>0.176470588235294</v>
      </c>
      <c r="W99" s="5" t="str">
        <f aca="false">IF(OR(T99="",U99=""),"",IF($F99="Maior Melhor",IF(U99&gt;=T99,"Sim","Não"),IF(U99&lt;=T99,"Sim","Não")))</f>
        <v>Sim</v>
      </c>
      <c r="X99" s="7" t="n">
        <v>0.85</v>
      </c>
      <c r="Y99" s="7" t="n">
        <v>1</v>
      </c>
      <c r="Z99" s="4" t="n">
        <f aca="false">IF(OR(X99="",Y99=""),"",IFERROR(IF($K99="%",Y99-X99,Y99/X99-1),""))</f>
        <v>0.176470588235294</v>
      </c>
      <c r="AA99" s="5" t="str">
        <f aca="false">IF(OR(X99="",Y99=""),"",IF($F99="Maior Melhor",IF(Y99&gt;=X99,"Sim","Não"),IF(Y99&lt;=X99,"Sim","Não")))</f>
        <v>Sim</v>
      </c>
      <c r="AB99" s="7" t="n">
        <v>0.85</v>
      </c>
      <c r="AC99" s="7" t="n">
        <v>1</v>
      </c>
      <c r="AD99" s="4" t="n">
        <f aca="false">IF(OR(AB99="",AC99=""),"",IFERROR(IF($K99="%",AC99-AB99,AC99/AB99-1),""))</f>
        <v>0.176470588235294</v>
      </c>
      <c r="AE99" s="5" t="str">
        <f aca="false">IF(OR(AB99="",AC99=""),"",IF($F99="Maior Melhor",IF(AC99&gt;=AB99,"Sim","Não"),IF(AC99&lt;=AB99,"Sim","Não")))</f>
        <v>Sim</v>
      </c>
      <c r="AF99" s="7" t="n">
        <v>0.85</v>
      </c>
      <c r="AG99" s="7" t="n">
        <v>1</v>
      </c>
      <c r="AH99" s="4" t="n">
        <f aca="false">IF(OR(AF99="",AG99=""),"",IFERROR(IF($K99="%",AG99-AF99,AG99/AF99-1),""))</f>
        <v>0.176470588235294</v>
      </c>
      <c r="AI99" s="5" t="str">
        <f aca="false">IF(OR(AF99="",AG99=""),"",IF($F99="Maior Melhor",IF(AG99&gt;=AF99,"Sim","Não"),IF(AG99&lt;=AF99,"Sim","Não")))</f>
        <v>Sim</v>
      </c>
      <c r="AJ99" s="7" t="n">
        <v>0.85</v>
      </c>
      <c r="AK99" s="7" t="n">
        <v>1</v>
      </c>
      <c r="AL99" s="4" t="n">
        <f aca="false">IF(OR(AJ99="",AK99=""),"",IFERROR(IF($K99="%",AK99-AJ99,AK99/AJ99-1),""))</f>
        <v>0.176470588235294</v>
      </c>
      <c r="AM99" s="5" t="str">
        <f aca="false">IF(OR(AJ99="",AK99=""),"",IF($F99="Maior Melhor",IF(AK99&gt;=AJ99,"Sim","Não"),IF(AK99&lt;=AJ99,"Sim","Não")))</f>
        <v>Sim</v>
      </c>
      <c r="AN99" s="7" t="n">
        <v>0.85</v>
      </c>
      <c r="AO99" s="7" t="n">
        <v>1</v>
      </c>
      <c r="AP99" s="4" t="n">
        <f aca="false">IF(OR(AN99="",AO99=""),"",IFERROR(IF($K99="%",AO99-AN99,AO99/AN99-1),""))</f>
        <v>0.176470588235294</v>
      </c>
      <c r="AQ99" s="5" t="str">
        <f aca="false">IF(OR(AN99="",AO99=""),"",IF($F99="Maior Melhor",IF(AO99&gt;=AN99,"Sim","Não"),IF(AO99&lt;=AN99,"Sim","Não")))</f>
        <v>Sim</v>
      </c>
      <c r="AR99" s="7" t="n">
        <v>0.85</v>
      </c>
      <c r="AS99" s="7" t="n">
        <v>1</v>
      </c>
      <c r="AT99" s="4" t="n">
        <f aca="false">IF(OR(AR99="",AS99=""),"",IFERROR(IF($K99="%",AS99-AR99,AS99/AR99-1),""))</f>
        <v>0.176470588235294</v>
      </c>
      <c r="AU99" s="5" t="str">
        <f aca="false">IF(OR(AR99="",AS99=""),"",IF($F99="Maior Melhor",IF(AS99&gt;=AR99,"Sim","Não"),IF(AS99&lt;=AR99,"Sim","Não")))</f>
        <v>Sim</v>
      </c>
      <c r="AV99" s="7" t="n">
        <v>0.85</v>
      </c>
      <c r="AW99" s="7" t="n">
        <v>0</v>
      </c>
      <c r="AX99" s="4" t="n">
        <f aca="false">IF(OR(AV99="",AW99=""),"",IFERROR(IF($K99="%",AW99-AV99,AW99/AV99-1),""))</f>
        <v>-1</v>
      </c>
      <c r="AY99" s="5" t="str">
        <f aca="false">IF(OR(AV99="",AW99=""),"",IF($F99="Maior Melhor",IF(AW99&gt;=AV99,"Sim","Não"),IF(AW99&lt;=AV99,"Sim","Não")))</f>
        <v>Não</v>
      </c>
      <c r="AZ99" s="7" t="n">
        <v>0.85</v>
      </c>
      <c r="BA99" s="7" t="n">
        <v>0.86</v>
      </c>
      <c r="BB99" s="4" t="n">
        <f aca="false">IF(OR(AZ99="",BA99=""),"",IFERROR(IF($K99="%",BA99-AZ99,BA99/AZ99-1),""))</f>
        <v>0.0117647058823529</v>
      </c>
      <c r="BC99" s="5" t="str">
        <f aca="false">IF(OR(AZ99="",BA99=""),"",IF($F99="Maior Melhor",IF(BA99&gt;=AZ99,"Sim","Não"),IF(BA99&lt;=AZ99,"Sim","Não")))</f>
        <v>Sim</v>
      </c>
      <c r="BD99" s="7" t="n">
        <v>0.85</v>
      </c>
      <c r="BE99" s="7" t="n">
        <v>1</v>
      </c>
      <c r="BF99" s="4" t="n">
        <f aca="false">IF(OR(BD99="",BE99=""),"",IFERROR(IF($K99="%",BE99-BD99,BE99/BD99-1),""))</f>
        <v>0.176470588235294</v>
      </c>
      <c r="BG99" s="5" t="str">
        <f aca="false">IF(OR(BD99="",BE99=""),"",IF($F99="Maior Melhor",IF(BE99&gt;=BD99,"Sim","Não"),IF(BE99&lt;=BD99,"Sim","Não")))</f>
        <v>Sim</v>
      </c>
      <c r="BH99" s="7" t="n">
        <v>0.85</v>
      </c>
      <c r="BI99" s="7" t="n">
        <v>0.88</v>
      </c>
      <c r="BJ99" s="4" t="n">
        <f aca="false">IF(OR(BH99="",BI99=""),"",IFERROR(IF($K99="%",BI99-BH99,BI99/BH99-1),""))</f>
        <v>0.0352941176470589</v>
      </c>
      <c r="BK99" s="5" t="str">
        <f aca="false">IF(OR(BH99="",BI99=""),"",IF($F99="Maior Melhor",IF(BI99&gt;=BH99,"Sim","Não"),IF(BI99&lt;=BH99,"Sim","Não")))</f>
        <v>Sim</v>
      </c>
      <c r="BL99" s="8"/>
      <c r="BM99" s="8"/>
      <c r="BN99" s="4" t="str">
        <f aca="false">IF(OR(BL99="",BM99=""),"",IFERROR(IF($K99="%",BM99-BL99,BM99/BL99-1),""))</f>
        <v/>
      </c>
      <c r="BO99" s="5" t="str">
        <f aca="false">IF(OR(BL99="",BM99=""),"",IF($F99="Maior Melhor",IF(BM99&gt;=BL99,"Sim","Não"),IF(BM99&lt;=BL99,"Sim","Não")))</f>
        <v/>
      </c>
      <c r="BP99" s="8"/>
      <c r="BQ99" s="8"/>
      <c r="BR99" s="4" t="str">
        <f aca="false">IF(OR(BP99="",BQ99=""),"",IFERROR(IF($K99="%",BQ99-BP99,BQ99/BP99-1),""))</f>
        <v/>
      </c>
      <c r="BS99" s="5" t="str">
        <f aca="false">IF(OR(BP99="",BQ99=""),"",IF($F99="Maior Melhor",IF(BQ99&gt;=BP99,"Sim","Não"),IF(BQ99&lt;=BP99,"Sim","Não")))</f>
        <v/>
      </c>
      <c r="BT99" s="8"/>
      <c r="BU99" s="8"/>
      <c r="BV99" s="4" t="str">
        <f aca="false">IF(OR(BT99="",BU99=""),"",IFERROR(IF($K99="%",BU99-BT99,BU99/BT99-1),""))</f>
        <v/>
      </c>
      <c r="BW99" s="5" t="str">
        <f aca="false">IF(OR(BT99="",BU99=""),"",IF($F99="Maior Melhor",IF(BU99&gt;=BT99,"Sim","Não"),IF(BU99&lt;=BT99,"Sim","Não")))</f>
        <v/>
      </c>
      <c r="BX99" s="8"/>
      <c r="BY99" s="8"/>
      <c r="BZ99" s="4" t="str">
        <f aca="false">IF(OR(BX99="",BY99=""),"",IFERROR(IF($K99="%",BY99-BX99,BY99/BX99-1),""))</f>
        <v/>
      </c>
      <c r="CA99" s="5" t="str">
        <f aca="false">IF(OR(BX99="",BY99=""),"",IF($F99="Maior Melhor",IF(BY99&gt;=BX99,"Sim","Não"),IF(BY99&lt;=BX99,"Sim","Não")))</f>
        <v/>
      </c>
      <c r="CB99" s="8"/>
      <c r="CC99" s="8"/>
      <c r="CD99" s="4" t="str">
        <f aca="false">IF(OR(CB99="",CC99=""),"",IFERROR(IF($K99="%",CC99-CB99,CC99/CB99-1),""))</f>
        <v/>
      </c>
      <c r="CE99" s="5" t="str">
        <f aca="false">IF(OR(CB99="",CC99=""),"",IF($F99="Maior Melhor",IF(CC99&gt;=CB99,"Sim","Não"),IF(CC99&lt;=CB99,"Sim","Não")))</f>
        <v/>
      </c>
      <c r="CF99" s="8"/>
      <c r="CG99" s="8"/>
      <c r="CH99" s="4" t="str">
        <f aca="false">IF(OR(CF99="",CG99=""),"",IFERROR(IF($K99="%",CG99-CF99,CG99/CF99-1),""))</f>
        <v/>
      </c>
      <c r="CI99" s="5" t="str">
        <f aca="false">IF(OR(CF99="",CG99=""),"",IF($F99="Maior Melhor",IF(CG99&gt;=CF99,"Sim","Não"),IF(CG99&lt;=CF99,"Sim","Não")))</f>
        <v/>
      </c>
      <c r="CJ99" s="8"/>
      <c r="CK99" s="8"/>
      <c r="CL99" s="4" t="str">
        <f aca="false">IF(OR(CJ99="",CK99=""),"",IFERROR(IF($K99="%",CK99-CJ99,CK99/CJ99-1),""))</f>
        <v/>
      </c>
      <c r="CM99" s="5" t="str">
        <f aca="false">IF(OR(CJ99="",CK99=""),"",IF($F99="Maior Melhor",IF(CK99&gt;=CJ99,"Sim","Não"),IF(CK99&lt;=CJ99,"Sim","Não")))</f>
        <v/>
      </c>
      <c r="CN99" s="8"/>
      <c r="CO99" s="8"/>
      <c r="CP99" s="4" t="str">
        <f aca="false">IF(OR(CN99="",CO99=""),"",IFERROR(IF($K99="%",CO99-CN99,CO99/CN99-1),""))</f>
        <v/>
      </c>
      <c r="CQ99" s="5" t="str">
        <f aca="false">IF(OR(CN99="",CO99=""),"",IF($F99="Maior Melhor",IF(CO99&gt;=CN99,"Sim","Não"),IF(CO99&lt;=CN99,"Sim","Não")))</f>
        <v/>
      </c>
      <c r="CR99" s="2" t="s">
        <v>105</v>
      </c>
    </row>
    <row r="100" customFormat="false" ht="15" hidden="false" customHeight="false" outlineLevel="0" collapsed="false">
      <c r="A100" s="2" t="s">
        <v>144</v>
      </c>
      <c r="B100" s="2" t="s">
        <v>106</v>
      </c>
      <c r="C100" s="2" t="s">
        <v>118</v>
      </c>
      <c r="D100" s="2" t="s">
        <v>155</v>
      </c>
      <c r="E100" s="2" t="str">
        <f aca="false">C100&amp;D100</f>
        <v>UTD IBOTIRAMAComportamento seguro</v>
      </c>
      <c r="F100" s="2" t="s">
        <v>100</v>
      </c>
      <c r="G100" s="2" t="s">
        <v>156</v>
      </c>
      <c r="H100" s="2" t="s">
        <v>119</v>
      </c>
      <c r="I100" s="2" t="s">
        <v>103</v>
      </c>
      <c r="J100" s="2" t="n">
        <v>3</v>
      </c>
      <c r="K100" s="2" t="s">
        <v>147</v>
      </c>
      <c r="L100" s="7" t="n">
        <v>0.85</v>
      </c>
      <c r="M100" s="7" t="n">
        <v>0.8</v>
      </c>
      <c r="N100" s="4" t="n">
        <f aca="false">IF(OR(L100="",M100=""),"",IFERROR(IF($K100="%",M100-L100,M100/L100-1),""))</f>
        <v>-0.0588235294117646</v>
      </c>
      <c r="O100" s="5" t="str">
        <f aca="false">IF(OR(L100="",M100=""),"",IF($F100="Maior Melhor",IF(M100&gt;=L100,"Sim","Não"),IF(M100&lt;=L100,"Sim","Não")))</f>
        <v>Não</v>
      </c>
      <c r="P100" s="7" t="n">
        <v>0.85</v>
      </c>
      <c r="Q100" s="7" t="n">
        <v>0.5</v>
      </c>
      <c r="R100" s="4" t="n">
        <f aca="false">IF(OR(P100="",Q100=""),"",IFERROR(IF($K100="%",Q100-P100,Q100/P100-1),""))</f>
        <v>-0.411764705882353</v>
      </c>
      <c r="S100" s="5" t="str">
        <f aca="false">IF(OR(P100="",Q100=""),"",IF($F100="Maior Melhor",IF(Q100&gt;=P100,"Sim","Não"),IF(Q100&lt;=P100,"Sim","Não")))</f>
        <v>Não</v>
      </c>
      <c r="T100" s="7" t="n">
        <v>0.85</v>
      </c>
      <c r="U100" s="7" t="n">
        <v>1</v>
      </c>
      <c r="V100" s="4" t="n">
        <f aca="false">IF(OR(T100="",U100=""),"",IFERROR(IF($K100="%",U100-T100,U100/T100-1),""))</f>
        <v>0.176470588235294</v>
      </c>
      <c r="W100" s="5" t="str">
        <f aca="false">IF(OR(T100="",U100=""),"",IF($F100="Maior Melhor",IF(U100&gt;=T100,"Sim","Não"),IF(U100&lt;=T100,"Sim","Não")))</f>
        <v>Sim</v>
      </c>
      <c r="X100" s="7" t="n">
        <v>0.85</v>
      </c>
      <c r="Y100" s="7" t="n">
        <v>1</v>
      </c>
      <c r="Z100" s="4" t="n">
        <f aca="false">IF(OR(X100="",Y100=""),"",IFERROR(IF($K100="%",Y100-X100,Y100/X100-1),""))</f>
        <v>0.176470588235294</v>
      </c>
      <c r="AA100" s="5" t="str">
        <f aca="false">IF(OR(X100="",Y100=""),"",IF($F100="Maior Melhor",IF(Y100&gt;=X100,"Sim","Não"),IF(Y100&lt;=X100,"Sim","Não")))</f>
        <v>Sim</v>
      </c>
      <c r="AB100" s="7" t="n">
        <v>0.85</v>
      </c>
      <c r="AC100" s="7" t="n">
        <v>0.83</v>
      </c>
      <c r="AD100" s="4" t="n">
        <f aca="false">IF(OR(AB100="",AC100=""),"",IFERROR(IF($K100="%",AC100-AB100,AC100/AB100-1),""))</f>
        <v>-0.0235294117647059</v>
      </c>
      <c r="AE100" s="5" t="str">
        <f aca="false">IF(OR(AB100="",AC100=""),"",IF($F100="Maior Melhor",IF(AC100&gt;=AB100,"Sim","Não"),IF(AC100&lt;=AB100,"Sim","Não")))</f>
        <v>Não</v>
      </c>
      <c r="AF100" s="7" t="n">
        <v>0.85</v>
      </c>
      <c r="AG100" s="7" t="n">
        <v>1</v>
      </c>
      <c r="AH100" s="4" t="n">
        <f aca="false">IF(OR(AF100="",AG100=""),"",IFERROR(IF($K100="%",AG100-AF100,AG100/AF100-1),""))</f>
        <v>0.176470588235294</v>
      </c>
      <c r="AI100" s="5" t="str">
        <f aca="false">IF(OR(AF100="",AG100=""),"",IF($F100="Maior Melhor",IF(AG100&gt;=AF100,"Sim","Não"),IF(AG100&lt;=AF100,"Sim","Não")))</f>
        <v>Sim</v>
      </c>
      <c r="AJ100" s="7" t="n">
        <v>0.85</v>
      </c>
      <c r="AK100" s="7" t="n">
        <v>0.86</v>
      </c>
      <c r="AL100" s="4" t="n">
        <f aca="false">IF(OR(AJ100="",AK100=""),"",IFERROR(IF($K100="%",AK100-AJ100,AK100/AJ100-1),""))</f>
        <v>0.0117647058823529</v>
      </c>
      <c r="AM100" s="5" t="str">
        <f aca="false">IF(OR(AJ100="",AK100=""),"",IF($F100="Maior Melhor",IF(AK100&gt;=AJ100,"Sim","Não"),IF(AK100&lt;=AJ100,"Sim","Não")))</f>
        <v>Sim</v>
      </c>
      <c r="AN100" s="7" t="n">
        <v>0.85</v>
      </c>
      <c r="AO100" s="7" t="n">
        <v>1</v>
      </c>
      <c r="AP100" s="4" t="n">
        <f aca="false">IF(OR(AN100="",AO100=""),"",IFERROR(IF($K100="%",AO100-AN100,AO100/AN100-1),""))</f>
        <v>0.176470588235294</v>
      </c>
      <c r="AQ100" s="5" t="str">
        <f aca="false">IF(OR(AN100="",AO100=""),"",IF($F100="Maior Melhor",IF(AO100&gt;=AN100,"Sim","Não"),IF(AO100&lt;=AN100,"Sim","Não")))</f>
        <v>Sim</v>
      </c>
      <c r="AR100" s="7" t="n">
        <v>0.85</v>
      </c>
      <c r="AS100" s="7" t="n">
        <v>0.88</v>
      </c>
      <c r="AT100" s="4" t="n">
        <f aca="false">IF(OR(AR100="",AS100=""),"",IFERROR(IF($K100="%",AS100-AR100,AS100/AR100-1),""))</f>
        <v>0.0352941176470589</v>
      </c>
      <c r="AU100" s="5" t="str">
        <f aca="false">IF(OR(AR100="",AS100=""),"",IF($F100="Maior Melhor",IF(AS100&gt;=AR100,"Sim","Não"),IF(AS100&lt;=AR100,"Sim","Não")))</f>
        <v>Sim</v>
      </c>
      <c r="AV100" s="7" t="n">
        <v>0.85</v>
      </c>
      <c r="AW100" s="7" t="n">
        <v>0.5</v>
      </c>
      <c r="AX100" s="4" t="n">
        <f aca="false">IF(OR(AV100="",AW100=""),"",IFERROR(IF($K100="%",AW100-AV100,AW100/AV100-1),""))</f>
        <v>-0.411764705882353</v>
      </c>
      <c r="AY100" s="5" t="str">
        <f aca="false">IF(OR(AV100="",AW100=""),"",IF($F100="Maior Melhor",IF(AW100&gt;=AV100,"Sim","Não"),IF(AW100&lt;=AV100,"Sim","Não")))</f>
        <v>Não</v>
      </c>
      <c r="AZ100" s="7" t="n">
        <v>0.85</v>
      </c>
      <c r="BA100" s="7" t="n">
        <v>0.76</v>
      </c>
      <c r="BB100" s="4" t="n">
        <f aca="false">IF(OR(AZ100="",BA100=""),"",IFERROR(IF($K100="%",BA100-AZ100,BA100/AZ100-1),""))</f>
        <v>-0.105882352941176</v>
      </c>
      <c r="BC100" s="5" t="str">
        <f aca="false">IF(OR(AZ100="",BA100=""),"",IF($F100="Maior Melhor",IF(BA100&gt;=AZ100,"Sim","Não"),IF(BA100&lt;=AZ100,"Sim","Não")))</f>
        <v>Não</v>
      </c>
      <c r="BD100" s="7" t="n">
        <v>0.85</v>
      </c>
      <c r="BE100" s="7" t="n">
        <v>0.88</v>
      </c>
      <c r="BF100" s="4" t="n">
        <f aca="false">IF(OR(BD100="",BE100=""),"",IFERROR(IF($K100="%",BE100-BD100,BE100/BD100-1),""))</f>
        <v>0.0352941176470589</v>
      </c>
      <c r="BG100" s="5" t="str">
        <f aca="false">IF(OR(BD100="",BE100=""),"",IF($F100="Maior Melhor",IF(BE100&gt;=BD100,"Sim","Não"),IF(BE100&lt;=BD100,"Sim","Não")))</f>
        <v>Sim</v>
      </c>
      <c r="BH100" s="7" t="n">
        <v>0.85</v>
      </c>
      <c r="BI100" s="7" t="n">
        <v>0.83</v>
      </c>
      <c r="BJ100" s="4" t="n">
        <f aca="false">IF(OR(BH100="",BI100=""),"",IFERROR(IF($K100="%",BI100-BH100,BI100/BH100-1),""))</f>
        <v>-0.0235294117647059</v>
      </c>
      <c r="BK100" s="5" t="str">
        <f aca="false">IF(OR(BH100="",BI100=""),"",IF($F100="Maior Melhor",IF(BI100&gt;=BH100,"Sim","Não"),IF(BI100&lt;=BH100,"Sim","Não")))</f>
        <v>Não</v>
      </c>
      <c r="BL100" s="8"/>
      <c r="BM100" s="8"/>
      <c r="BN100" s="4" t="str">
        <f aca="false">IF(OR(BL100="",BM100=""),"",IFERROR(IF($K100="%",BM100-BL100,BM100/BL100-1),""))</f>
        <v/>
      </c>
      <c r="BO100" s="5" t="str">
        <f aca="false">IF(OR(BL100="",BM100=""),"",IF($F100="Maior Melhor",IF(BM100&gt;=BL100,"Sim","Não"),IF(BM100&lt;=BL100,"Sim","Não")))</f>
        <v/>
      </c>
      <c r="BP100" s="8"/>
      <c r="BQ100" s="8"/>
      <c r="BR100" s="4" t="str">
        <f aca="false">IF(OR(BP100="",BQ100=""),"",IFERROR(IF($K100="%",BQ100-BP100,BQ100/BP100-1),""))</f>
        <v/>
      </c>
      <c r="BS100" s="5" t="str">
        <f aca="false">IF(OR(BP100="",BQ100=""),"",IF($F100="Maior Melhor",IF(BQ100&gt;=BP100,"Sim","Não"),IF(BQ100&lt;=BP100,"Sim","Não")))</f>
        <v/>
      </c>
      <c r="BT100" s="8"/>
      <c r="BU100" s="8"/>
      <c r="BV100" s="4" t="str">
        <f aca="false">IF(OR(BT100="",BU100=""),"",IFERROR(IF($K100="%",BU100-BT100,BU100/BT100-1),""))</f>
        <v/>
      </c>
      <c r="BW100" s="5" t="str">
        <f aca="false">IF(OR(BT100="",BU100=""),"",IF($F100="Maior Melhor",IF(BU100&gt;=BT100,"Sim","Não"),IF(BU100&lt;=BT100,"Sim","Não")))</f>
        <v/>
      </c>
      <c r="BX100" s="8"/>
      <c r="BY100" s="8"/>
      <c r="BZ100" s="4" t="str">
        <f aca="false">IF(OR(BX100="",BY100=""),"",IFERROR(IF($K100="%",BY100-BX100,BY100/BX100-1),""))</f>
        <v/>
      </c>
      <c r="CA100" s="5" t="str">
        <f aca="false">IF(OR(BX100="",BY100=""),"",IF($F100="Maior Melhor",IF(BY100&gt;=BX100,"Sim","Não"),IF(BY100&lt;=BX100,"Sim","Não")))</f>
        <v/>
      </c>
      <c r="CB100" s="8"/>
      <c r="CC100" s="8"/>
      <c r="CD100" s="4" t="str">
        <f aca="false">IF(OR(CB100="",CC100=""),"",IFERROR(IF($K100="%",CC100-CB100,CC100/CB100-1),""))</f>
        <v/>
      </c>
      <c r="CE100" s="5" t="str">
        <f aca="false">IF(OR(CB100="",CC100=""),"",IF($F100="Maior Melhor",IF(CC100&gt;=CB100,"Sim","Não"),IF(CC100&lt;=CB100,"Sim","Não")))</f>
        <v/>
      </c>
      <c r="CF100" s="8"/>
      <c r="CG100" s="8"/>
      <c r="CH100" s="4" t="str">
        <f aca="false">IF(OR(CF100="",CG100=""),"",IFERROR(IF($K100="%",CG100-CF100,CG100/CF100-1),""))</f>
        <v/>
      </c>
      <c r="CI100" s="5" t="str">
        <f aca="false">IF(OR(CF100="",CG100=""),"",IF($F100="Maior Melhor",IF(CG100&gt;=CF100,"Sim","Não"),IF(CG100&lt;=CF100,"Sim","Não")))</f>
        <v/>
      </c>
      <c r="CJ100" s="8"/>
      <c r="CK100" s="8"/>
      <c r="CL100" s="4" t="str">
        <f aca="false">IF(OR(CJ100="",CK100=""),"",IFERROR(IF($K100="%",CK100-CJ100,CK100/CJ100-1),""))</f>
        <v/>
      </c>
      <c r="CM100" s="5" t="str">
        <f aca="false">IF(OR(CJ100="",CK100=""),"",IF($F100="Maior Melhor",IF(CK100&gt;=CJ100,"Sim","Não"),IF(CK100&lt;=CJ100,"Sim","Não")))</f>
        <v/>
      </c>
      <c r="CN100" s="8"/>
      <c r="CO100" s="8"/>
      <c r="CP100" s="4" t="str">
        <f aca="false">IF(OR(CN100="",CO100=""),"",IFERROR(IF($K100="%",CO100-CN100,CO100/CN100-1),""))</f>
        <v/>
      </c>
      <c r="CQ100" s="5" t="str">
        <f aca="false">IF(OR(CN100="",CO100=""),"",IF($F100="Maior Melhor",IF(CO100&gt;=CN100,"Sim","Não"),IF(CO100&lt;=CN100,"Sim","Não")))</f>
        <v/>
      </c>
      <c r="CR100" s="2" t="s">
        <v>150</v>
      </c>
    </row>
    <row r="101" customFormat="false" ht="15" hidden="false" customHeight="false" outlineLevel="0" collapsed="false">
      <c r="A101" s="2" t="s">
        <v>144</v>
      </c>
      <c r="B101" s="2" t="s">
        <v>97</v>
      </c>
      <c r="C101" s="2" t="s">
        <v>121</v>
      </c>
      <c r="D101" s="2" t="s">
        <v>155</v>
      </c>
      <c r="E101" s="2" t="str">
        <f aca="false">C101&amp;D101</f>
        <v>UTD IRECÊComportamento seguro</v>
      </c>
      <c r="F101" s="2" t="s">
        <v>100</v>
      </c>
      <c r="G101" s="2" t="s">
        <v>156</v>
      </c>
      <c r="H101" s="2" t="s">
        <v>102</v>
      </c>
      <c r="I101" s="2" t="s">
        <v>103</v>
      </c>
      <c r="J101" s="2" t="n">
        <v>3</v>
      </c>
      <c r="K101" s="2" t="s">
        <v>147</v>
      </c>
      <c r="L101" s="7" t="n">
        <v>0.85</v>
      </c>
      <c r="M101" s="7" t="n">
        <v>0.23</v>
      </c>
      <c r="N101" s="4" t="n">
        <f aca="false">IF(OR(L101="",M101=""),"",IFERROR(IF($K101="%",M101-L101,M101/L101-1),""))</f>
        <v>-0.729411764705882</v>
      </c>
      <c r="O101" s="5" t="str">
        <f aca="false">IF(OR(L101="",M101=""),"",IF($F101="Maior Melhor",IF(M101&gt;=L101,"Sim","Não"),IF(M101&lt;=L101,"Sim","Não")))</f>
        <v>Não</v>
      </c>
      <c r="P101" s="7" t="n">
        <v>0.85</v>
      </c>
      <c r="Q101" s="7" t="n">
        <v>0.54</v>
      </c>
      <c r="R101" s="4" t="n">
        <f aca="false">IF(OR(P101="",Q101=""),"",IFERROR(IF($K101="%",Q101-P101,Q101/P101-1),""))</f>
        <v>-0.364705882352941</v>
      </c>
      <c r="S101" s="5" t="str">
        <f aca="false">IF(OR(P101="",Q101=""),"",IF($F101="Maior Melhor",IF(Q101&gt;=P101,"Sim","Não"),IF(Q101&lt;=P101,"Sim","Não")))</f>
        <v>Não</v>
      </c>
      <c r="T101" s="7" t="n">
        <v>0.85</v>
      </c>
      <c r="U101" s="7" t="n">
        <v>0.73</v>
      </c>
      <c r="V101" s="4" t="n">
        <f aca="false">IF(OR(T101="",U101=""),"",IFERROR(IF($K101="%",U101-T101,U101/T101-1),""))</f>
        <v>-0.141176470588235</v>
      </c>
      <c r="W101" s="5" t="str">
        <f aca="false">IF(OR(T101="",U101=""),"",IF($F101="Maior Melhor",IF(U101&gt;=T101,"Sim","Não"),IF(U101&lt;=T101,"Sim","Não")))</f>
        <v>Não</v>
      </c>
      <c r="X101" s="7" t="n">
        <v>0.85</v>
      </c>
      <c r="Y101" s="7" t="n">
        <v>0.63</v>
      </c>
      <c r="Z101" s="4" t="n">
        <f aca="false">IF(OR(X101="",Y101=""),"",IFERROR(IF($K101="%",Y101-X101,Y101/X101-1),""))</f>
        <v>-0.258823529411765</v>
      </c>
      <c r="AA101" s="5" t="str">
        <f aca="false">IF(OR(X101="",Y101=""),"",IF($F101="Maior Melhor",IF(Y101&gt;=X101,"Sim","Não"),IF(Y101&lt;=X101,"Sim","Não")))</f>
        <v>Não</v>
      </c>
      <c r="AB101" s="7" t="n">
        <v>0.85</v>
      </c>
      <c r="AC101" s="7" t="n">
        <v>0.53</v>
      </c>
      <c r="AD101" s="4" t="n">
        <f aca="false">IF(OR(AB101="",AC101=""),"",IFERROR(IF($K101="%",AC101-AB101,AC101/AB101-1),""))</f>
        <v>-0.376470588235294</v>
      </c>
      <c r="AE101" s="5" t="str">
        <f aca="false">IF(OR(AB101="",AC101=""),"",IF($F101="Maior Melhor",IF(AC101&gt;=AB101,"Sim","Não"),IF(AC101&lt;=AB101,"Sim","Não")))</f>
        <v>Não</v>
      </c>
      <c r="AF101" s="7" t="n">
        <v>0.85</v>
      </c>
      <c r="AG101" s="7" t="n">
        <v>1</v>
      </c>
      <c r="AH101" s="4" t="n">
        <f aca="false">IF(OR(AF101="",AG101=""),"",IFERROR(IF($K101="%",AG101-AF101,AG101/AF101-1),""))</f>
        <v>0.176470588235294</v>
      </c>
      <c r="AI101" s="5" t="str">
        <f aca="false">IF(OR(AF101="",AG101=""),"",IF($F101="Maior Melhor",IF(AG101&gt;=AF101,"Sim","Não"),IF(AG101&lt;=AF101,"Sim","Não")))</f>
        <v>Sim</v>
      </c>
      <c r="AJ101" s="7" t="n">
        <v>0.85</v>
      </c>
      <c r="AK101" s="7" t="n">
        <v>0.62</v>
      </c>
      <c r="AL101" s="4" t="n">
        <f aca="false">IF(OR(AJ101="",AK101=""),"",IFERROR(IF($K101="%",AK101-AJ101,AK101/AJ101-1),""))</f>
        <v>-0.270588235294118</v>
      </c>
      <c r="AM101" s="5" t="str">
        <f aca="false">IF(OR(AJ101="",AK101=""),"",IF($F101="Maior Melhor",IF(AK101&gt;=AJ101,"Sim","Não"),IF(AK101&lt;=AJ101,"Sim","Não")))</f>
        <v>Não</v>
      </c>
      <c r="AN101" s="7" t="n">
        <v>0.85</v>
      </c>
      <c r="AO101" s="7" t="n">
        <v>0.95</v>
      </c>
      <c r="AP101" s="4" t="n">
        <f aca="false">IF(OR(AN101="",AO101=""),"",IFERROR(IF($K101="%",AO101-AN101,AO101/AN101-1),""))</f>
        <v>0.117647058823529</v>
      </c>
      <c r="AQ101" s="5" t="str">
        <f aca="false">IF(OR(AN101="",AO101=""),"",IF($F101="Maior Melhor",IF(AO101&gt;=AN101,"Sim","Não"),IF(AO101&lt;=AN101,"Sim","Não")))</f>
        <v>Sim</v>
      </c>
      <c r="AR101" s="7" t="n">
        <v>0.85</v>
      </c>
      <c r="AS101" s="7" t="n">
        <v>0.68</v>
      </c>
      <c r="AT101" s="4" t="n">
        <f aca="false">IF(OR(AR101="",AS101=""),"",IFERROR(IF($K101="%",AS101-AR101,AS101/AR101-1),""))</f>
        <v>-0.2</v>
      </c>
      <c r="AU101" s="5" t="str">
        <f aca="false">IF(OR(AR101="",AS101=""),"",IF($F101="Maior Melhor",IF(AS101&gt;=AR101,"Sim","Não"),IF(AS101&lt;=AR101,"Sim","Não")))</f>
        <v>Não</v>
      </c>
      <c r="AV101" s="7" t="n">
        <v>0.85</v>
      </c>
      <c r="AW101" s="7" t="n">
        <v>0.79</v>
      </c>
      <c r="AX101" s="4" t="n">
        <f aca="false">IF(OR(AV101="",AW101=""),"",IFERROR(IF($K101="%",AW101-AV101,AW101/AV101-1),""))</f>
        <v>-0.0705882352941176</v>
      </c>
      <c r="AY101" s="5" t="str">
        <f aca="false">IF(OR(AV101="",AW101=""),"",IF($F101="Maior Melhor",IF(AW101&gt;=AV101,"Sim","Não"),IF(AW101&lt;=AV101,"Sim","Não")))</f>
        <v>Não</v>
      </c>
      <c r="AZ101" s="7" t="n">
        <v>0.85</v>
      </c>
      <c r="BA101" s="7" t="n">
        <v>0.66</v>
      </c>
      <c r="BB101" s="4" t="n">
        <f aca="false">IF(OR(AZ101="",BA101=""),"",IFERROR(IF($K101="%",BA101-AZ101,BA101/AZ101-1),""))</f>
        <v>-0.223529411764706</v>
      </c>
      <c r="BC101" s="5" t="str">
        <f aca="false">IF(OR(AZ101="",BA101=""),"",IF($F101="Maior Melhor",IF(BA101&gt;=AZ101,"Sim","Não"),IF(BA101&lt;=AZ101,"Sim","Não")))</f>
        <v>Não</v>
      </c>
      <c r="BD101" s="7" t="n">
        <v>0.85</v>
      </c>
      <c r="BE101" s="7" t="n">
        <v>1</v>
      </c>
      <c r="BF101" s="4" t="n">
        <f aca="false">IF(OR(BD101="",BE101=""),"",IFERROR(IF($K101="%",BE101-BD101,BE101/BD101-1),""))</f>
        <v>0.176470588235294</v>
      </c>
      <c r="BG101" s="5" t="str">
        <f aca="false">IF(OR(BD101="",BE101=""),"",IF($F101="Maior Melhor",IF(BE101&gt;=BD101,"Sim","Não"),IF(BE101&lt;=BD101,"Sim","Não")))</f>
        <v>Sim</v>
      </c>
      <c r="BH101" s="7" t="n">
        <v>0.85</v>
      </c>
      <c r="BI101" s="7" t="n">
        <v>0.73</v>
      </c>
      <c r="BJ101" s="4" t="n">
        <f aca="false">IF(OR(BH101="",BI101=""),"",IFERROR(IF($K101="%",BI101-BH101,BI101/BH101-1),""))</f>
        <v>-0.141176470588235</v>
      </c>
      <c r="BK101" s="5" t="str">
        <f aca="false">IF(OR(BH101="",BI101=""),"",IF($F101="Maior Melhor",IF(BI101&gt;=BH101,"Sim","Não"),IF(BI101&lt;=BH101,"Sim","Não")))</f>
        <v>Não</v>
      </c>
      <c r="BL101" s="8"/>
      <c r="BM101" s="8"/>
      <c r="BN101" s="4" t="str">
        <f aca="false">IF(OR(BL101="",BM101=""),"",IFERROR(IF($K101="%",BM101-BL101,BM101/BL101-1),""))</f>
        <v/>
      </c>
      <c r="BO101" s="5" t="str">
        <f aca="false">IF(OR(BL101="",BM101=""),"",IF($F101="Maior Melhor",IF(BM101&gt;=BL101,"Sim","Não"),IF(BM101&lt;=BL101,"Sim","Não")))</f>
        <v/>
      </c>
      <c r="BP101" s="8"/>
      <c r="BQ101" s="8"/>
      <c r="BR101" s="4" t="str">
        <f aca="false">IF(OR(BP101="",BQ101=""),"",IFERROR(IF($K101="%",BQ101-BP101,BQ101/BP101-1),""))</f>
        <v/>
      </c>
      <c r="BS101" s="5" t="str">
        <f aca="false">IF(OR(BP101="",BQ101=""),"",IF($F101="Maior Melhor",IF(BQ101&gt;=BP101,"Sim","Não"),IF(BQ101&lt;=BP101,"Sim","Não")))</f>
        <v/>
      </c>
      <c r="BT101" s="8"/>
      <c r="BU101" s="8"/>
      <c r="BV101" s="4" t="str">
        <f aca="false">IF(OR(BT101="",BU101=""),"",IFERROR(IF($K101="%",BU101-BT101,BU101/BT101-1),""))</f>
        <v/>
      </c>
      <c r="BW101" s="5" t="str">
        <f aca="false">IF(OR(BT101="",BU101=""),"",IF($F101="Maior Melhor",IF(BU101&gt;=BT101,"Sim","Não"),IF(BU101&lt;=BT101,"Sim","Não")))</f>
        <v/>
      </c>
      <c r="BX101" s="8"/>
      <c r="BY101" s="8"/>
      <c r="BZ101" s="4" t="str">
        <f aca="false">IF(OR(BX101="",BY101=""),"",IFERROR(IF($K101="%",BY101-BX101,BY101/BX101-1),""))</f>
        <v/>
      </c>
      <c r="CA101" s="5" t="str">
        <f aca="false">IF(OR(BX101="",BY101=""),"",IF($F101="Maior Melhor",IF(BY101&gt;=BX101,"Sim","Não"),IF(BY101&lt;=BX101,"Sim","Não")))</f>
        <v/>
      </c>
      <c r="CB101" s="8"/>
      <c r="CC101" s="8"/>
      <c r="CD101" s="4" t="str">
        <f aca="false">IF(OR(CB101="",CC101=""),"",IFERROR(IF($K101="%",CC101-CB101,CC101/CB101-1),""))</f>
        <v/>
      </c>
      <c r="CE101" s="5" t="str">
        <f aca="false">IF(OR(CB101="",CC101=""),"",IF($F101="Maior Melhor",IF(CC101&gt;=CB101,"Sim","Não"),IF(CC101&lt;=CB101,"Sim","Não")))</f>
        <v/>
      </c>
      <c r="CF101" s="8"/>
      <c r="CG101" s="8"/>
      <c r="CH101" s="4" t="str">
        <f aca="false">IF(OR(CF101="",CG101=""),"",IFERROR(IF($K101="%",CG101-CF101,CG101/CF101-1),""))</f>
        <v/>
      </c>
      <c r="CI101" s="5" t="str">
        <f aca="false">IF(OR(CF101="",CG101=""),"",IF($F101="Maior Melhor",IF(CG101&gt;=CF101,"Sim","Não"),IF(CG101&lt;=CF101,"Sim","Não")))</f>
        <v/>
      </c>
      <c r="CJ101" s="8"/>
      <c r="CK101" s="8"/>
      <c r="CL101" s="4" t="str">
        <f aca="false">IF(OR(CJ101="",CK101=""),"",IFERROR(IF($K101="%",CK101-CJ101,CK101/CJ101-1),""))</f>
        <v/>
      </c>
      <c r="CM101" s="5" t="str">
        <f aca="false">IF(OR(CJ101="",CK101=""),"",IF($F101="Maior Melhor",IF(CK101&gt;=CJ101,"Sim","Não"),IF(CK101&lt;=CJ101,"Sim","Não")))</f>
        <v/>
      </c>
      <c r="CN101" s="8"/>
      <c r="CO101" s="8"/>
      <c r="CP101" s="4" t="str">
        <f aca="false">IF(OR(CN101="",CO101=""),"",IFERROR(IF($K101="%",CO101-CN101,CO101/CN101-1),""))</f>
        <v/>
      </c>
      <c r="CQ101" s="5" t="str">
        <f aca="false">IF(OR(CN101="",CO101=""),"",IF($F101="Maior Melhor",IF(CO101&gt;=CN101,"Sim","Não"),IF(CO101&lt;=CN101,"Sim","Não")))</f>
        <v/>
      </c>
      <c r="CR101" s="2" t="s">
        <v>105</v>
      </c>
    </row>
    <row r="102" customFormat="false" ht="15" hidden="false" customHeight="false" outlineLevel="0" collapsed="false">
      <c r="A102" s="2" t="s">
        <v>144</v>
      </c>
      <c r="B102" s="2" t="s">
        <v>97</v>
      </c>
      <c r="C102" s="2" t="s">
        <v>122</v>
      </c>
      <c r="D102" s="2" t="s">
        <v>155</v>
      </c>
      <c r="E102" s="2" t="str">
        <f aca="false">C102&amp;D102</f>
        <v>UTD ITABERABAComportamento seguro</v>
      </c>
      <c r="F102" s="2" t="s">
        <v>100</v>
      </c>
      <c r="G102" s="2" t="s">
        <v>156</v>
      </c>
      <c r="H102" s="2" t="s">
        <v>102</v>
      </c>
      <c r="I102" s="2" t="s">
        <v>103</v>
      </c>
      <c r="J102" s="2" t="n">
        <v>3</v>
      </c>
      <c r="K102" s="2" t="s">
        <v>147</v>
      </c>
      <c r="L102" s="7" t="n">
        <v>0.85</v>
      </c>
      <c r="M102" s="7" t="n">
        <v>1</v>
      </c>
      <c r="N102" s="4" t="n">
        <f aca="false">IF(OR(L102="",M102=""),"",IFERROR(IF($K102="%",M102-L102,M102/L102-1),""))</f>
        <v>0.176470588235294</v>
      </c>
      <c r="O102" s="5" t="str">
        <f aca="false">IF(OR(L102="",M102=""),"",IF($F102="Maior Melhor",IF(M102&gt;=L102,"Sim","Não"),IF(M102&lt;=L102,"Sim","Não")))</f>
        <v>Sim</v>
      </c>
      <c r="P102" s="7" t="n">
        <v>0.85</v>
      </c>
      <c r="Q102" s="7" t="n">
        <v>1</v>
      </c>
      <c r="R102" s="4" t="n">
        <f aca="false">IF(OR(P102="",Q102=""),"",IFERROR(IF($K102="%",Q102-P102,Q102/P102-1),""))</f>
        <v>0.176470588235294</v>
      </c>
      <c r="S102" s="5" t="str">
        <f aca="false">IF(OR(P102="",Q102=""),"",IF($F102="Maior Melhor",IF(Q102&gt;=P102,"Sim","Não"),IF(Q102&lt;=P102,"Sim","Não")))</f>
        <v>Sim</v>
      </c>
      <c r="T102" s="7" t="n">
        <v>0.85</v>
      </c>
      <c r="U102" s="7" t="n">
        <v>1</v>
      </c>
      <c r="V102" s="4" t="n">
        <f aca="false">IF(OR(T102="",U102=""),"",IFERROR(IF($K102="%",U102-T102,U102/T102-1),""))</f>
        <v>0.176470588235294</v>
      </c>
      <c r="W102" s="5" t="str">
        <f aca="false">IF(OR(T102="",U102=""),"",IF($F102="Maior Melhor",IF(U102&gt;=T102,"Sim","Não"),IF(U102&lt;=T102,"Sim","Não")))</f>
        <v>Sim</v>
      </c>
      <c r="X102" s="7" t="n">
        <v>0.85</v>
      </c>
      <c r="Y102" s="7" t="n">
        <v>1</v>
      </c>
      <c r="Z102" s="4" t="n">
        <f aca="false">IF(OR(X102="",Y102=""),"",IFERROR(IF($K102="%",Y102-X102,Y102/X102-1),""))</f>
        <v>0.176470588235294</v>
      </c>
      <c r="AA102" s="5" t="str">
        <f aca="false">IF(OR(X102="",Y102=""),"",IF($F102="Maior Melhor",IF(Y102&gt;=X102,"Sim","Não"),IF(Y102&lt;=X102,"Sim","Não")))</f>
        <v>Sim</v>
      </c>
      <c r="AB102" s="7" t="n">
        <v>0.85</v>
      </c>
      <c r="AC102" s="7" t="n">
        <v>1</v>
      </c>
      <c r="AD102" s="4" t="n">
        <f aca="false">IF(OR(AB102="",AC102=""),"",IFERROR(IF($K102="%",AC102-AB102,AC102/AB102-1),""))</f>
        <v>0.176470588235294</v>
      </c>
      <c r="AE102" s="5" t="str">
        <f aca="false">IF(OR(AB102="",AC102=""),"",IF($F102="Maior Melhor",IF(AC102&gt;=AB102,"Sim","Não"),IF(AC102&lt;=AB102,"Sim","Não")))</f>
        <v>Sim</v>
      </c>
      <c r="AF102" s="7" t="n">
        <v>0.85</v>
      </c>
      <c r="AG102" s="7" t="n">
        <v>1</v>
      </c>
      <c r="AH102" s="4" t="n">
        <f aca="false">IF(OR(AF102="",AG102=""),"",IFERROR(IF($K102="%",AG102-AF102,AG102/AF102-1),""))</f>
        <v>0.176470588235294</v>
      </c>
      <c r="AI102" s="5" t="str">
        <f aca="false">IF(OR(AF102="",AG102=""),"",IF($F102="Maior Melhor",IF(AG102&gt;=AF102,"Sim","Não"),IF(AG102&lt;=AF102,"Sim","Não")))</f>
        <v>Sim</v>
      </c>
      <c r="AJ102" s="7" t="n">
        <v>0.85</v>
      </c>
      <c r="AK102" s="7" t="n">
        <v>1</v>
      </c>
      <c r="AL102" s="4" t="n">
        <f aca="false">IF(OR(AJ102="",AK102=""),"",IFERROR(IF($K102="%",AK102-AJ102,AK102/AJ102-1),""))</f>
        <v>0.176470588235294</v>
      </c>
      <c r="AM102" s="5" t="str">
        <f aca="false">IF(OR(AJ102="",AK102=""),"",IF($F102="Maior Melhor",IF(AK102&gt;=AJ102,"Sim","Não"),IF(AK102&lt;=AJ102,"Sim","Não")))</f>
        <v>Sim</v>
      </c>
      <c r="AN102" s="7" t="n">
        <v>0.85</v>
      </c>
      <c r="AO102" s="7" t="n">
        <v>1</v>
      </c>
      <c r="AP102" s="4" t="n">
        <f aca="false">IF(OR(AN102="",AO102=""),"",IFERROR(IF($K102="%",AO102-AN102,AO102/AN102-1),""))</f>
        <v>0.176470588235294</v>
      </c>
      <c r="AQ102" s="5" t="str">
        <f aca="false">IF(OR(AN102="",AO102=""),"",IF($F102="Maior Melhor",IF(AO102&gt;=AN102,"Sim","Não"),IF(AO102&lt;=AN102,"Sim","Não")))</f>
        <v>Sim</v>
      </c>
      <c r="AR102" s="7" t="n">
        <v>0.85</v>
      </c>
      <c r="AS102" s="7" t="n">
        <v>1</v>
      </c>
      <c r="AT102" s="4" t="n">
        <f aca="false">IF(OR(AR102="",AS102=""),"",IFERROR(IF($K102="%",AS102-AR102,AS102/AR102-1),""))</f>
        <v>0.176470588235294</v>
      </c>
      <c r="AU102" s="5" t="str">
        <f aca="false">IF(OR(AR102="",AS102=""),"",IF($F102="Maior Melhor",IF(AS102&gt;=AR102,"Sim","Não"),IF(AS102&lt;=AR102,"Sim","Não")))</f>
        <v>Sim</v>
      </c>
      <c r="AV102" s="7" t="n">
        <v>0.85</v>
      </c>
      <c r="AW102" s="7" t="n">
        <v>1</v>
      </c>
      <c r="AX102" s="4" t="n">
        <f aca="false">IF(OR(AV102="",AW102=""),"",IFERROR(IF($K102="%",AW102-AV102,AW102/AV102-1),""))</f>
        <v>0.176470588235294</v>
      </c>
      <c r="AY102" s="5" t="str">
        <f aca="false">IF(OR(AV102="",AW102=""),"",IF($F102="Maior Melhor",IF(AW102&gt;=AV102,"Sim","Não"),IF(AW102&lt;=AV102,"Sim","Não")))</f>
        <v>Sim</v>
      </c>
      <c r="AZ102" s="7" t="n">
        <v>0.85</v>
      </c>
      <c r="BA102" s="7" t="n">
        <v>1</v>
      </c>
      <c r="BB102" s="4" t="n">
        <f aca="false">IF(OR(AZ102="",BA102=""),"",IFERROR(IF($K102="%",BA102-AZ102,BA102/AZ102-1),""))</f>
        <v>0.176470588235294</v>
      </c>
      <c r="BC102" s="5" t="str">
        <f aca="false">IF(OR(AZ102="",BA102=""),"",IF($F102="Maior Melhor",IF(BA102&gt;=AZ102,"Sim","Não"),IF(BA102&lt;=AZ102,"Sim","Não")))</f>
        <v>Sim</v>
      </c>
      <c r="BD102" s="7" t="n">
        <v>0.85</v>
      </c>
      <c r="BE102" s="7" t="n">
        <v>1</v>
      </c>
      <c r="BF102" s="4" t="n">
        <f aca="false">IF(OR(BD102="",BE102=""),"",IFERROR(IF($K102="%",BE102-BD102,BE102/BD102-1),""))</f>
        <v>0.176470588235294</v>
      </c>
      <c r="BG102" s="5" t="str">
        <f aca="false">IF(OR(BD102="",BE102=""),"",IF($F102="Maior Melhor",IF(BE102&gt;=BD102,"Sim","Não"),IF(BE102&lt;=BD102,"Sim","Não")))</f>
        <v>Sim</v>
      </c>
      <c r="BH102" s="7" t="n">
        <v>0.85</v>
      </c>
      <c r="BI102" s="7" t="n">
        <v>1</v>
      </c>
      <c r="BJ102" s="4" t="n">
        <f aca="false">IF(OR(BH102="",BI102=""),"",IFERROR(IF($K102="%",BI102-BH102,BI102/BH102-1),""))</f>
        <v>0.176470588235294</v>
      </c>
      <c r="BK102" s="5" t="str">
        <f aca="false">IF(OR(BH102="",BI102=""),"",IF($F102="Maior Melhor",IF(BI102&gt;=BH102,"Sim","Não"),IF(BI102&lt;=BH102,"Sim","Não")))</f>
        <v>Sim</v>
      </c>
      <c r="BL102" s="8"/>
      <c r="BM102" s="8"/>
      <c r="BN102" s="4" t="str">
        <f aca="false">IF(OR(BL102="",BM102=""),"",IFERROR(IF($K102="%",BM102-BL102,BM102/BL102-1),""))</f>
        <v/>
      </c>
      <c r="BO102" s="5" t="str">
        <f aca="false">IF(OR(BL102="",BM102=""),"",IF($F102="Maior Melhor",IF(BM102&gt;=BL102,"Sim","Não"),IF(BM102&lt;=BL102,"Sim","Não")))</f>
        <v/>
      </c>
      <c r="BP102" s="8"/>
      <c r="BQ102" s="8"/>
      <c r="BR102" s="4" t="str">
        <f aca="false">IF(OR(BP102="",BQ102=""),"",IFERROR(IF($K102="%",BQ102-BP102,BQ102/BP102-1),""))</f>
        <v/>
      </c>
      <c r="BS102" s="5" t="str">
        <f aca="false">IF(OR(BP102="",BQ102=""),"",IF($F102="Maior Melhor",IF(BQ102&gt;=BP102,"Sim","Não"),IF(BQ102&lt;=BP102,"Sim","Não")))</f>
        <v/>
      </c>
      <c r="BT102" s="8"/>
      <c r="BU102" s="8"/>
      <c r="BV102" s="4" t="str">
        <f aca="false">IF(OR(BT102="",BU102=""),"",IFERROR(IF($K102="%",BU102-BT102,BU102/BT102-1),""))</f>
        <v/>
      </c>
      <c r="BW102" s="5" t="str">
        <f aca="false">IF(OR(BT102="",BU102=""),"",IF($F102="Maior Melhor",IF(BU102&gt;=BT102,"Sim","Não"),IF(BU102&lt;=BT102,"Sim","Não")))</f>
        <v/>
      </c>
      <c r="BX102" s="8"/>
      <c r="BY102" s="8"/>
      <c r="BZ102" s="4" t="str">
        <f aca="false">IF(OR(BX102="",BY102=""),"",IFERROR(IF($K102="%",BY102-BX102,BY102/BX102-1),""))</f>
        <v/>
      </c>
      <c r="CA102" s="5" t="str">
        <f aca="false">IF(OR(BX102="",BY102=""),"",IF($F102="Maior Melhor",IF(BY102&gt;=BX102,"Sim","Não"),IF(BY102&lt;=BX102,"Sim","Não")))</f>
        <v/>
      </c>
      <c r="CB102" s="8"/>
      <c r="CC102" s="8"/>
      <c r="CD102" s="4" t="str">
        <f aca="false">IF(OR(CB102="",CC102=""),"",IFERROR(IF($K102="%",CC102-CB102,CC102/CB102-1),""))</f>
        <v/>
      </c>
      <c r="CE102" s="5" t="str">
        <f aca="false">IF(OR(CB102="",CC102=""),"",IF($F102="Maior Melhor",IF(CC102&gt;=CB102,"Sim","Não"),IF(CC102&lt;=CB102,"Sim","Não")))</f>
        <v/>
      </c>
      <c r="CF102" s="8"/>
      <c r="CG102" s="8"/>
      <c r="CH102" s="4" t="str">
        <f aca="false">IF(OR(CF102="",CG102=""),"",IFERROR(IF($K102="%",CG102-CF102,CG102/CF102-1),""))</f>
        <v/>
      </c>
      <c r="CI102" s="5" t="str">
        <f aca="false">IF(OR(CF102="",CG102=""),"",IF($F102="Maior Melhor",IF(CG102&gt;=CF102,"Sim","Não"),IF(CG102&lt;=CF102,"Sim","Não")))</f>
        <v/>
      </c>
      <c r="CJ102" s="8"/>
      <c r="CK102" s="8"/>
      <c r="CL102" s="4" t="str">
        <f aca="false">IF(OR(CJ102="",CK102=""),"",IFERROR(IF($K102="%",CK102-CJ102,CK102/CJ102-1),""))</f>
        <v/>
      </c>
      <c r="CM102" s="5" t="str">
        <f aca="false">IF(OR(CJ102="",CK102=""),"",IF($F102="Maior Melhor",IF(CK102&gt;=CJ102,"Sim","Não"),IF(CK102&lt;=CJ102,"Sim","Não")))</f>
        <v/>
      </c>
      <c r="CN102" s="8"/>
      <c r="CO102" s="8"/>
      <c r="CP102" s="4" t="str">
        <f aca="false">IF(OR(CN102="",CO102=""),"",IFERROR(IF($K102="%",CO102-CN102,CO102/CN102-1),""))</f>
        <v/>
      </c>
      <c r="CQ102" s="5" t="str">
        <f aca="false">IF(OR(CN102="",CO102=""),"",IF($F102="Maior Melhor",IF(CO102&gt;=CN102,"Sim","Não"),IF(CO102&lt;=CN102,"Sim","Não")))</f>
        <v/>
      </c>
      <c r="CR102" s="2" t="s">
        <v>159</v>
      </c>
    </row>
    <row r="103" customFormat="false" ht="15" hidden="false" customHeight="false" outlineLevel="0" collapsed="false">
      <c r="A103" s="2" t="s">
        <v>144</v>
      </c>
      <c r="B103" s="2" t="s">
        <v>108</v>
      </c>
      <c r="C103" s="2" t="s">
        <v>124</v>
      </c>
      <c r="D103" s="2" t="s">
        <v>155</v>
      </c>
      <c r="E103" s="2" t="str">
        <f aca="false">C103&amp;D103</f>
        <v>UTD ITAPETINGAComportamento seguro</v>
      </c>
      <c r="F103" s="2" t="s">
        <v>100</v>
      </c>
      <c r="G103" s="2" t="s">
        <v>156</v>
      </c>
      <c r="H103" s="2" t="s">
        <v>102</v>
      </c>
      <c r="I103" s="2" t="s">
        <v>103</v>
      </c>
      <c r="J103" s="2" t="n">
        <v>3</v>
      </c>
      <c r="K103" s="2" t="s">
        <v>147</v>
      </c>
      <c r="L103" s="7" t="n">
        <v>0.85</v>
      </c>
      <c r="M103" s="7" t="n">
        <v>0.03</v>
      </c>
      <c r="N103" s="4" t="n">
        <f aca="false">IF(OR(L103="",M103=""),"",IFERROR(IF($K103="%",M103-L103,M103/L103-1),""))</f>
        <v>-0.964705882352941</v>
      </c>
      <c r="O103" s="5" t="str">
        <f aca="false">IF(OR(L103="",M103=""),"",IF($F103="Maior Melhor",IF(M103&gt;=L103,"Sim","Não"),IF(M103&lt;=L103,"Sim","Não")))</f>
        <v>Não</v>
      </c>
      <c r="P103" s="7" t="n">
        <v>0.85</v>
      </c>
      <c r="Q103" s="7" t="n">
        <v>0.75</v>
      </c>
      <c r="R103" s="4" t="n">
        <f aca="false">IF(OR(P103="",Q103=""),"",IFERROR(IF($K103="%",Q103-P103,Q103/P103-1),""))</f>
        <v>-0.117647058823529</v>
      </c>
      <c r="S103" s="5" t="str">
        <f aca="false">IF(OR(P103="",Q103=""),"",IF($F103="Maior Melhor",IF(Q103&gt;=P103,"Sim","Não"),IF(Q103&lt;=P103,"Sim","Não")))</f>
        <v>Não</v>
      </c>
      <c r="T103" s="7" t="n">
        <v>0.85</v>
      </c>
      <c r="U103" s="7" t="n">
        <v>0.93</v>
      </c>
      <c r="V103" s="4" t="n">
        <f aca="false">IF(OR(T103="",U103=""),"",IFERROR(IF($K103="%",U103-T103,U103/T103-1),""))</f>
        <v>0.0941176470588236</v>
      </c>
      <c r="W103" s="5" t="str">
        <f aca="false">IF(OR(T103="",U103=""),"",IF($F103="Maior Melhor",IF(U103&gt;=T103,"Sim","Não"),IF(U103&lt;=T103,"Sim","Não")))</f>
        <v>Sim</v>
      </c>
      <c r="X103" s="7" t="n">
        <v>0.85</v>
      </c>
      <c r="Y103" s="7" t="n">
        <v>0.25</v>
      </c>
      <c r="Z103" s="4" t="n">
        <f aca="false">IF(OR(X103="",Y103=""),"",IFERROR(IF($K103="%",Y103-X103,Y103/X103-1),""))</f>
        <v>-0.705882352941176</v>
      </c>
      <c r="AA103" s="5" t="str">
        <f aca="false">IF(OR(X103="",Y103=""),"",IF($F103="Maior Melhor",IF(Y103&gt;=X103,"Sim","Não"),IF(Y103&lt;=X103,"Sim","Não")))</f>
        <v>Não</v>
      </c>
      <c r="AB103" s="7" t="n">
        <v>0.85</v>
      </c>
      <c r="AC103" s="7" t="n">
        <v>0.49</v>
      </c>
      <c r="AD103" s="4" t="n">
        <f aca="false">IF(OR(AB103="",AC103=""),"",IFERROR(IF($K103="%",AC103-AB103,AC103/AB103-1),""))</f>
        <v>-0.423529411764706</v>
      </c>
      <c r="AE103" s="5" t="str">
        <f aca="false">IF(OR(AB103="",AC103=""),"",IF($F103="Maior Melhor",IF(AC103&gt;=AB103,"Sim","Não"),IF(AC103&lt;=AB103,"Sim","Não")))</f>
        <v>Não</v>
      </c>
      <c r="AF103" s="7" t="n">
        <v>0.85</v>
      </c>
      <c r="AG103" s="7" t="n">
        <v>0.85</v>
      </c>
      <c r="AH103" s="4" t="n">
        <f aca="false">IF(OR(AF103="",AG103=""),"",IFERROR(IF($K103="%",AG103-AF103,AG103/AF103-1),""))</f>
        <v>0</v>
      </c>
      <c r="AI103" s="5" t="str">
        <f aca="false">IF(OR(AF103="",AG103=""),"",IF($F103="Maior Melhor",IF(AG103&gt;=AF103,"Sim","Não"),IF(AG103&lt;=AF103,"Sim","Não")))</f>
        <v>Sim</v>
      </c>
      <c r="AJ103" s="7" t="n">
        <v>0.85</v>
      </c>
      <c r="AK103" s="7" t="n">
        <v>0.56</v>
      </c>
      <c r="AL103" s="4" t="n">
        <f aca="false">IF(OR(AJ103="",AK103=""),"",IFERROR(IF($K103="%",AK103-AJ103,AK103/AJ103-1),""))</f>
        <v>-0.341176470588235</v>
      </c>
      <c r="AM103" s="5" t="str">
        <f aca="false">IF(OR(AJ103="",AK103=""),"",IF($F103="Maior Melhor",IF(AK103&gt;=AJ103,"Sim","Não"),IF(AK103&lt;=AJ103,"Sim","Não")))</f>
        <v>Não</v>
      </c>
      <c r="AN103" s="7" t="n">
        <v>0.85</v>
      </c>
      <c r="AO103" s="7" t="n">
        <v>0.9</v>
      </c>
      <c r="AP103" s="4" t="n">
        <f aca="false">IF(OR(AN103="",AO103=""),"",IFERROR(IF($K103="%",AO103-AN103,AO103/AN103-1),""))</f>
        <v>0.0588235294117647</v>
      </c>
      <c r="AQ103" s="5" t="str">
        <f aca="false">IF(OR(AN103="",AO103=""),"",IF($F103="Maior Melhor",IF(AO103&gt;=AN103,"Sim","Não"),IF(AO103&lt;=AN103,"Sim","Não")))</f>
        <v>Sim</v>
      </c>
      <c r="AR103" s="7" t="n">
        <v>0.85</v>
      </c>
      <c r="AS103" s="7" t="n">
        <v>0.62</v>
      </c>
      <c r="AT103" s="4" t="n">
        <f aca="false">IF(OR(AR103="",AS103=""),"",IFERROR(IF($K103="%",AS103-AR103,AS103/AR103-1),""))</f>
        <v>-0.270588235294118</v>
      </c>
      <c r="AU103" s="5" t="str">
        <f aca="false">IF(OR(AR103="",AS103=""),"",IF($F103="Maior Melhor",IF(AS103&gt;=AR103,"Sim","Não"),IF(AS103&lt;=AR103,"Sim","Não")))</f>
        <v>Não</v>
      </c>
      <c r="AV103" s="7" t="n">
        <v>0.85</v>
      </c>
      <c r="AW103" s="7" t="n">
        <v>0.85</v>
      </c>
      <c r="AX103" s="4" t="n">
        <f aca="false">IF(OR(AV103="",AW103=""),"",IFERROR(IF($K103="%",AW103-AV103,AW103/AV103-1),""))</f>
        <v>0</v>
      </c>
      <c r="AY103" s="5" t="str">
        <f aca="false">IF(OR(AV103="",AW103=""),"",IF($F103="Maior Melhor",IF(AW103&gt;=AV103,"Sim","Não"),IF(AW103&lt;=AV103,"Sim","Não")))</f>
        <v>Sim</v>
      </c>
      <c r="AZ103" s="7" t="n">
        <v>0.85</v>
      </c>
      <c r="BA103" s="7" t="n">
        <v>0.67</v>
      </c>
      <c r="BB103" s="4" t="n">
        <f aca="false">IF(OR(AZ103="",BA103=""),"",IFERROR(IF($K103="%",BA103-AZ103,BA103/AZ103-1),""))</f>
        <v>-0.211764705882353</v>
      </c>
      <c r="BC103" s="5" t="str">
        <f aca="false">IF(OR(AZ103="",BA103=""),"",IF($F103="Maior Melhor",IF(BA103&gt;=AZ103,"Sim","Não"),IF(BA103&lt;=AZ103,"Sim","Não")))</f>
        <v>Não</v>
      </c>
      <c r="BD103" s="7" t="n">
        <v>0.85</v>
      </c>
      <c r="BE103" s="7" t="n">
        <v>1</v>
      </c>
      <c r="BF103" s="4" t="n">
        <f aca="false">IF(OR(BD103="",BE103=""),"",IFERROR(IF($K103="%",BE103-BD103,BE103/BD103-1),""))</f>
        <v>0.176470588235294</v>
      </c>
      <c r="BG103" s="5" t="str">
        <f aca="false">IF(OR(BD103="",BE103=""),"",IF($F103="Maior Melhor",IF(BE103&gt;=BD103,"Sim","Não"),IF(BE103&lt;=BD103,"Sim","Não")))</f>
        <v>Sim</v>
      </c>
      <c r="BH103" s="7" t="n">
        <v>0.85</v>
      </c>
      <c r="BI103" s="7" t="n">
        <v>0.69</v>
      </c>
      <c r="BJ103" s="4" t="n">
        <f aca="false">IF(OR(BH103="",BI103=""),"",IFERROR(IF($K103="%",BI103-BH103,BI103/BH103-1),""))</f>
        <v>-0.188235294117647</v>
      </c>
      <c r="BK103" s="5" t="str">
        <f aca="false">IF(OR(BH103="",BI103=""),"",IF($F103="Maior Melhor",IF(BI103&gt;=BH103,"Sim","Não"),IF(BI103&lt;=BH103,"Sim","Não")))</f>
        <v>Não</v>
      </c>
      <c r="BL103" s="8"/>
      <c r="BM103" s="8"/>
      <c r="BN103" s="4" t="str">
        <f aca="false">IF(OR(BL103="",BM103=""),"",IFERROR(IF($K103="%",BM103-BL103,BM103/BL103-1),""))</f>
        <v/>
      </c>
      <c r="BO103" s="5" t="str">
        <f aca="false">IF(OR(BL103="",BM103=""),"",IF($F103="Maior Melhor",IF(BM103&gt;=BL103,"Sim","Não"),IF(BM103&lt;=BL103,"Sim","Não")))</f>
        <v/>
      </c>
      <c r="BP103" s="8"/>
      <c r="BQ103" s="8"/>
      <c r="BR103" s="4" t="str">
        <f aca="false">IF(OR(BP103="",BQ103=""),"",IFERROR(IF($K103="%",BQ103-BP103,BQ103/BP103-1),""))</f>
        <v/>
      </c>
      <c r="BS103" s="5" t="str">
        <f aca="false">IF(OR(BP103="",BQ103=""),"",IF($F103="Maior Melhor",IF(BQ103&gt;=BP103,"Sim","Não"),IF(BQ103&lt;=BP103,"Sim","Não")))</f>
        <v/>
      </c>
      <c r="BT103" s="8"/>
      <c r="BU103" s="8"/>
      <c r="BV103" s="4" t="str">
        <f aca="false">IF(OR(BT103="",BU103=""),"",IFERROR(IF($K103="%",BU103-BT103,BU103/BT103-1),""))</f>
        <v/>
      </c>
      <c r="BW103" s="5" t="str">
        <f aca="false">IF(OR(BT103="",BU103=""),"",IF($F103="Maior Melhor",IF(BU103&gt;=BT103,"Sim","Não"),IF(BU103&lt;=BT103,"Sim","Não")))</f>
        <v/>
      </c>
      <c r="BX103" s="8"/>
      <c r="BY103" s="8"/>
      <c r="BZ103" s="4" t="str">
        <f aca="false">IF(OR(BX103="",BY103=""),"",IFERROR(IF($K103="%",BY103-BX103,BY103/BX103-1),""))</f>
        <v/>
      </c>
      <c r="CA103" s="5" t="str">
        <f aca="false">IF(OR(BX103="",BY103=""),"",IF($F103="Maior Melhor",IF(BY103&gt;=BX103,"Sim","Não"),IF(BY103&lt;=BX103,"Sim","Não")))</f>
        <v/>
      </c>
      <c r="CB103" s="8"/>
      <c r="CC103" s="8"/>
      <c r="CD103" s="4" t="str">
        <f aca="false">IF(OR(CB103="",CC103=""),"",IFERROR(IF($K103="%",CC103-CB103,CC103/CB103-1),""))</f>
        <v/>
      </c>
      <c r="CE103" s="5" t="str">
        <f aca="false">IF(OR(CB103="",CC103=""),"",IF($F103="Maior Melhor",IF(CC103&gt;=CB103,"Sim","Não"),IF(CC103&lt;=CB103,"Sim","Não")))</f>
        <v/>
      </c>
      <c r="CF103" s="8"/>
      <c r="CG103" s="8"/>
      <c r="CH103" s="4" t="str">
        <f aca="false">IF(OR(CF103="",CG103=""),"",IFERROR(IF($K103="%",CG103-CF103,CG103/CF103-1),""))</f>
        <v/>
      </c>
      <c r="CI103" s="5" t="str">
        <f aca="false">IF(OR(CF103="",CG103=""),"",IF($F103="Maior Melhor",IF(CG103&gt;=CF103,"Sim","Não"),IF(CG103&lt;=CF103,"Sim","Não")))</f>
        <v/>
      </c>
      <c r="CJ103" s="8"/>
      <c r="CK103" s="8"/>
      <c r="CL103" s="4" t="str">
        <f aca="false">IF(OR(CJ103="",CK103=""),"",IFERROR(IF($K103="%",CK103-CJ103,CK103/CJ103-1),""))</f>
        <v/>
      </c>
      <c r="CM103" s="5" t="str">
        <f aca="false">IF(OR(CJ103="",CK103=""),"",IF($F103="Maior Melhor",IF(CK103&gt;=CJ103,"Sim","Não"),IF(CK103&lt;=CJ103,"Sim","Não")))</f>
        <v/>
      </c>
      <c r="CN103" s="8"/>
      <c r="CO103" s="8"/>
      <c r="CP103" s="4" t="str">
        <f aca="false">IF(OR(CN103="",CO103=""),"",IFERROR(IF($K103="%",CO103-CN103,CO103/CN103-1),""))</f>
        <v/>
      </c>
      <c r="CQ103" s="5" t="str">
        <f aca="false">IF(OR(CN103="",CO103=""),"",IF($F103="Maior Melhor",IF(CO103&gt;=CN103,"Sim","Não"),IF(CO103&lt;=CN103,"Sim","Não")))</f>
        <v/>
      </c>
      <c r="CR103" s="2" t="s">
        <v>105</v>
      </c>
    </row>
    <row r="104" customFormat="false" ht="15" hidden="false" customHeight="false" outlineLevel="0" collapsed="false">
      <c r="A104" s="2" t="s">
        <v>144</v>
      </c>
      <c r="B104" s="2" t="s">
        <v>97</v>
      </c>
      <c r="C104" s="2" t="s">
        <v>125</v>
      </c>
      <c r="D104" s="2" t="s">
        <v>155</v>
      </c>
      <c r="E104" s="2" t="str">
        <f aca="false">C104&amp;D104</f>
        <v>UTD JEQUIÉComportamento seguro</v>
      </c>
      <c r="F104" s="2" t="s">
        <v>100</v>
      </c>
      <c r="G104" s="2" t="s">
        <v>156</v>
      </c>
      <c r="H104" s="2" t="s">
        <v>102</v>
      </c>
      <c r="I104" s="2" t="s">
        <v>103</v>
      </c>
      <c r="J104" s="2" t="n">
        <v>3</v>
      </c>
      <c r="K104" s="2" t="s">
        <v>147</v>
      </c>
      <c r="L104" s="7" t="n">
        <v>0.85</v>
      </c>
      <c r="M104" s="7" t="n">
        <v>0.88</v>
      </c>
      <c r="N104" s="4" t="n">
        <f aca="false">IF(OR(L104="",M104=""),"",IFERROR(IF($K104="%",M104-L104,M104/L104-1),""))</f>
        <v>0.0352941176470589</v>
      </c>
      <c r="O104" s="5" t="str">
        <f aca="false">IF(OR(L104="",M104=""),"",IF($F104="Maior Melhor",IF(M104&gt;=L104,"Sim","Não"),IF(M104&lt;=L104,"Sim","Não")))</f>
        <v>Sim</v>
      </c>
      <c r="P104" s="7" t="n">
        <v>0.85</v>
      </c>
      <c r="Q104" s="7" t="n">
        <v>1</v>
      </c>
      <c r="R104" s="4" t="n">
        <f aca="false">IF(OR(P104="",Q104=""),"",IFERROR(IF($K104="%",Q104-P104,Q104/P104-1),""))</f>
        <v>0.176470588235294</v>
      </c>
      <c r="S104" s="5" t="str">
        <f aca="false">IF(OR(P104="",Q104=""),"",IF($F104="Maior Melhor",IF(Q104&gt;=P104,"Sim","Não"),IF(Q104&lt;=P104,"Sim","Não")))</f>
        <v>Sim</v>
      </c>
      <c r="T104" s="7" t="n">
        <v>0.85</v>
      </c>
      <c r="U104" s="7" t="n">
        <v>0.93</v>
      </c>
      <c r="V104" s="4" t="n">
        <f aca="false">IF(OR(T104="",U104=""),"",IFERROR(IF($K104="%",U104-T104,U104/T104-1),""))</f>
        <v>0.0941176470588236</v>
      </c>
      <c r="W104" s="5" t="str">
        <f aca="false">IF(OR(T104="",U104=""),"",IF($F104="Maior Melhor",IF(U104&gt;=T104,"Sim","Não"),IF(U104&lt;=T104,"Sim","Não")))</f>
        <v>Sim</v>
      </c>
      <c r="X104" s="7" t="n">
        <v>0.85</v>
      </c>
      <c r="Y104" s="7" t="n">
        <v>0.83</v>
      </c>
      <c r="Z104" s="4" t="n">
        <f aca="false">IF(OR(X104="",Y104=""),"",IFERROR(IF($K104="%",Y104-X104,Y104/X104-1),""))</f>
        <v>-0.0235294117647059</v>
      </c>
      <c r="AA104" s="5" t="str">
        <f aca="false">IF(OR(X104="",Y104=""),"",IF($F104="Maior Melhor",IF(Y104&gt;=X104,"Sim","Não"),IF(Y104&lt;=X104,"Sim","Não")))</f>
        <v>Não</v>
      </c>
      <c r="AB104" s="7" t="n">
        <v>0.85</v>
      </c>
      <c r="AC104" s="7" t="n">
        <v>0.91</v>
      </c>
      <c r="AD104" s="4" t="n">
        <f aca="false">IF(OR(AB104="",AC104=""),"",IFERROR(IF($K104="%",AC104-AB104,AC104/AB104-1),""))</f>
        <v>0.0705882352941176</v>
      </c>
      <c r="AE104" s="5" t="str">
        <f aca="false">IF(OR(AB104="",AC104=""),"",IF($F104="Maior Melhor",IF(AC104&gt;=AB104,"Sim","Não"),IF(AC104&lt;=AB104,"Sim","Não")))</f>
        <v>Sim</v>
      </c>
      <c r="AF104" s="7" t="n">
        <v>0.85</v>
      </c>
      <c r="AG104" s="7" t="n">
        <v>0.52</v>
      </c>
      <c r="AH104" s="4" t="n">
        <f aca="false">IF(OR(AF104="",AG104=""),"",IFERROR(IF($K104="%",AG104-AF104,AG104/AF104-1),""))</f>
        <v>-0.388235294117647</v>
      </c>
      <c r="AI104" s="5" t="str">
        <f aca="false">IF(OR(AF104="",AG104=""),"",IF($F104="Maior Melhor",IF(AG104&gt;=AF104,"Sim","Não"),IF(AG104&lt;=AF104,"Sim","Não")))</f>
        <v>Não</v>
      </c>
      <c r="AJ104" s="7" t="n">
        <v>0.85</v>
      </c>
      <c r="AK104" s="7" t="n">
        <v>0.83</v>
      </c>
      <c r="AL104" s="4" t="n">
        <f aca="false">IF(OR(AJ104="",AK104=""),"",IFERROR(IF($K104="%",AK104-AJ104,AK104/AJ104-1),""))</f>
        <v>-0.0235294117647059</v>
      </c>
      <c r="AM104" s="5" t="str">
        <f aca="false">IF(OR(AJ104="",AK104=""),"",IF($F104="Maior Melhor",IF(AK104&gt;=AJ104,"Sim","Não"),IF(AK104&lt;=AJ104,"Sim","Não")))</f>
        <v>Não</v>
      </c>
      <c r="AN104" s="7" t="n">
        <v>0.85</v>
      </c>
      <c r="AO104" s="7" t="n">
        <v>1</v>
      </c>
      <c r="AP104" s="4" t="n">
        <f aca="false">IF(OR(AN104="",AO104=""),"",IFERROR(IF($K104="%",AO104-AN104,AO104/AN104-1),""))</f>
        <v>0.176470588235294</v>
      </c>
      <c r="AQ104" s="5" t="str">
        <f aca="false">IF(OR(AN104="",AO104=""),"",IF($F104="Maior Melhor",IF(AO104&gt;=AN104,"Sim","Não"),IF(AO104&lt;=AN104,"Sim","Não")))</f>
        <v>Sim</v>
      </c>
      <c r="AR104" s="7" t="n">
        <v>0.85</v>
      </c>
      <c r="AS104" s="7" t="n">
        <v>0.86</v>
      </c>
      <c r="AT104" s="4" t="n">
        <f aca="false">IF(OR(AR104="",AS104=""),"",IFERROR(IF($K104="%",AS104-AR104,AS104/AR104-1),""))</f>
        <v>0.0117647058823529</v>
      </c>
      <c r="AU104" s="5" t="str">
        <f aca="false">IF(OR(AR104="",AS104=""),"",IF($F104="Maior Melhor",IF(AS104&gt;=AR104,"Sim","Não"),IF(AS104&lt;=AR104,"Sim","Não")))</f>
        <v>Sim</v>
      </c>
      <c r="AV104" s="7" t="n">
        <v>0.85</v>
      </c>
      <c r="AW104" s="7" t="n">
        <v>0.93</v>
      </c>
      <c r="AX104" s="4" t="n">
        <f aca="false">IF(OR(AV104="",AW104=""),"",IFERROR(IF($K104="%",AW104-AV104,AW104/AV104-1),""))</f>
        <v>0.0941176470588236</v>
      </c>
      <c r="AY104" s="5" t="str">
        <f aca="false">IF(OR(AV104="",AW104=""),"",IF($F104="Maior Melhor",IF(AW104&gt;=AV104,"Sim","Não"),IF(AW104&lt;=AV104,"Sim","Não")))</f>
        <v>Sim</v>
      </c>
      <c r="AZ104" s="7" t="n">
        <v>0.85</v>
      </c>
      <c r="BA104" s="7" t="n">
        <v>0.86</v>
      </c>
      <c r="BB104" s="4" t="n">
        <f aca="false">IF(OR(AZ104="",BA104=""),"",IFERROR(IF($K104="%",BA104-AZ104,BA104/AZ104-1),""))</f>
        <v>0.0117647058823529</v>
      </c>
      <c r="BC104" s="5" t="str">
        <f aca="false">IF(OR(AZ104="",BA104=""),"",IF($F104="Maior Melhor",IF(BA104&gt;=AZ104,"Sim","Não"),IF(BA104&lt;=AZ104,"Sim","Não")))</f>
        <v>Sim</v>
      </c>
      <c r="BD104" s="7" t="n">
        <v>0.85</v>
      </c>
      <c r="BE104" s="7" t="n">
        <v>1</v>
      </c>
      <c r="BF104" s="4" t="n">
        <f aca="false">IF(OR(BD104="",BE104=""),"",IFERROR(IF($K104="%",BE104-BD104,BE104/BD104-1),""))</f>
        <v>0.176470588235294</v>
      </c>
      <c r="BG104" s="5" t="str">
        <f aca="false">IF(OR(BD104="",BE104=""),"",IF($F104="Maior Melhor",IF(BE104&gt;=BD104,"Sim","Não"),IF(BE104&lt;=BD104,"Sim","Não")))</f>
        <v>Sim</v>
      </c>
      <c r="BH104" s="7" t="n">
        <v>0.85</v>
      </c>
      <c r="BI104" s="7" t="n">
        <v>0.88</v>
      </c>
      <c r="BJ104" s="4" t="n">
        <f aca="false">IF(OR(BH104="",BI104=""),"",IFERROR(IF($K104="%",BI104-BH104,BI104/BH104-1),""))</f>
        <v>0.0352941176470589</v>
      </c>
      <c r="BK104" s="5" t="str">
        <f aca="false">IF(OR(BH104="",BI104=""),"",IF($F104="Maior Melhor",IF(BI104&gt;=BH104,"Sim","Não"),IF(BI104&lt;=BH104,"Sim","Não")))</f>
        <v>Sim</v>
      </c>
      <c r="BL104" s="8"/>
      <c r="BM104" s="8"/>
      <c r="BN104" s="4" t="str">
        <f aca="false">IF(OR(BL104="",BM104=""),"",IFERROR(IF($K104="%",BM104-BL104,BM104/BL104-1),""))</f>
        <v/>
      </c>
      <c r="BO104" s="5" t="str">
        <f aca="false">IF(OR(BL104="",BM104=""),"",IF($F104="Maior Melhor",IF(BM104&gt;=BL104,"Sim","Não"),IF(BM104&lt;=BL104,"Sim","Não")))</f>
        <v/>
      </c>
      <c r="BP104" s="8"/>
      <c r="BQ104" s="8"/>
      <c r="BR104" s="4" t="str">
        <f aca="false">IF(OR(BP104="",BQ104=""),"",IFERROR(IF($K104="%",BQ104-BP104,BQ104/BP104-1),""))</f>
        <v/>
      </c>
      <c r="BS104" s="5" t="str">
        <f aca="false">IF(OR(BP104="",BQ104=""),"",IF($F104="Maior Melhor",IF(BQ104&gt;=BP104,"Sim","Não"),IF(BQ104&lt;=BP104,"Sim","Não")))</f>
        <v/>
      </c>
      <c r="BT104" s="8"/>
      <c r="BU104" s="8"/>
      <c r="BV104" s="4" t="str">
        <f aca="false">IF(OR(BT104="",BU104=""),"",IFERROR(IF($K104="%",BU104-BT104,BU104/BT104-1),""))</f>
        <v/>
      </c>
      <c r="BW104" s="5" t="str">
        <f aca="false">IF(OR(BT104="",BU104=""),"",IF($F104="Maior Melhor",IF(BU104&gt;=BT104,"Sim","Não"),IF(BU104&lt;=BT104,"Sim","Não")))</f>
        <v/>
      </c>
      <c r="BX104" s="8"/>
      <c r="BY104" s="8"/>
      <c r="BZ104" s="4" t="str">
        <f aca="false">IF(OR(BX104="",BY104=""),"",IFERROR(IF($K104="%",BY104-BX104,BY104/BX104-1),""))</f>
        <v/>
      </c>
      <c r="CA104" s="5" t="str">
        <f aca="false">IF(OR(BX104="",BY104=""),"",IF($F104="Maior Melhor",IF(BY104&gt;=BX104,"Sim","Não"),IF(BY104&lt;=BX104,"Sim","Não")))</f>
        <v/>
      </c>
      <c r="CB104" s="8"/>
      <c r="CC104" s="8"/>
      <c r="CD104" s="4" t="str">
        <f aca="false">IF(OR(CB104="",CC104=""),"",IFERROR(IF($K104="%",CC104-CB104,CC104/CB104-1),""))</f>
        <v/>
      </c>
      <c r="CE104" s="5" t="str">
        <f aca="false">IF(OR(CB104="",CC104=""),"",IF($F104="Maior Melhor",IF(CC104&gt;=CB104,"Sim","Não"),IF(CC104&lt;=CB104,"Sim","Não")))</f>
        <v/>
      </c>
      <c r="CF104" s="8"/>
      <c r="CG104" s="8"/>
      <c r="CH104" s="4" t="str">
        <f aca="false">IF(OR(CF104="",CG104=""),"",IFERROR(IF($K104="%",CG104-CF104,CG104/CF104-1),""))</f>
        <v/>
      </c>
      <c r="CI104" s="5" t="str">
        <f aca="false">IF(OR(CF104="",CG104=""),"",IF($F104="Maior Melhor",IF(CG104&gt;=CF104,"Sim","Não"),IF(CG104&lt;=CF104,"Sim","Não")))</f>
        <v/>
      </c>
      <c r="CJ104" s="8"/>
      <c r="CK104" s="8"/>
      <c r="CL104" s="4" t="str">
        <f aca="false">IF(OR(CJ104="",CK104=""),"",IFERROR(IF($K104="%",CK104-CJ104,CK104/CJ104-1),""))</f>
        <v/>
      </c>
      <c r="CM104" s="5" t="str">
        <f aca="false">IF(OR(CJ104="",CK104=""),"",IF($F104="Maior Melhor",IF(CK104&gt;=CJ104,"Sim","Não"),IF(CK104&lt;=CJ104,"Sim","Não")))</f>
        <v/>
      </c>
      <c r="CN104" s="8"/>
      <c r="CO104" s="8"/>
      <c r="CP104" s="4" t="str">
        <f aca="false">IF(OR(CN104="",CO104=""),"",IFERROR(IF($K104="%",CO104-CN104,CO104/CN104-1),""))</f>
        <v/>
      </c>
      <c r="CQ104" s="5" t="str">
        <f aca="false">IF(OR(CN104="",CO104=""),"",IF($F104="Maior Melhor",IF(CO104&gt;=CN104,"Sim","Não"),IF(CO104&lt;=CN104,"Sim","Não")))</f>
        <v/>
      </c>
      <c r="CR104" s="2" t="s">
        <v>105</v>
      </c>
    </row>
    <row r="105" customFormat="false" ht="15" hidden="false" customHeight="false" outlineLevel="0" collapsed="false">
      <c r="A105" s="2" t="s">
        <v>144</v>
      </c>
      <c r="B105" s="2" t="s">
        <v>97</v>
      </c>
      <c r="C105" s="2" t="s">
        <v>126</v>
      </c>
      <c r="D105" s="2" t="s">
        <v>155</v>
      </c>
      <c r="E105" s="2" t="str">
        <f aca="false">C105&amp;D105</f>
        <v>UTD LIVRAMENTO DE NOSSA SENHORAComportamento seguro</v>
      </c>
      <c r="F105" s="2" t="s">
        <v>100</v>
      </c>
      <c r="G105" s="2" t="s">
        <v>156</v>
      </c>
      <c r="H105" s="2" t="s">
        <v>102</v>
      </c>
      <c r="I105" s="2" t="s">
        <v>103</v>
      </c>
      <c r="J105" s="2" t="n">
        <v>3</v>
      </c>
      <c r="K105" s="2" t="s">
        <v>147</v>
      </c>
      <c r="L105" s="7" t="n">
        <v>0.85</v>
      </c>
      <c r="M105" s="7" t="n">
        <v>0.86</v>
      </c>
      <c r="N105" s="4" t="n">
        <f aca="false">IF(OR(L105="",M105=""),"",IFERROR(IF($K105="%",M105-L105,M105/L105-1),""))</f>
        <v>0.0117647058823529</v>
      </c>
      <c r="O105" s="5" t="str">
        <f aca="false">IF(OR(L105="",M105=""),"",IF($F105="Maior Melhor",IF(M105&gt;=L105,"Sim","Não"),IF(M105&lt;=L105,"Sim","Não")))</f>
        <v>Sim</v>
      </c>
      <c r="P105" s="7" t="n">
        <v>0.85</v>
      </c>
      <c r="Q105" s="7" t="n">
        <v>0.67</v>
      </c>
      <c r="R105" s="4" t="n">
        <f aca="false">IF(OR(P105="",Q105=""),"",IFERROR(IF($K105="%",Q105-P105,Q105/P105-1),""))</f>
        <v>-0.211764705882353</v>
      </c>
      <c r="S105" s="5" t="str">
        <f aca="false">IF(OR(P105="",Q105=""),"",IF($F105="Maior Melhor",IF(Q105&gt;=P105,"Sim","Não"),IF(Q105&lt;=P105,"Sim","Não")))</f>
        <v>Não</v>
      </c>
      <c r="T105" s="7" t="n">
        <v>0.85</v>
      </c>
      <c r="U105" s="7" t="n">
        <v>1</v>
      </c>
      <c r="V105" s="4" t="n">
        <f aca="false">IF(OR(T105="",U105=""),"",IFERROR(IF($K105="%",U105-T105,U105/T105-1),""))</f>
        <v>0.176470588235294</v>
      </c>
      <c r="W105" s="5" t="str">
        <f aca="false">IF(OR(T105="",U105=""),"",IF($F105="Maior Melhor",IF(U105&gt;=T105,"Sim","Não"),IF(U105&lt;=T105,"Sim","Não")))</f>
        <v>Sim</v>
      </c>
      <c r="X105" s="7" t="n">
        <v>0.85</v>
      </c>
      <c r="Y105" s="7" t="n">
        <v>1</v>
      </c>
      <c r="Z105" s="4" t="n">
        <f aca="false">IF(OR(X105="",Y105=""),"",IFERROR(IF($K105="%",Y105-X105,Y105/X105-1),""))</f>
        <v>0.176470588235294</v>
      </c>
      <c r="AA105" s="5" t="str">
        <f aca="false">IF(OR(X105="",Y105=""),"",IF($F105="Maior Melhor",IF(Y105&gt;=X105,"Sim","Não"),IF(Y105&lt;=X105,"Sim","Não")))</f>
        <v>Sim</v>
      </c>
      <c r="AB105" s="7" t="n">
        <v>0.85</v>
      </c>
      <c r="AC105" s="7" t="n">
        <v>0.88</v>
      </c>
      <c r="AD105" s="4" t="n">
        <f aca="false">IF(OR(AB105="",AC105=""),"",IFERROR(IF($K105="%",AC105-AB105,AC105/AB105-1),""))</f>
        <v>0.0352941176470589</v>
      </c>
      <c r="AE105" s="5" t="str">
        <f aca="false">IF(OR(AB105="",AC105=""),"",IF($F105="Maior Melhor",IF(AC105&gt;=AB105,"Sim","Não"),IF(AC105&lt;=AB105,"Sim","Não")))</f>
        <v>Sim</v>
      </c>
      <c r="AF105" s="7" t="n">
        <v>0.85</v>
      </c>
      <c r="AG105" s="7" t="n">
        <v>1</v>
      </c>
      <c r="AH105" s="4" t="n">
        <f aca="false">IF(OR(AF105="",AG105=""),"",IFERROR(IF($K105="%",AG105-AF105,AG105/AF105-1),""))</f>
        <v>0.176470588235294</v>
      </c>
      <c r="AI105" s="5" t="str">
        <f aca="false">IF(OR(AF105="",AG105=""),"",IF($F105="Maior Melhor",IF(AG105&gt;=AF105,"Sim","Não"),IF(AG105&lt;=AF105,"Sim","Não")))</f>
        <v>Sim</v>
      </c>
      <c r="AJ105" s="7" t="n">
        <v>0.85</v>
      </c>
      <c r="AK105" s="7" t="n">
        <v>0.91</v>
      </c>
      <c r="AL105" s="4" t="n">
        <f aca="false">IF(OR(AJ105="",AK105=""),"",IFERROR(IF($K105="%",AK105-AJ105,AK105/AJ105-1),""))</f>
        <v>0.0705882352941176</v>
      </c>
      <c r="AM105" s="5" t="str">
        <f aca="false">IF(OR(AJ105="",AK105=""),"",IF($F105="Maior Melhor",IF(AK105&gt;=AJ105,"Sim","Não"),IF(AK105&lt;=AJ105,"Sim","Não")))</f>
        <v>Sim</v>
      </c>
      <c r="AN105" s="7" t="n">
        <v>0.85</v>
      </c>
      <c r="AO105" s="7" t="n">
        <v>1</v>
      </c>
      <c r="AP105" s="4" t="n">
        <f aca="false">IF(OR(AN105="",AO105=""),"",IFERROR(IF($K105="%",AO105-AN105,AO105/AN105-1),""))</f>
        <v>0.176470588235294</v>
      </c>
      <c r="AQ105" s="5" t="str">
        <f aca="false">IF(OR(AN105="",AO105=""),"",IF($F105="Maior Melhor",IF(AO105&gt;=AN105,"Sim","Não"),IF(AO105&lt;=AN105,"Sim","Não")))</f>
        <v>Sim</v>
      </c>
      <c r="AR105" s="7" t="n">
        <v>0.85</v>
      </c>
      <c r="AS105" s="7" t="n">
        <v>0.92</v>
      </c>
      <c r="AT105" s="4" t="n">
        <f aca="false">IF(OR(AR105="",AS105=""),"",IFERROR(IF($K105="%",AS105-AR105,AS105/AR105-1),""))</f>
        <v>0.0823529411764707</v>
      </c>
      <c r="AU105" s="5" t="str">
        <f aca="false">IF(OR(AR105="",AS105=""),"",IF($F105="Maior Melhor",IF(AS105&gt;=AR105,"Sim","Não"),IF(AS105&lt;=AR105,"Sim","Não")))</f>
        <v>Sim</v>
      </c>
      <c r="AV105" s="7" t="n">
        <v>0.85</v>
      </c>
      <c r="AW105" s="7" t="n">
        <v>1</v>
      </c>
      <c r="AX105" s="4" t="n">
        <f aca="false">IF(OR(AV105="",AW105=""),"",IFERROR(IF($K105="%",AW105-AV105,AW105/AV105-1),""))</f>
        <v>0.176470588235294</v>
      </c>
      <c r="AY105" s="5" t="str">
        <f aca="false">IF(OR(AV105="",AW105=""),"",IF($F105="Maior Melhor",IF(AW105&gt;=AV105,"Sim","Não"),IF(AW105&lt;=AV105,"Sim","Não")))</f>
        <v>Sim</v>
      </c>
      <c r="AZ105" s="7" t="n">
        <v>0.85</v>
      </c>
      <c r="BA105" s="7" t="n">
        <v>0.91</v>
      </c>
      <c r="BB105" s="4" t="n">
        <f aca="false">IF(OR(AZ105="",BA105=""),"",IFERROR(IF($K105="%",BA105-AZ105,BA105/AZ105-1),""))</f>
        <v>0.0705882352941176</v>
      </c>
      <c r="BC105" s="5" t="str">
        <f aca="false">IF(OR(AZ105="",BA105=""),"",IF($F105="Maior Melhor",IF(BA105&gt;=AZ105,"Sim","Não"),IF(BA105&lt;=AZ105,"Sim","Não")))</f>
        <v>Sim</v>
      </c>
      <c r="BD105" s="7" t="n">
        <v>0.85</v>
      </c>
      <c r="BE105" s="7" t="n">
        <v>1</v>
      </c>
      <c r="BF105" s="4" t="n">
        <f aca="false">IF(OR(BD105="",BE105=""),"",IFERROR(IF($K105="%",BE105-BD105,BE105/BD105-1),""))</f>
        <v>0.176470588235294</v>
      </c>
      <c r="BG105" s="5" t="str">
        <f aca="false">IF(OR(BD105="",BE105=""),"",IF($F105="Maior Melhor",IF(BE105&gt;=BD105,"Sim","Não"),IF(BE105&lt;=BD105,"Sim","Não")))</f>
        <v>Sim</v>
      </c>
      <c r="BH105" s="7" t="n">
        <v>0.85</v>
      </c>
      <c r="BI105" s="7" t="n">
        <v>0.94</v>
      </c>
      <c r="BJ105" s="4" t="n">
        <f aca="false">IF(OR(BH105="",BI105=""),"",IFERROR(IF($K105="%",BI105-BH105,BI105/BH105-1),""))</f>
        <v>0.105882352941177</v>
      </c>
      <c r="BK105" s="5" t="str">
        <f aca="false">IF(OR(BH105="",BI105=""),"",IF($F105="Maior Melhor",IF(BI105&gt;=BH105,"Sim","Não"),IF(BI105&lt;=BH105,"Sim","Não")))</f>
        <v>Sim</v>
      </c>
      <c r="BL105" s="8"/>
      <c r="BM105" s="8"/>
      <c r="BN105" s="4" t="str">
        <f aca="false">IF(OR(BL105="",BM105=""),"",IFERROR(IF($K105="%",BM105-BL105,BM105/BL105-1),""))</f>
        <v/>
      </c>
      <c r="BO105" s="5" t="str">
        <f aca="false">IF(OR(BL105="",BM105=""),"",IF($F105="Maior Melhor",IF(BM105&gt;=BL105,"Sim","Não"),IF(BM105&lt;=BL105,"Sim","Não")))</f>
        <v/>
      </c>
      <c r="BP105" s="8"/>
      <c r="BQ105" s="8"/>
      <c r="BR105" s="4" t="str">
        <f aca="false">IF(OR(BP105="",BQ105=""),"",IFERROR(IF($K105="%",BQ105-BP105,BQ105/BP105-1),""))</f>
        <v/>
      </c>
      <c r="BS105" s="5" t="str">
        <f aca="false">IF(OR(BP105="",BQ105=""),"",IF($F105="Maior Melhor",IF(BQ105&gt;=BP105,"Sim","Não"),IF(BQ105&lt;=BP105,"Sim","Não")))</f>
        <v/>
      </c>
      <c r="BT105" s="8"/>
      <c r="BU105" s="8"/>
      <c r="BV105" s="4" t="str">
        <f aca="false">IF(OR(BT105="",BU105=""),"",IFERROR(IF($K105="%",BU105-BT105,BU105/BT105-1),""))</f>
        <v/>
      </c>
      <c r="BW105" s="5" t="str">
        <f aca="false">IF(OR(BT105="",BU105=""),"",IF($F105="Maior Melhor",IF(BU105&gt;=BT105,"Sim","Não"),IF(BU105&lt;=BT105,"Sim","Não")))</f>
        <v/>
      </c>
      <c r="BX105" s="8"/>
      <c r="BY105" s="8"/>
      <c r="BZ105" s="4" t="str">
        <f aca="false">IF(OR(BX105="",BY105=""),"",IFERROR(IF($K105="%",BY105-BX105,BY105/BX105-1),""))</f>
        <v/>
      </c>
      <c r="CA105" s="5" t="str">
        <f aca="false">IF(OR(BX105="",BY105=""),"",IF($F105="Maior Melhor",IF(BY105&gt;=BX105,"Sim","Não"),IF(BY105&lt;=BX105,"Sim","Não")))</f>
        <v/>
      </c>
      <c r="CB105" s="8"/>
      <c r="CC105" s="8"/>
      <c r="CD105" s="4" t="str">
        <f aca="false">IF(OR(CB105="",CC105=""),"",IFERROR(IF($K105="%",CC105-CB105,CC105/CB105-1),""))</f>
        <v/>
      </c>
      <c r="CE105" s="5" t="str">
        <f aca="false">IF(OR(CB105="",CC105=""),"",IF($F105="Maior Melhor",IF(CC105&gt;=CB105,"Sim","Não"),IF(CC105&lt;=CB105,"Sim","Não")))</f>
        <v/>
      </c>
      <c r="CF105" s="8"/>
      <c r="CG105" s="8"/>
      <c r="CH105" s="4" t="str">
        <f aca="false">IF(OR(CF105="",CG105=""),"",IFERROR(IF($K105="%",CG105-CF105,CG105/CF105-1),""))</f>
        <v/>
      </c>
      <c r="CI105" s="5" t="str">
        <f aca="false">IF(OR(CF105="",CG105=""),"",IF($F105="Maior Melhor",IF(CG105&gt;=CF105,"Sim","Não"),IF(CG105&lt;=CF105,"Sim","Não")))</f>
        <v/>
      </c>
      <c r="CJ105" s="8"/>
      <c r="CK105" s="8"/>
      <c r="CL105" s="4" t="str">
        <f aca="false">IF(OR(CJ105="",CK105=""),"",IFERROR(IF($K105="%",CK105-CJ105,CK105/CJ105-1),""))</f>
        <v/>
      </c>
      <c r="CM105" s="5" t="str">
        <f aca="false">IF(OR(CJ105="",CK105=""),"",IF($F105="Maior Melhor",IF(CK105&gt;=CJ105,"Sim","Não"),IF(CK105&lt;=CJ105,"Sim","Não")))</f>
        <v/>
      </c>
      <c r="CN105" s="8"/>
      <c r="CO105" s="8"/>
      <c r="CP105" s="4" t="str">
        <f aca="false">IF(OR(CN105="",CO105=""),"",IFERROR(IF($K105="%",CO105-CN105,CO105/CN105-1),""))</f>
        <v/>
      </c>
      <c r="CQ105" s="5" t="str">
        <f aca="false">IF(OR(CN105="",CO105=""),"",IF($F105="Maior Melhor",IF(CO105&gt;=CN105,"Sim","Não"),IF(CO105&lt;=CN105,"Sim","Não")))</f>
        <v/>
      </c>
      <c r="CR105" s="2" t="s">
        <v>105</v>
      </c>
    </row>
    <row r="106" customFormat="false" ht="15" hidden="false" customHeight="false" outlineLevel="0" collapsed="false">
      <c r="A106" s="2" t="s">
        <v>144</v>
      </c>
      <c r="B106" s="2" t="s">
        <v>106</v>
      </c>
      <c r="C106" s="2" t="s">
        <v>127</v>
      </c>
      <c r="D106" s="2" t="s">
        <v>155</v>
      </c>
      <c r="E106" s="2" t="str">
        <f aca="false">C106&amp;D106</f>
        <v>UTD LUIS EDUARDO MAGALHAESComportamento seguro</v>
      </c>
      <c r="F106" s="2" t="s">
        <v>100</v>
      </c>
      <c r="G106" s="2" t="s">
        <v>156</v>
      </c>
      <c r="H106" s="2" t="s">
        <v>102</v>
      </c>
      <c r="I106" s="2" t="s">
        <v>103</v>
      </c>
      <c r="J106" s="2" t="n">
        <v>3</v>
      </c>
      <c r="K106" s="2" t="s">
        <v>147</v>
      </c>
      <c r="L106" s="7" t="n">
        <v>0.85</v>
      </c>
      <c r="M106" s="7" t="n">
        <v>0.87</v>
      </c>
      <c r="N106" s="4" t="n">
        <f aca="false">IF(OR(L106="",M106=""),"",IFERROR(IF($K106="%",M106-L106,M106/L106-1),""))</f>
        <v>0.0235294117647058</v>
      </c>
      <c r="O106" s="5" t="str">
        <f aca="false">IF(OR(L106="",M106=""),"",IF($F106="Maior Melhor",IF(M106&gt;=L106,"Sim","Não"),IF(M106&lt;=L106,"Sim","Não")))</f>
        <v>Sim</v>
      </c>
      <c r="P106" s="7" t="n">
        <v>0.85</v>
      </c>
      <c r="Q106" s="7" t="n">
        <v>1</v>
      </c>
      <c r="R106" s="4" t="n">
        <f aca="false">IF(OR(P106="",Q106=""),"",IFERROR(IF($K106="%",Q106-P106,Q106/P106-1),""))</f>
        <v>0.176470588235294</v>
      </c>
      <c r="S106" s="5" t="str">
        <f aca="false">IF(OR(P106="",Q106=""),"",IF($F106="Maior Melhor",IF(Q106&gt;=P106,"Sim","Não"),IF(Q106&lt;=P106,"Sim","Não")))</f>
        <v>Sim</v>
      </c>
      <c r="T106" s="7" t="n">
        <v>0.85</v>
      </c>
      <c r="U106" s="7" t="n">
        <v>1</v>
      </c>
      <c r="V106" s="4" t="n">
        <f aca="false">IF(OR(T106="",U106=""),"",IFERROR(IF($K106="%",U106-T106,U106/T106-1),""))</f>
        <v>0.176470588235294</v>
      </c>
      <c r="W106" s="5" t="str">
        <f aca="false">IF(OR(T106="",U106=""),"",IF($F106="Maior Melhor",IF(U106&gt;=T106,"Sim","Não"),IF(U106&lt;=T106,"Sim","Não")))</f>
        <v>Sim</v>
      </c>
      <c r="X106" s="7" t="n">
        <v>0.85</v>
      </c>
      <c r="Y106" s="7" t="n">
        <v>1</v>
      </c>
      <c r="Z106" s="4" t="n">
        <f aca="false">IF(OR(X106="",Y106=""),"",IFERROR(IF($K106="%",Y106-X106,Y106/X106-1),""))</f>
        <v>0.176470588235294</v>
      </c>
      <c r="AA106" s="5" t="str">
        <f aca="false">IF(OR(X106="",Y106=""),"",IF($F106="Maior Melhor",IF(Y106&gt;=X106,"Sim","Não"),IF(Y106&lt;=X106,"Sim","Não")))</f>
        <v>Sim</v>
      </c>
      <c r="AB106" s="7" t="n">
        <v>0.85</v>
      </c>
      <c r="AC106" s="7" t="n">
        <v>0.97</v>
      </c>
      <c r="AD106" s="4" t="n">
        <f aca="false">IF(OR(AB106="",AC106=""),"",IFERROR(IF($K106="%",AC106-AB106,AC106/AB106-1),""))</f>
        <v>0.141176470588235</v>
      </c>
      <c r="AE106" s="5" t="str">
        <f aca="false">IF(OR(AB106="",AC106=""),"",IF($F106="Maior Melhor",IF(AC106&gt;=AB106,"Sim","Não"),IF(AC106&lt;=AB106,"Sim","Não")))</f>
        <v>Sim</v>
      </c>
      <c r="AF106" s="7" t="n">
        <v>0.85</v>
      </c>
      <c r="AG106" s="7" t="n">
        <v>1</v>
      </c>
      <c r="AH106" s="4" t="n">
        <f aca="false">IF(OR(AF106="",AG106=""),"",IFERROR(IF($K106="%",AG106-AF106,AG106/AF106-1),""))</f>
        <v>0.176470588235294</v>
      </c>
      <c r="AI106" s="5" t="str">
        <f aca="false">IF(OR(AF106="",AG106=""),"",IF($F106="Maior Melhor",IF(AG106&gt;=AF106,"Sim","Não"),IF(AG106&lt;=AF106,"Sim","Não")))</f>
        <v>Sim</v>
      </c>
      <c r="AJ106" s="7" t="n">
        <v>0.85</v>
      </c>
      <c r="AK106" s="7" t="n">
        <v>0.97</v>
      </c>
      <c r="AL106" s="4" t="n">
        <f aca="false">IF(OR(AJ106="",AK106=""),"",IFERROR(IF($K106="%",AK106-AJ106,AK106/AJ106-1),""))</f>
        <v>0.141176470588235</v>
      </c>
      <c r="AM106" s="5" t="str">
        <f aca="false">IF(OR(AJ106="",AK106=""),"",IF($F106="Maior Melhor",IF(AK106&gt;=AJ106,"Sim","Não"),IF(AK106&lt;=AJ106,"Sim","Não")))</f>
        <v>Sim</v>
      </c>
      <c r="AN106" s="7" t="n">
        <v>0.85</v>
      </c>
      <c r="AO106" s="7" t="n">
        <v>1</v>
      </c>
      <c r="AP106" s="4" t="n">
        <f aca="false">IF(OR(AN106="",AO106=""),"",IFERROR(IF($K106="%",AO106-AN106,AO106/AN106-1),""))</f>
        <v>0.176470588235294</v>
      </c>
      <c r="AQ106" s="5" t="str">
        <f aca="false">IF(OR(AN106="",AO106=""),"",IF($F106="Maior Melhor",IF(AO106&gt;=AN106,"Sim","Não"),IF(AO106&lt;=AN106,"Sim","Não")))</f>
        <v>Sim</v>
      </c>
      <c r="AR106" s="7" t="n">
        <v>0.85</v>
      </c>
      <c r="AS106" s="7" t="n">
        <v>0.98</v>
      </c>
      <c r="AT106" s="4" t="n">
        <f aca="false">IF(OR(AR106="",AS106=""),"",IFERROR(IF($K106="%",AS106-AR106,AS106/AR106-1),""))</f>
        <v>0.152941176470588</v>
      </c>
      <c r="AU106" s="5" t="str">
        <f aca="false">IF(OR(AR106="",AS106=""),"",IF($F106="Maior Melhor",IF(AS106&gt;=AR106,"Sim","Não"),IF(AS106&lt;=AR106,"Sim","Não")))</f>
        <v>Sim</v>
      </c>
      <c r="AV106" s="7" t="n">
        <v>0.85</v>
      </c>
      <c r="AW106" s="7" t="n">
        <v>0.33</v>
      </c>
      <c r="AX106" s="4" t="n">
        <f aca="false">IF(OR(AV106="",AW106=""),"",IFERROR(IF($K106="%",AW106-AV106,AW106/AV106-1),""))</f>
        <v>-0.611764705882353</v>
      </c>
      <c r="AY106" s="5" t="str">
        <f aca="false">IF(OR(AV106="",AW106=""),"",IF($F106="Maior Melhor",IF(AW106&gt;=AV106,"Sim","Não"),IF(AW106&lt;=AV106,"Sim","Não")))</f>
        <v>Não</v>
      </c>
      <c r="AZ106" s="7" t="n">
        <v>0.85</v>
      </c>
      <c r="BA106" s="7" t="n">
        <v>0.89</v>
      </c>
      <c r="BB106" s="4" t="n">
        <f aca="false">IF(OR(AZ106="",BA106=""),"",IFERROR(IF($K106="%",BA106-AZ106,BA106/AZ106-1),""))</f>
        <v>0.0470588235294118</v>
      </c>
      <c r="BC106" s="5" t="str">
        <f aca="false">IF(OR(AZ106="",BA106=""),"",IF($F106="Maior Melhor",IF(BA106&gt;=AZ106,"Sim","Não"),IF(BA106&lt;=AZ106,"Sim","Não")))</f>
        <v>Sim</v>
      </c>
      <c r="BD106" s="7" t="n">
        <v>0.85</v>
      </c>
      <c r="BE106" s="7" t="n">
        <v>1</v>
      </c>
      <c r="BF106" s="4" t="n">
        <f aca="false">IF(OR(BD106="",BE106=""),"",IFERROR(IF($K106="%",BE106-BD106,BE106/BD106-1),""))</f>
        <v>0.176470588235294</v>
      </c>
      <c r="BG106" s="5" t="str">
        <f aca="false">IF(OR(BD106="",BE106=""),"",IF($F106="Maior Melhor",IF(BE106&gt;=BD106,"Sim","Não"),IF(BE106&lt;=BD106,"Sim","Não")))</f>
        <v>Sim</v>
      </c>
      <c r="BH106" s="7" t="n">
        <v>0.85</v>
      </c>
      <c r="BI106" s="7" t="n">
        <v>0.87</v>
      </c>
      <c r="BJ106" s="4" t="n">
        <f aca="false">IF(OR(BH106="",BI106=""),"",IFERROR(IF($K106="%",BI106-BH106,BI106/BH106-1),""))</f>
        <v>0.0235294117647058</v>
      </c>
      <c r="BK106" s="5" t="str">
        <f aca="false">IF(OR(BH106="",BI106=""),"",IF($F106="Maior Melhor",IF(BI106&gt;=BH106,"Sim","Não"),IF(BI106&lt;=BH106,"Sim","Não")))</f>
        <v>Sim</v>
      </c>
      <c r="BL106" s="8"/>
      <c r="BM106" s="8"/>
      <c r="BN106" s="4" t="str">
        <f aca="false">IF(OR(BL106="",BM106=""),"",IFERROR(IF($K106="%",BM106-BL106,BM106/BL106-1),""))</f>
        <v/>
      </c>
      <c r="BO106" s="5" t="str">
        <f aca="false">IF(OR(BL106="",BM106=""),"",IF($F106="Maior Melhor",IF(BM106&gt;=BL106,"Sim","Não"),IF(BM106&lt;=BL106,"Sim","Não")))</f>
        <v/>
      </c>
      <c r="BP106" s="8"/>
      <c r="BQ106" s="8"/>
      <c r="BR106" s="4" t="str">
        <f aca="false">IF(OR(BP106="",BQ106=""),"",IFERROR(IF($K106="%",BQ106-BP106,BQ106/BP106-1),""))</f>
        <v/>
      </c>
      <c r="BS106" s="5" t="str">
        <f aca="false">IF(OR(BP106="",BQ106=""),"",IF($F106="Maior Melhor",IF(BQ106&gt;=BP106,"Sim","Não"),IF(BQ106&lt;=BP106,"Sim","Não")))</f>
        <v/>
      </c>
      <c r="BT106" s="8"/>
      <c r="BU106" s="8"/>
      <c r="BV106" s="4" t="str">
        <f aca="false">IF(OR(BT106="",BU106=""),"",IFERROR(IF($K106="%",BU106-BT106,BU106/BT106-1),""))</f>
        <v/>
      </c>
      <c r="BW106" s="5" t="str">
        <f aca="false">IF(OR(BT106="",BU106=""),"",IF($F106="Maior Melhor",IF(BU106&gt;=BT106,"Sim","Não"),IF(BU106&lt;=BT106,"Sim","Não")))</f>
        <v/>
      </c>
      <c r="BX106" s="8"/>
      <c r="BY106" s="8"/>
      <c r="BZ106" s="4" t="str">
        <f aca="false">IF(OR(BX106="",BY106=""),"",IFERROR(IF($K106="%",BY106-BX106,BY106/BX106-1),""))</f>
        <v/>
      </c>
      <c r="CA106" s="5" t="str">
        <f aca="false">IF(OR(BX106="",BY106=""),"",IF($F106="Maior Melhor",IF(BY106&gt;=BX106,"Sim","Não"),IF(BY106&lt;=BX106,"Sim","Não")))</f>
        <v/>
      </c>
      <c r="CB106" s="8"/>
      <c r="CC106" s="8"/>
      <c r="CD106" s="4" t="str">
        <f aca="false">IF(OR(CB106="",CC106=""),"",IFERROR(IF($K106="%",CC106-CB106,CC106/CB106-1),""))</f>
        <v/>
      </c>
      <c r="CE106" s="5" t="str">
        <f aca="false">IF(OR(CB106="",CC106=""),"",IF($F106="Maior Melhor",IF(CC106&gt;=CB106,"Sim","Não"),IF(CC106&lt;=CB106,"Sim","Não")))</f>
        <v/>
      </c>
      <c r="CF106" s="8"/>
      <c r="CG106" s="8"/>
      <c r="CH106" s="4" t="str">
        <f aca="false">IF(OR(CF106="",CG106=""),"",IFERROR(IF($K106="%",CG106-CF106,CG106/CF106-1),""))</f>
        <v/>
      </c>
      <c r="CI106" s="5" t="str">
        <f aca="false">IF(OR(CF106="",CG106=""),"",IF($F106="Maior Melhor",IF(CG106&gt;=CF106,"Sim","Não"),IF(CG106&lt;=CF106,"Sim","Não")))</f>
        <v/>
      </c>
      <c r="CJ106" s="8"/>
      <c r="CK106" s="8"/>
      <c r="CL106" s="4" t="str">
        <f aca="false">IF(OR(CJ106="",CK106=""),"",IFERROR(IF($K106="%",CK106-CJ106,CK106/CJ106-1),""))</f>
        <v/>
      </c>
      <c r="CM106" s="5" t="str">
        <f aca="false">IF(OR(CJ106="",CK106=""),"",IF($F106="Maior Melhor",IF(CK106&gt;=CJ106,"Sim","Não"),IF(CK106&lt;=CJ106,"Sim","Não")))</f>
        <v/>
      </c>
      <c r="CN106" s="8"/>
      <c r="CO106" s="8"/>
      <c r="CP106" s="4" t="str">
        <f aca="false">IF(OR(CN106="",CO106=""),"",IFERROR(IF($K106="%",CO106-CN106,CO106/CN106-1),""))</f>
        <v/>
      </c>
      <c r="CQ106" s="5" t="str">
        <f aca="false">IF(OR(CN106="",CO106=""),"",IF($F106="Maior Melhor",IF(CO106&gt;=CN106,"Sim","Não"),IF(CO106&lt;=CN106,"Sim","Não")))</f>
        <v/>
      </c>
      <c r="CR106" s="2" t="s">
        <v>105</v>
      </c>
    </row>
    <row r="107" customFormat="false" ht="15" hidden="false" customHeight="false" outlineLevel="0" collapsed="false">
      <c r="A107" s="2" t="s">
        <v>144</v>
      </c>
      <c r="B107" s="2" t="s">
        <v>106</v>
      </c>
      <c r="C107" s="2" t="s">
        <v>128</v>
      </c>
      <c r="D107" s="2" t="s">
        <v>155</v>
      </c>
      <c r="E107" s="2" t="str">
        <f aca="false">C107&amp;D107</f>
        <v>UTD SANTA MARIA DA VITORIAComportamento seguro</v>
      </c>
      <c r="F107" s="2" t="s">
        <v>100</v>
      </c>
      <c r="G107" s="2" t="s">
        <v>156</v>
      </c>
      <c r="H107" s="2" t="s">
        <v>102</v>
      </c>
      <c r="I107" s="2" t="s">
        <v>103</v>
      </c>
      <c r="J107" s="2" t="n">
        <v>3</v>
      </c>
      <c r="K107" s="2" t="s">
        <v>147</v>
      </c>
      <c r="L107" s="7" t="n">
        <v>0.85</v>
      </c>
      <c r="M107" s="7" t="n">
        <v>1</v>
      </c>
      <c r="N107" s="4" t="n">
        <f aca="false">IF(OR(L107="",M107=""),"",IFERROR(IF($K107="%",M107-L107,M107/L107-1),""))</f>
        <v>0.176470588235294</v>
      </c>
      <c r="O107" s="5" t="str">
        <f aca="false">IF(OR(L107="",M107=""),"",IF($F107="Maior Melhor",IF(M107&gt;=L107,"Sim","Não"),IF(M107&lt;=L107,"Sim","Não")))</f>
        <v>Sim</v>
      </c>
      <c r="P107" s="7" t="n">
        <v>0.85</v>
      </c>
      <c r="Q107" s="7" t="n">
        <v>0.5</v>
      </c>
      <c r="R107" s="4" t="n">
        <f aca="false">IF(OR(P107="",Q107=""),"",IFERROR(IF($K107="%",Q107-P107,Q107/P107-1),""))</f>
        <v>-0.411764705882353</v>
      </c>
      <c r="S107" s="5" t="str">
        <f aca="false">IF(OR(P107="",Q107=""),"",IF($F107="Maior Melhor",IF(Q107&gt;=P107,"Sim","Não"),IF(Q107&lt;=P107,"Sim","Não")))</f>
        <v>Não</v>
      </c>
      <c r="T107" s="7" t="n">
        <v>0.85</v>
      </c>
      <c r="U107" s="7" t="n">
        <v>1</v>
      </c>
      <c r="V107" s="4" t="n">
        <f aca="false">IF(OR(T107="",U107=""),"",IFERROR(IF($K107="%",U107-T107,U107/T107-1),""))</f>
        <v>0.176470588235294</v>
      </c>
      <c r="W107" s="5" t="str">
        <f aca="false">IF(OR(T107="",U107=""),"",IF($F107="Maior Melhor",IF(U107&gt;=T107,"Sim","Não"),IF(U107&lt;=T107,"Sim","Não")))</f>
        <v>Sim</v>
      </c>
      <c r="X107" s="7" t="n">
        <v>0.85</v>
      </c>
      <c r="Y107" s="7" t="n">
        <v>0.5</v>
      </c>
      <c r="Z107" s="4" t="n">
        <f aca="false">IF(OR(X107="",Y107=""),"",IFERROR(IF($K107="%",Y107-X107,Y107/X107-1),""))</f>
        <v>-0.411764705882353</v>
      </c>
      <c r="AA107" s="5" t="str">
        <f aca="false">IF(OR(X107="",Y107=""),"",IF($F107="Maior Melhor",IF(Y107&gt;=X107,"Sim","Não"),IF(Y107&lt;=X107,"Sim","Não")))</f>
        <v>Não</v>
      </c>
      <c r="AB107" s="7" t="n">
        <v>0.85</v>
      </c>
      <c r="AC107" s="7" t="n">
        <v>0.75</v>
      </c>
      <c r="AD107" s="4" t="n">
        <f aca="false">IF(OR(AB107="",AC107=""),"",IFERROR(IF($K107="%",AC107-AB107,AC107/AB107-1),""))</f>
        <v>-0.117647058823529</v>
      </c>
      <c r="AE107" s="5" t="str">
        <f aca="false">IF(OR(AB107="",AC107=""),"",IF($F107="Maior Melhor",IF(AC107&gt;=AB107,"Sim","Não"),IF(AC107&lt;=AB107,"Sim","Não")))</f>
        <v>Não</v>
      </c>
      <c r="AF107" s="7" t="n">
        <v>0.85</v>
      </c>
      <c r="AG107" s="7" t="n">
        <v>1</v>
      </c>
      <c r="AH107" s="4" t="n">
        <f aca="false">IF(OR(AF107="",AG107=""),"",IFERROR(IF($K107="%",AG107-AF107,AG107/AF107-1),""))</f>
        <v>0.176470588235294</v>
      </c>
      <c r="AI107" s="5" t="str">
        <f aca="false">IF(OR(AF107="",AG107=""),"",IF($F107="Maior Melhor",IF(AG107&gt;=AF107,"Sim","Não"),IF(AG107&lt;=AF107,"Sim","Não")))</f>
        <v>Sim</v>
      </c>
      <c r="AJ107" s="7" t="n">
        <v>0.85</v>
      </c>
      <c r="AK107" s="7" t="n">
        <v>0.8</v>
      </c>
      <c r="AL107" s="4" t="n">
        <f aca="false">IF(OR(AJ107="",AK107=""),"",IFERROR(IF($K107="%",AK107-AJ107,AK107/AJ107-1),""))</f>
        <v>-0.0588235294117646</v>
      </c>
      <c r="AM107" s="5" t="str">
        <f aca="false">IF(OR(AJ107="",AK107=""),"",IF($F107="Maior Melhor",IF(AK107&gt;=AJ107,"Sim","Não"),IF(AK107&lt;=AJ107,"Sim","Não")))</f>
        <v>Não</v>
      </c>
      <c r="AN107" s="7" t="n">
        <v>0.85</v>
      </c>
      <c r="AO107" s="7" t="n">
        <v>1</v>
      </c>
      <c r="AP107" s="4" t="n">
        <f aca="false">IF(OR(AN107="",AO107=""),"",IFERROR(IF($K107="%",AO107-AN107,AO107/AN107-1),""))</f>
        <v>0.176470588235294</v>
      </c>
      <c r="AQ107" s="5" t="str">
        <f aca="false">IF(OR(AN107="",AO107=""),"",IF($F107="Maior Melhor",IF(AO107&gt;=AN107,"Sim","Não"),IF(AO107&lt;=AN107,"Sim","Não")))</f>
        <v>Sim</v>
      </c>
      <c r="AR107" s="7" t="n">
        <v>0.85</v>
      </c>
      <c r="AS107" s="7" t="n">
        <v>0.83</v>
      </c>
      <c r="AT107" s="4" t="n">
        <f aca="false">IF(OR(AR107="",AS107=""),"",IFERROR(IF($K107="%",AS107-AR107,AS107/AR107-1),""))</f>
        <v>-0.0235294117647059</v>
      </c>
      <c r="AU107" s="5" t="str">
        <f aca="false">IF(OR(AR107="",AS107=""),"",IF($F107="Maior Melhor",IF(AS107&gt;=AR107,"Sim","Não"),IF(AS107&lt;=AR107,"Sim","Não")))</f>
        <v>Não</v>
      </c>
      <c r="AV107" s="7" t="n">
        <v>0.85</v>
      </c>
      <c r="AW107" s="7" t="n">
        <v>1</v>
      </c>
      <c r="AX107" s="4" t="n">
        <f aca="false">IF(OR(AV107="",AW107=""),"",IFERROR(IF($K107="%",AW107-AV107,AW107/AV107-1),""))</f>
        <v>0.176470588235294</v>
      </c>
      <c r="AY107" s="5" t="str">
        <f aca="false">IF(OR(AV107="",AW107=""),"",IF($F107="Maior Melhor",IF(AW107&gt;=AV107,"Sim","Não"),IF(AW107&lt;=AV107,"Sim","Não")))</f>
        <v>Sim</v>
      </c>
      <c r="AZ107" s="7" t="n">
        <v>0.85</v>
      </c>
      <c r="BA107" s="7" t="n">
        <v>0.85</v>
      </c>
      <c r="BB107" s="4" t="n">
        <f aca="false">IF(OR(AZ107="",BA107=""),"",IFERROR(IF($K107="%",BA107-AZ107,BA107/AZ107-1),""))</f>
        <v>0</v>
      </c>
      <c r="BC107" s="5" t="str">
        <f aca="false">IF(OR(AZ107="",BA107=""),"",IF($F107="Maior Melhor",IF(BA107&gt;=AZ107,"Sim","Não"),IF(BA107&lt;=AZ107,"Sim","Não")))</f>
        <v>Sim</v>
      </c>
      <c r="BD107" s="7" t="n">
        <v>0.85</v>
      </c>
      <c r="BE107" s="7" t="n">
        <v>0.5</v>
      </c>
      <c r="BF107" s="4" t="n">
        <f aca="false">IF(OR(BD107="",BE107=""),"",IFERROR(IF($K107="%",BE107-BD107,BE107/BD107-1),""))</f>
        <v>-0.411764705882353</v>
      </c>
      <c r="BG107" s="5" t="str">
        <f aca="false">IF(OR(BD107="",BE107=""),"",IF($F107="Maior Melhor",IF(BE107&gt;=BD107,"Sim","Não"),IF(BE107&lt;=BD107,"Sim","Não")))</f>
        <v>Não</v>
      </c>
      <c r="BH107" s="7" t="n">
        <v>0.85</v>
      </c>
      <c r="BI107" s="7" t="n">
        <v>0.81</v>
      </c>
      <c r="BJ107" s="4" t="n">
        <f aca="false">IF(OR(BH107="",BI107=""),"",IFERROR(IF($K107="%",BI107-BH107,BI107/BH107-1),""))</f>
        <v>-0.0470588235294117</v>
      </c>
      <c r="BK107" s="5" t="str">
        <f aca="false">IF(OR(BH107="",BI107=""),"",IF($F107="Maior Melhor",IF(BI107&gt;=BH107,"Sim","Não"),IF(BI107&lt;=BH107,"Sim","Não")))</f>
        <v>Não</v>
      </c>
      <c r="BL107" s="8"/>
      <c r="BM107" s="8"/>
      <c r="BN107" s="4" t="str">
        <f aca="false">IF(OR(BL107="",BM107=""),"",IFERROR(IF($K107="%",BM107-BL107,BM107/BL107-1),""))</f>
        <v/>
      </c>
      <c r="BO107" s="5" t="str">
        <f aca="false">IF(OR(BL107="",BM107=""),"",IF($F107="Maior Melhor",IF(BM107&gt;=BL107,"Sim","Não"),IF(BM107&lt;=BL107,"Sim","Não")))</f>
        <v/>
      </c>
      <c r="BP107" s="8"/>
      <c r="BQ107" s="8"/>
      <c r="BR107" s="4" t="str">
        <f aca="false">IF(OR(BP107="",BQ107=""),"",IFERROR(IF($K107="%",BQ107-BP107,BQ107/BP107-1),""))</f>
        <v/>
      </c>
      <c r="BS107" s="5" t="str">
        <f aca="false">IF(OR(BP107="",BQ107=""),"",IF($F107="Maior Melhor",IF(BQ107&gt;=BP107,"Sim","Não"),IF(BQ107&lt;=BP107,"Sim","Não")))</f>
        <v/>
      </c>
      <c r="BT107" s="8"/>
      <c r="BU107" s="8"/>
      <c r="BV107" s="4" t="str">
        <f aca="false">IF(OR(BT107="",BU107=""),"",IFERROR(IF($K107="%",BU107-BT107,BU107/BT107-1),""))</f>
        <v/>
      </c>
      <c r="BW107" s="5" t="str">
        <f aca="false">IF(OR(BT107="",BU107=""),"",IF($F107="Maior Melhor",IF(BU107&gt;=BT107,"Sim","Não"),IF(BU107&lt;=BT107,"Sim","Não")))</f>
        <v/>
      </c>
      <c r="BX107" s="8"/>
      <c r="BY107" s="8"/>
      <c r="BZ107" s="4" t="str">
        <f aca="false">IF(OR(BX107="",BY107=""),"",IFERROR(IF($K107="%",BY107-BX107,BY107/BX107-1),""))</f>
        <v/>
      </c>
      <c r="CA107" s="5" t="str">
        <f aca="false">IF(OR(BX107="",BY107=""),"",IF($F107="Maior Melhor",IF(BY107&gt;=BX107,"Sim","Não"),IF(BY107&lt;=BX107,"Sim","Não")))</f>
        <v/>
      </c>
      <c r="CB107" s="8"/>
      <c r="CC107" s="8"/>
      <c r="CD107" s="4" t="str">
        <f aca="false">IF(OR(CB107="",CC107=""),"",IFERROR(IF($K107="%",CC107-CB107,CC107/CB107-1),""))</f>
        <v/>
      </c>
      <c r="CE107" s="5" t="str">
        <f aca="false">IF(OR(CB107="",CC107=""),"",IF($F107="Maior Melhor",IF(CC107&gt;=CB107,"Sim","Não"),IF(CC107&lt;=CB107,"Sim","Não")))</f>
        <v/>
      </c>
      <c r="CF107" s="8"/>
      <c r="CG107" s="8"/>
      <c r="CH107" s="4" t="str">
        <f aca="false">IF(OR(CF107="",CG107=""),"",IFERROR(IF($K107="%",CG107-CF107,CG107/CF107-1),""))</f>
        <v/>
      </c>
      <c r="CI107" s="5" t="str">
        <f aca="false">IF(OR(CF107="",CG107=""),"",IF($F107="Maior Melhor",IF(CG107&gt;=CF107,"Sim","Não"),IF(CG107&lt;=CF107,"Sim","Não")))</f>
        <v/>
      </c>
      <c r="CJ107" s="8"/>
      <c r="CK107" s="8"/>
      <c r="CL107" s="4" t="str">
        <f aca="false">IF(OR(CJ107="",CK107=""),"",IFERROR(IF($K107="%",CK107-CJ107,CK107/CJ107-1),""))</f>
        <v/>
      </c>
      <c r="CM107" s="5" t="str">
        <f aca="false">IF(OR(CJ107="",CK107=""),"",IF($F107="Maior Melhor",IF(CK107&gt;=CJ107,"Sim","Não"),IF(CK107&lt;=CJ107,"Sim","Não")))</f>
        <v/>
      </c>
      <c r="CN107" s="8"/>
      <c r="CO107" s="8"/>
      <c r="CP107" s="4" t="str">
        <f aca="false">IF(OR(CN107="",CO107=""),"",IFERROR(IF($K107="%",CO107-CN107,CO107/CN107-1),""))</f>
        <v/>
      </c>
      <c r="CQ107" s="5" t="str">
        <f aca="false">IF(OR(CN107="",CO107=""),"",IF($F107="Maior Melhor",IF(CO107&gt;=CN107,"Sim","Não"),IF(CO107&lt;=CN107,"Sim","Não")))</f>
        <v/>
      </c>
      <c r="CR107" s="2" t="s">
        <v>160</v>
      </c>
    </row>
    <row r="108" customFormat="false" ht="15" hidden="false" customHeight="false" outlineLevel="0" collapsed="false">
      <c r="A108" s="2" t="s">
        <v>144</v>
      </c>
      <c r="B108" s="2" t="s">
        <v>97</v>
      </c>
      <c r="C108" s="2" t="s">
        <v>130</v>
      </c>
      <c r="D108" s="2" t="s">
        <v>155</v>
      </c>
      <c r="E108" s="2" t="str">
        <f aca="false">C108&amp;D108</f>
        <v>UTD SEABRAComportamento seguro</v>
      </c>
      <c r="F108" s="2" t="s">
        <v>100</v>
      </c>
      <c r="G108" s="2" t="s">
        <v>156</v>
      </c>
      <c r="H108" s="2" t="s">
        <v>102</v>
      </c>
      <c r="I108" s="2" t="s">
        <v>103</v>
      </c>
      <c r="J108" s="2" t="n">
        <v>3</v>
      </c>
      <c r="K108" s="2" t="s">
        <v>147</v>
      </c>
      <c r="L108" s="7" t="n">
        <v>0.85</v>
      </c>
      <c r="M108" s="7" t="n">
        <v>1</v>
      </c>
      <c r="N108" s="4" t="n">
        <f aca="false">IF(OR(L108="",M108=""),"",IFERROR(IF($K108="%",M108-L108,M108/L108-1),""))</f>
        <v>0.176470588235294</v>
      </c>
      <c r="O108" s="5" t="str">
        <f aca="false">IF(OR(L108="",M108=""),"",IF($F108="Maior Melhor",IF(M108&gt;=L108,"Sim","Não"),IF(M108&lt;=L108,"Sim","Não")))</f>
        <v>Sim</v>
      </c>
      <c r="P108" s="7" t="n">
        <v>0.85</v>
      </c>
      <c r="Q108" s="7" t="n">
        <v>0.72</v>
      </c>
      <c r="R108" s="4" t="n">
        <f aca="false">IF(OR(P108="",Q108=""),"",IFERROR(IF($K108="%",Q108-P108,Q108/P108-1),""))</f>
        <v>-0.152941176470588</v>
      </c>
      <c r="S108" s="5" t="str">
        <f aca="false">IF(OR(P108="",Q108=""),"",IF($F108="Maior Melhor",IF(Q108&gt;=P108,"Sim","Não"),IF(Q108&lt;=P108,"Sim","Não")))</f>
        <v>Não</v>
      </c>
      <c r="T108" s="7" t="n">
        <v>0.85</v>
      </c>
      <c r="U108" s="7" t="n">
        <v>0.96</v>
      </c>
      <c r="V108" s="4" t="n">
        <f aca="false">IF(OR(T108="",U108=""),"",IFERROR(IF($K108="%",U108-T108,U108/T108-1),""))</f>
        <v>0.129411764705882</v>
      </c>
      <c r="W108" s="5" t="str">
        <f aca="false">IF(OR(T108="",U108=""),"",IF($F108="Maior Melhor",IF(U108&gt;=T108,"Sim","Não"),IF(U108&lt;=T108,"Sim","Não")))</f>
        <v>Sim</v>
      </c>
      <c r="X108" s="7" t="n">
        <v>0.85</v>
      </c>
      <c r="Y108" s="7" t="n">
        <v>0.74</v>
      </c>
      <c r="Z108" s="4" t="n">
        <f aca="false">IF(OR(X108="",Y108=""),"",IFERROR(IF($K108="%",Y108-X108,Y108/X108-1),""))</f>
        <v>-0.129411764705882</v>
      </c>
      <c r="AA108" s="5" t="str">
        <f aca="false">IF(OR(X108="",Y108=""),"",IF($F108="Maior Melhor",IF(Y108&gt;=X108,"Sim","Não"),IF(Y108&lt;=X108,"Sim","Não")))</f>
        <v>Não</v>
      </c>
      <c r="AB108" s="7" t="n">
        <v>0.85</v>
      </c>
      <c r="AC108" s="7" t="n">
        <v>0.86</v>
      </c>
      <c r="AD108" s="4" t="n">
        <f aca="false">IF(OR(AB108="",AC108=""),"",IFERROR(IF($K108="%",AC108-AB108,AC108/AB108-1),""))</f>
        <v>0.0117647058823529</v>
      </c>
      <c r="AE108" s="5" t="str">
        <f aca="false">IF(OR(AB108="",AC108=""),"",IF($F108="Maior Melhor",IF(AC108&gt;=AB108,"Sim","Não"),IF(AC108&lt;=AB108,"Sim","Não")))</f>
        <v>Sim</v>
      </c>
      <c r="AF108" s="7" t="n">
        <v>0.85</v>
      </c>
      <c r="AG108" s="7" t="n">
        <v>0.72</v>
      </c>
      <c r="AH108" s="4" t="n">
        <f aca="false">IF(OR(AF108="",AG108=""),"",IFERROR(IF($K108="%",AG108-AF108,AG108/AF108-1),""))</f>
        <v>-0.152941176470588</v>
      </c>
      <c r="AI108" s="5" t="str">
        <f aca="false">IF(OR(AF108="",AG108=""),"",IF($F108="Maior Melhor",IF(AG108&gt;=AF108,"Sim","Não"),IF(AG108&lt;=AF108,"Sim","Não")))</f>
        <v>Não</v>
      </c>
      <c r="AJ108" s="7" t="n">
        <v>0.85</v>
      </c>
      <c r="AK108" s="7" t="n">
        <v>0.83</v>
      </c>
      <c r="AL108" s="4" t="n">
        <f aca="false">IF(OR(AJ108="",AK108=""),"",IFERROR(IF($K108="%",AK108-AJ108,AK108/AJ108-1),""))</f>
        <v>-0.0235294117647059</v>
      </c>
      <c r="AM108" s="5" t="str">
        <f aca="false">IF(OR(AJ108="",AK108=""),"",IF($F108="Maior Melhor",IF(AK108&gt;=AJ108,"Sim","Não"),IF(AK108&lt;=AJ108,"Sim","Não")))</f>
        <v>Não</v>
      </c>
      <c r="AN108" s="7" t="n">
        <v>0.85</v>
      </c>
      <c r="AO108" s="7" t="n">
        <v>1</v>
      </c>
      <c r="AP108" s="4" t="n">
        <f aca="false">IF(OR(AN108="",AO108=""),"",IFERROR(IF($K108="%",AO108-AN108,AO108/AN108-1),""))</f>
        <v>0.176470588235294</v>
      </c>
      <c r="AQ108" s="5" t="str">
        <f aca="false">IF(OR(AN108="",AO108=""),"",IF($F108="Maior Melhor",IF(AO108&gt;=AN108,"Sim","Não"),IF(AO108&lt;=AN108,"Sim","Não")))</f>
        <v>Sim</v>
      </c>
      <c r="AR108" s="7" t="n">
        <v>0.85</v>
      </c>
      <c r="AS108" s="7" t="n">
        <v>0.86</v>
      </c>
      <c r="AT108" s="4" t="n">
        <f aca="false">IF(OR(AR108="",AS108=""),"",IFERROR(IF($K108="%",AS108-AR108,AS108/AR108-1),""))</f>
        <v>0.0117647058823529</v>
      </c>
      <c r="AU108" s="5" t="str">
        <f aca="false">IF(OR(AR108="",AS108=""),"",IF($F108="Maior Melhor",IF(AS108&gt;=AR108,"Sim","Não"),IF(AS108&lt;=AR108,"Sim","Não")))</f>
        <v>Sim</v>
      </c>
      <c r="AV108" s="7" t="n">
        <v>0.85</v>
      </c>
      <c r="AW108" s="7" t="n">
        <v>1</v>
      </c>
      <c r="AX108" s="4" t="n">
        <f aca="false">IF(OR(AV108="",AW108=""),"",IFERROR(IF($K108="%",AW108-AV108,AW108/AV108-1),""))</f>
        <v>0.176470588235294</v>
      </c>
      <c r="AY108" s="5" t="str">
        <f aca="false">IF(OR(AV108="",AW108=""),"",IF($F108="Maior Melhor",IF(AW108&gt;=AV108,"Sim","Não"),IF(AW108&lt;=AV108,"Sim","Não")))</f>
        <v>Sim</v>
      </c>
      <c r="AZ108" s="7" t="n">
        <v>0.85</v>
      </c>
      <c r="BA108" s="7" t="n">
        <v>0.88</v>
      </c>
      <c r="BB108" s="4" t="n">
        <f aca="false">IF(OR(AZ108="",BA108=""),"",IFERROR(IF($K108="%",BA108-AZ108,BA108/AZ108-1),""))</f>
        <v>0.0352941176470589</v>
      </c>
      <c r="BC108" s="5" t="str">
        <f aca="false">IF(OR(AZ108="",BA108=""),"",IF($F108="Maior Melhor",IF(BA108&gt;=AZ108,"Sim","Não"),IF(BA108&lt;=AZ108,"Sim","Não")))</f>
        <v>Sim</v>
      </c>
      <c r="BD108" s="7" t="n">
        <v>0.85</v>
      </c>
      <c r="BE108" s="7" t="n">
        <v>0.99</v>
      </c>
      <c r="BF108" s="4" t="n">
        <f aca="false">IF(OR(BD108="",BE108=""),"",IFERROR(IF($K108="%",BE108-BD108,BE108/BD108-1),""))</f>
        <v>0.164705882352941</v>
      </c>
      <c r="BG108" s="5" t="str">
        <f aca="false">IF(OR(BD108="",BE108=""),"",IF($F108="Maior Melhor",IF(BE108&gt;=BD108,"Sim","Não"),IF(BE108&lt;=BD108,"Sim","Não")))</f>
        <v>Sim</v>
      </c>
      <c r="BH108" s="7" t="n">
        <v>0.85</v>
      </c>
      <c r="BI108" s="7" t="n">
        <v>0.87</v>
      </c>
      <c r="BJ108" s="4" t="n">
        <f aca="false">IF(OR(BH108="",BI108=""),"",IFERROR(IF($K108="%",BI108-BH108,BI108/BH108-1),""))</f>
        <v>0.0235294117647058</v>
      </c>
      <c r="BK108" s="5" t="str">
        <f aca="false">IF(OR(BH108="",BI108=""),"",IF($F108="Maior Melhor",IF(BI108&gt;=BH108,"Sim","Não"),IF(BI108&lt;=BH108,"Sim","Não")))</f>
        <v>Sim</v>
      </c>
      <c r="BL108" s="8"/>
      <c r="BM108" s="8"/>
      <c r="BN108" s="4" t="str">
        <f aca="false">IF(OR(BL108="",BM108=""),"",IFERROR(IF($K108="%",BM108-BL108,BM108/BL108-1),""))</f>
        <v/>
      </c>
      <c r="BO108" s="5" t="str">
        <f aca="false">IF(OR(BL108="",BM108=""),"",IF($F108="Maior Melhor",IF(BM108&gt;=BL108,"Sim","Não"),IF(BM108&lt;=BL108,"Sim","Não")))</f>
        <v/>
      </c>
      <c r="BP108" s="8"/>
      <c r="BQ108" s="8"/>
      <c r="BR108" s="4" t="str">
        <f aca="false">IF(OR(BP108="",BQ108=""),"",IFERROR(IF($K108="%",BQ108-BP108,BQ108/BP108-1),""))</f>
        <v/>
      </c>
      <c r="BS108" s="5" t="str">
        <f aca="false">IF(OR(BP108="",BQ108=""),"",IF($F108="Maior Melhor",IF(BQ108&gt;=BP108,"Sim","Não"),IF(BQ108&lt;=BP108,"Sim","Não")))</f>
        <v/>
      </c>
      <c r="BT108" s="8"/>
      <c r="BU108" s="8"/>
      <c r="BV108" s="4" t="str">
        <f aca="false">IF(OR(BT108="",BU108=""),"",IFERROR(IF($K108="%",BU108-BT108,BU108/BT108-1),""))</f>
        <v/>
      </c>
      <c r="BW108" s="5" t="str">
        <f aca="false">IF(OR(BT108="",BU108=""),"",IF($F108="Maior Melhor",IF(BU108&gt;=BT108,"Sim","Não"),IF(BU108&lt;=BT108,"Sim","Não")))</f>
        <v/>
      </c>
      <c r="BX108" s="8"/>
      <c r="BY108" s="8"/>
      <c r="BZ108" s="4" t="str">
        <f aca="false">IF(OR(BX108="",BY108=""),"",IFERROR(IF($K108="%",BY108-BX108,BY108/BX108-1),""))</f>
        <v/>
      </c>
      <c r="CA108" s="5" t="str">
        <f aca="false">IF(OR(BX108="",BY108=""),"",IF($F108="Maior Melhor",IF(BY108&gt;=BX108,"Sim","Não"),IF(BY108&lt;=BX108,"Sim","Não")))</f>
        <v/>
      </c>
      <c r="CB108" s="8"/>
      <c r="CC108" s="8"/>
      <c r="CD108" s="4" t="str">
        <f aca="false">IF(OR(CB108="",CC108=""),"",IFERROR(IF($K108="%",CC108-CB108,CC108/CB108-1),""))</f>
        <v/>
      </c>
      <c r="CE108" s="5" t="str">
        <f aca="false">IF(OR(CB108="",CC108=""),"",IF($F108="Maior Melhor",IF(CC108&gt;=CB108,"Sim","Não"),IF(CC108&lt;=CB108,"Sim","Não")))</f>
        <v/>
      </c>
      <c r="CF108" s="8"/>
      <c r="CG108" s="8"/>
      <c r="CH108" s="4" t="str">
        <f aca="false">IF(OR(CF108="",CG108=""),"",IFERROR(IF($K108="%",CG108-CF108,CG108/CF108-1),""))</f>
        <v/>
      </c>
      <c r="CI108" s="5" t="str">
        <f aca="false">IF(OR(CF108="",CG108=""),"",IF($F108="Maior Melhor",IF(CG108&gt;=CF108,"Sim","Não"),IF(CG108&lt;=CF108,"Sim","Não")))</f>
        <v/>
      </c>
      <c r="CJ108" s="8"/>
      <c r="CK108" s="8"/>
      <c r="CL108" s="4" t="str">
        <f aca="false">IF(OR(CJ108="",CK108=""),"",IFERROR(IF($K108="%",CK108-CJ108,CK108/CJ108-1),""))</f>
        <v/>
      </c>
      <c r="CM108" s="5" t="str">
        <f aca="false">IF(OR(CJ108="",CK108=""),"",IF($F108="Maior Melhor",IF(CK108&gt;=CJ108,"Sim","Não"),IF(CK108&lt;=CJ108,"Sim","Não")))</f>
        <v/>
      </c>
      <c r="CN108" s="8"/>
      <c r="CO108" s="8"/>
      <c r="CP108" s="4" t="str">
        <f aca="false">IF(OR(CN108="",CO108=""),"",IFERROR(IF($K108="%",CO108-CN108,CO108/CN108-1),""))</f>
        <v/>
      </c>
      <c r="CQ108" s="5" t="str">
        <f aca="false">IF(OR(CN108="",CO108=""),"",IF($F108="Maior Melhor",IF(CO108&gt;=CN108,"Sim","Não"),IF(CO108&lt;=CN108,"Sim","Não")))</f>
        <v/>
      </c>
      <c r="CR108" s="2" t="s">
        <v>105</v>
      </c>
    </row>
    <row r="109" customFormat="false" ht="15" hidden="false" customHeight="false" outlineLevel="0" collapsed="false">
      <c r="A109" s="2" t="s">
        <v>144</v>
      </c>
      <c r="B109" s="2" t="s">
        <v>108</v>
      </c>
      <c r="C109" s="2" t="s">
        <v>131</v>
      </c>
      <c r="D109" s="2" t="s">
        <v>155</v>
      </c>
      <c r="E109" s="2" t="str">
        <f aca="false">C109&amp;D109</f>
        <v>UTD VITORIA DA CONQUISTAComportamento seguro</v>
      </c>
      <c r="F109" s="2" t="s">
        <v>100</v>
      </c>
      <c r="G109" s="2" t="s">
        <v>156</v>
      </c>
      <c r="H109" s="2" t="s">
        <v>102</v>
      </c>
      <c r="I109" s="2" t="s">
        <v>103</v>
      </c>
      <c r="J109" s="2" t="n">
        <v>3</v>
      </c>
      <c r="K109" s="2" t="s">
        <v>147</v>
      </c>
      <c r="L109" s="7" t="n">
        <v>0.85</v>
      </c>
      <c r="M109" s="7" t="n">
        <v>0.78</v>
      </c>
      <c r="N109" s="4" t="n">
        <f aca="false">IF(OR(L109="",M109=""),"",IFERROR(IF($K109="%",M109-L109,M109/L109-1),""))</f>
        <v>-0.0823529411764705</v>
      </c>
      <c r="O109" s="5" t="str">
        <f aca="false">IF(OR(L109="",M109=""),"",IF($F109="Maior Melhor",IF(M109&gt;=L109,"Sim","Não"),IF(M109&lt;=L109,"Sim","Não")))</f>
        <v>Não</v>
      </c>
      <c r="P109" s="7" t="n">
        <v>0.85</v>
      </c>
      <c r="Q109" s="7" t="n">
        <v>0.53</v>
      </c>
      <c r="R109" s="4" t="n">
        <f aca="false">IF(OR(P109="",Q109=""),"",IFERROR(IF($K109="%",Q109-P109,Q109/P109-1),""))</f>
        <v>-0.376470588235294</v>
      </c>
      <c r="S109" s="5" t="str">
        <f aca="false">IF(OR(P109="",Q109=""),"",IF($F109="Maior Melhor",IF(Q109&gt;=P109,"Sim","Não"),IF(Q109&lt;=P109,"Sim","Não")))</f>
        <v>Não</v>
      </c>
      <c r="T109" s="7" t="n">
        <v>0.85</v>
      </c>
      <c r="U109" s="7" t="n">
        <v>0.65</v>
      </c>
      <c r="V109" s="4" t="n">
        <f aca="false">IF(OR(T109="",U109=""),"",IFERROR(IF($K109="%",U109-T109,U109/T109-1),""))</f>
        <v>-0.235294117647059</v>
      </c>
      <c r="W109" s="5" t="str">
        <f aca="false">IF(OR(T109="",U109=""),"",IF($F109="Maior Melhor",IF(U109&gt;=T109,"Sim","Não"),IF(U109&lt;=T109,"Sim","Não")))</f>
        <v>Não</v>
      </c>
      <c r="X109" s="7" t="n">
        <v>0.85</v>
      </c>
      <c r="Y109" s="7" t="n">
        <v>0.45</v>
      </c>
      <c r="Z109" s="4" t="n">
        <f aca="false">IF(OR(X109="",Y109=""),"",IFERROR(IF($K109="%",Y109-X109,Y109/X109-1),""))</f>
        <v>-0.470588235294118</v>
      </c>
      <c r="AA109" s="5" t="str">
        <f aca="false">IF(OR(X109="",Y109=""),"",IF($F109="Maior Melhor",IF(Y109&gt;=X109,"Sim","Não"),IF(Y109&lt;=X109,"Sim","Não")))</f>
        <v>Não</v>
      </c>
      <c r="AB109" s="7" t="n">
        <v>0.85</v>
      </c>
      <c r="AC109" s="7" t="n">
        <v>0.6</v>
      </c>
      <c r="AD109" s="4" t="n">
        <f aca="false">IF(OR(AB109="",AC109=""),"",IFERROR(IF($K109="%",AC109-AB109,AC109/AB109-1),""))</f>
        <v>-0.294117647058824</v>
      </c>
      <c r="AE109" s="5" t="str">
        <f aca="false">IF(OR(AB109="",AC109=""),"",IF($F109="Maior Melhor",IF(AC109&gt;=AB109,"Sim","Não"),IF(AC109&lt;=AB109,"Sim","Não")))</f>
        <v>Não</v>
      </c>
      <c r="AF109" s="7" t="n">
        <v>0.85</v>
      </c>
      <c r="AG109" s="7" t="n">
        <v>0.71</v>
      </c>
      <c r="AH109" s="4" t="n">
        <f aca="false">IF(OR(AF109="",AG109=""),"",IFERROR(IF($K109="%",AG109-AF109,AG109/AF109-1),""))</f>
        <v>-0.164705882352941</v>
      </c>
      <c r="AI109" s="5" t="str">
        <f aca="false">IF(OR(AF109="",AG109=""),"",IF($F109="Maior Melhor",IF(AG109&gt;=AF109,"Sim","Não"),IF(AG109&lt;=AF109,"Sim","Não")))</f>
        <v>Não</v>
      </c>
      <c r="AJ109" s="7" t="n">
        <v>0.85</v>
      </c>
      <c r="AK109" s="7" t="n">
        <v>0.62</v>
      </c>
      <c r="AL109" s="4" t="n">
        <f aca="false">IF(OR(AJ109="",AK109=""),"",IFERROR(IF($K109="%",AK109-AJ109,AK109/AJ109-1),""))</f>
        <v>-0.270588235294118</v>
      </c>
      <c r="AM109" s="5" t="str">
        <f aca="false">IF(OR(AJ109="",AK109=""),"",IF($F109="Maior Melhor",IF(AK109&gt;=AJ109,"Sim","Não"),IF(AK109&lt;=AJ109,"Sim","Não")))</f>
        <v>Não</v>
      </c>
      <c r="AN109" s="7" t="n">
        <v>0.85</v>
      </c>
      <c r="AO109" s="7" t="n">
        <v>0.89</v>
      </c>
      <c r="AP109" s="4" t="n">
        <f aca="false">IF(OR(AN109="",AO109=""),"",IFERROR(IF($K109="%",AO109-AN109,AO109/AN109-1),""))</f>
        <v>0.0470588235294118</v>
      </c>
      <c r="AQ109" s="5" t="str">
        <f aca="false">IF(OR(AN109="",AO109=""),"",IF($F109="Maior Melhor",IF(AO109&gt;=AN109,"Sim","Não"),IF(AO109&lt;=AN109,"Sim","Não")))</f>
        <v>Sim</v>
      </c>
      <c r="AR109" s="7" t="n">
        <v>0.85</v>
      </c>
      <c r="AS109" s="7" t="n">
        <v>0.67</v>
      </c>
      <c r="AT109" s="4" t="n">
        <f aca="false">IF(OR(AR109="",AS109=""),"",IFERROR(IF($K109="%",AS109-AR109,AS109/AR109-1),""))</f>
        <v>-0.211764705882353</v>
      </c>
      <c r="AU109" s="5" t="str">
        <f aca="false">IF(OR(AR109="",AS109=""),"",IF($F109="Maior Melhor",IF(AS109&gt;=AR109,"Sim","Não"),IF(AS109&lt;=AR109,"Sim","Não")))</f>
        <v>Não</v>
      </c>
      <c r="AV109" s="7" t="n">
        <v>0.85</v>
      </c>
      <c r="AW109" s="7" t="n">
        <v>0.62</v>
      </c>
      <c r="AX109" s="4" t="n">
        <f aca="false">IF(OR(AV109="",AW109=""),"",IFERROR(IF($K109="%",AW109-AV109,AW109/AV109-1),""))</f>
        <v>-0.270588235294118</v>
      </c>
      <c r="AY109" s="5" t="str">
        <f aca="false">IF(OR(AV109="",AW109=""),"",IF($F109="Maior Melhor",IF(AW109&gt;=AV109,"Sim","Não"),IF(AW109&lt;=AV109,"Sim","Não")))</f>
        <v>Não</v>
      </c>
      <c r="AZ109" s="7" t="n">
        <v>0.85</v>
      </c>
      <c r="BA109" s="7" t="n">
        <v>0.69</v>
      </c>
      <c r="BB109" s="4" t="n">
        <f aca="false">IF(OR(AZ109="",BA109=""),"",IFERROR(IF($K109="%",BA109-AZ109,BA109/AZ109-1),""))</f>
        <v>-0.188235294117647</v>
      </c>
      <c r="BC109" s="5" t="str">
        <f aca="false">IF(OR(AZ109="",BA109=""),"",IF($F109="Maior Melhor",IF(BA109&gt;=AZ109,"Sim","Não"),IF(BA109&lt;=AZ109,"Sim","Não")))</f>
        <v>Não</v>
      </c>
      <c r="BD109" s="7" t="n">
        <v>0.85</v>
      </c>
      <c r="BE109" s="7" t="n">
        <v>0.8</v>
      </c>
      <c r="BF109" s="4" t="n">
        <f aca="false">IF(OR(BD109="",BE109=""),"",IFERROR(IF($K109="%",BE109-BD109,BE109/BD109-1),""))</f>
        <v>-0.0588235294117646</v>
      </c>
      <c r="BG109" s="5" t="str">
        <f aca="false">IF(OR(BD109="",BE109=""),"",IF($F109="Maior Melhor",IF(BE109&gt;=BD109,"Sim","Não"),IF(BE109&lt;=BD109,"Sim","Não")))</f>
        <v>Não</v>
      </c>
      <c r="BH109" s="7" t="n">
        <v>0.85</v>
      </c>
      <c r="BI109" s="7" t="n">
        <v>0.68</v>
      </c>
      <c r="BJ109" s="4" t="n">
        <f aca="false">IF(OR(BH109="",BI109=""),"",IFERROR(IF($K109="%",BI109-BH109,BI109/BH109-1),""))</f>
        <v>-0.2</v>
      </c>
      <c r="BK109" s="5" t="str">
        <f aca="false">IF(OR(BH109="",BI109=""),"",IF($F109="Maior Melhor",IF(BI109&gt;=BH109,"Sim","Não"),IF(BI109&lt;=BH109,"Sim","Não")))</f>
        <v>Não</v>
      </c>
      <c r="BL109" s="8"/>
      <c r="BM109" s="8"/>
      <c r="BN109" s="4" t="str">
        <f aca="false">IF(OR(BL109="",BM109=""),"",IFERROR(IF($K109="%",BM109-BL109,BM109/BL109-1),""))</f>
        <v/>
      </c>
      <c r="BO109" s="5" t="str">
        <f aca="false">IF(OR(BL109="",BM109=""),"",IF($F109="Maior Melhor",IF(BM109&gt;=BL109,"Sim","Não"),IF(BM109&lt;=BL109,"Sim","Não")))</f>
        <v/>
      </c>
      <c r="BP109" s="8"/>
      <c r="BQ109" s="8"/>
      <c r="BR109" s="4" t="str">
        <f aca="false">IF(OR(BP109="",BQ109=""),"",IFERROR(IF($K109="%",BQ109-BP109,BQ109/BP109-1),""))</f>
        <v/>
      </c>
      <c r="BS109" s="5" t="str">
        <f aca="false">IF(OR(BP109="",BQ109=""),"",IF($F109="Maior Melhor",IF(BQ109&gt;=BP109,"Sim","Não"),IF(BQ109&lt;=BP109,"Sim","Não")))</f>
        <v/>
      </c>
      <c r="BT109" s="8"/>
      <c r="BU109" s="8"/>
      <c r="BV109" s="4" t="str">
        <f aca="false">IF(OR(BT109="",BU109=""),"",IFERROR(IF($K109="%",BU109-BT109,BU109/BT109-1),""))</f>
        <v/>
      </c>
      <c r="BW109" s="5" t="str">
        <f aca="false">IF(OR(BT109="",BU109=""),"",IF($F109="Maior Melhor",IF(BU109&gt;=BT109,"Sim","Não"),IF(BU109&lt;=BT109,"Sim","Não")))</f>
        <v/>
      </c>
      <c r="BX109" s="8"/>
      <c r="BY109" s="8"/>
      <c r="BZ109" s="4" t="str">
        <f aca="false">IF(OR(BX109="",BY109=""),"",IFERROR(IF($K109="%",BY109-BX109,BY109/BX109-1),""))</f>
        <v/>
      </c>
      <c r="CA109" s="5" t="str">
        <f aca="false">IF(OR(BX109="",BY109=""),"",IF($F109="Maior Melhor",IF(BY109&gt;=BX109,"Sim","Não"),IF(BY109&lt;=BX109,"Sim","Não")))</f>
        <v/>
      </c>
      <c r="CB109" s="8"/>
      <c r="CC109" s="8"/>
      <c r="CD109" s="4" t="str">
        <f aca="false">IF(OR(CB109="",CC109=""),"",IFERROR(IF($K109="%",CC109-CB109,CC109/CB109-1),""))</f>
        <v/>
      </c>
      <c r="CE109" s="5" t="str">
        <f aca="false">IF(OR(CB109="",CC109=""),"",IF($F109="Maior Melhor",IF(CC109&gt;=CB109,"Sim","Não"),IF(CC109&lt;=CB109,"Sim","Não")))</f>
        <v/>
      </c>
      <c r="CF109" s="8"/>
      <c r="CG109" s="8"/>
      <c r="CH109" s="4" t="str">
        <f aca="false">IF(OR(CF109="",CG109=""),"",IFERROR(IF($K109="%",CG109-CF109,CG109/CF109-1),""))</f>
        <v/>
      </c>
      <c r="CI109" s="5" t="str">
        <f aca="false">IF(OR(CF109="",CG109=""),"",IF($F109="Maior Melhor",IF(CG109&gt;=CF109,"Sim","Não"),IF(CG109&lt;=CF109,"Sim","Não")))</f>
        <v/>
      </c>
      <c r="CJ109" s="8"/>
      <c r="CK109" s="8"/>
      <c r="CL109" s="4" t="str">
        <f aca="false">IF(OR(CJ109="",CK109=""),"",IFERROR(IF($K109="%",CK109-CJ109,CK109/CJ109-1),""))</f>
        <v/>
      </c>
      <c r="CM109" s="5" t="str">
        <f aca="false">IF(OR(CJ109="",CK109=""),"",IF($F109="Maior Melhor",IF(CK109&gt;=CJ109,"Sim","Não"),IF(CK109&lt;=CJ109,"Sim","Não")))</f>
        <v/>
      </c>
      <c r="CN109" s="8"/>
      <c r="CO109" s="8"/>
      <c r="CP109" s="4" t="str">
        <f aca="false">IF(OR(CN109="",CO109=""),"",IFERROR(IF($K109="%",CO109-CN109,CO109/CN109-1),""))</f>
        <v/>
      </c>
      <c r="CQ109" s="5" t="str">
        <f aca="false">IF(OR(CN109="",CO109=""),"",IF($F109="Maior Melhor",IF(CO109&gt;=CN109,"Sim","Não"),IF(CO109&lt;=CN109,"Sim","Não")))</f>
        <v/>
      </c>
      <c r="CR109" s="2" t="s">
        <v>105</v>
      </c>
    </row>
    <row r="110" customFormat="false" ht="15" hidden="false" customHeight="false" outlineLevel="0" collapsed="false">
      <c r="A110" s="2" t="s">
        <v>161</v>
      </c>
      <c r="B110" s="2" t="s">
        <v>97</v>
      </c>
      <c r="C110" s="2" t="s">
        <v>98</v>
      </c>
      <c r="D110" s="2" t="s">
        <v>162</v>
      </c>
      <c r="E110" s="2" t="str">
        <f aca="false">C110&amp;D110</f>
        <v>Gerência Centro OesteCSAT - UTDs</v>
      </c>
      <c r="F110" s="2" t="s">
        <v>100</v>
      </c>
      <c r="G110" s="2" t="s">
        <v>163</v>
      </c>
      <c r="H110" s="2" t="s">
        <v>102</v>
      </c>
      <c r="I110" s="2" t="s">
        <v>103</v>
      </c>
      <c r="J110" s="2" t="n">
        <v>3</v>
      </c>
      <c r="K110" s="2" t="s">
        <v>104</v>
      </c>
      <c r="L110" s="3" t="n">
        <v>0.87</v>
      </c>
      <c r="M110" s="3" t="n">
        <v>0.9</v>
      </c>
      <c r="N110" s="4" t="n">
        <f aca="false">IF(OR(L110="",M110=""),"",IFERROR(IF($K110="%",M110-L110,M110/L110-1),""))</f>
        <v>0.03</v>
      </c>
      <c r="O110" s="5" t="str">
        <f aca="false">IF(OR(L110="",M110=""),"",IF($F110="Maior Melhor",IF(M110&gt;=L110,"Sim","Não"),IF(M110&lt;=L110,"Sim","Não")))</f>
        <v>Sim</v>
      </c>
      <c r="P110" s="3" t="n">
        <v>0.87</v>
      </c>
      <c r="Q110" s="3" t="n">
        <v>0.89</v>
      </c>
      <c r="R110" s="4" t="n">
        <f aca="false">IF(OR(P110="",Q110=""),"",IFERROR(IF($K110="%",Q110-P110,Q110/P110-1),""))</f>
        <v>0.02</v>
      </c>
      <c r="S110" s="5" t="str">
        <f aca="false">IF(OR(P110="",Q110=""),"",IF($F110="Maior Melhor",IF(Q110&gt;=P110,"Sim","Não"),IF(Q110&lt;=P110,"Sim","Não")))</f>
        <v>Sim</v>
      </c>
      <c r="T110" s="3" t="n">
        <v>0.87</v>
      </c>
      <c r="U110" s="3" t="n">
        <v>0.88</v>
      </c>
      <c r="V110" s="4" t="n">
        <f aca="false">IF(OR(T110="",U110=""),"",IFERROR(IF($K110="%",U110-T110,U110/T110-1),""))</f>
        <v>0.01</v>
      </c>
      <c r="W110" s="5" t="str">
        <f aca="false">IF(OR(T110="",U110=""),"",IF($F110="Maior Melhor",IF(U110&gt;=T110,"Sim","Não"),IF(U110&lt;=T110,"Sim","Não")))</f>
        <v>Sim</v>
      </c>
      <c r="X110" s="3" t="n">
        <v>0.87</v>
      </c>
      <c r="Y110" s="3" t="n">
        <v>0.87</v>
      </c>
      <c r="Z110" s="4" t="n">
        <f aca="false">IF(OR(X110="",Y110=""),"",IFERROR(IF($K110="%",Y110-X110,Y110/X110-1),""))</f>
        <v>0</v>
      </c>
      <c r="AA110" s="5" t="str">
        <f aca="false">IF(OR(X110="",Y110=""),"",IF($F110="Maior Melhor",IF(Y110&gt;=X110,"Sim","Não"),IF(Y110&lt;=X110,"Sim","Não")))</f>
        <v>Sim</v>
      </c>
      <c r="AB110" s="3" t="n">
        <v>0.87</v>
      </c>
      <c r="AC110" s="3" t="n">
        <v>0.89</v>
      </c>
      <c r="AD110" s="4" t="n">
        <f aca="false">IF(OR(AB110="",AC110=""),"",IFERROR(IF($K110="%",AC110-AB110,AC110/AB110-1),""))</f>
        <v>0.02</v>
      </c>
      <c r="AE110" s="5" t="str">
        <f aca="false">IF(OR(AB110="",AC110=""),"",IF($F110="Maior Melhor",IF(AC110&gt;=AB110,"Sim","Não"),IF(AC110&lt;=AB110,"Sim","Não")))</f>
        <v>Sim</v>
      </c>
      <c r="AF110" s="3" t="n">
        <v>0.87</v>
      </c>
      <c r="AG110" s="3" t="n">
        <v>0.858</v>
      </c>
      <c r="AH110" s="4" t="n">
        <f aca="false">IF(OR(AF110="",AG110=""),"",IFERROR(IF($K110="%",AG110-AF110,AG110/AF110-1),""))</f>
        <v>-0.012</v>
      </c>
      <c r="AI110" s="5" t="str">
        <f aca="false">IF(OR(AF110="",AG110=""),"",IF($F110="Maior Melhor",IF(AG110&gt;=AF110,"Sim","Não"),IF(AG110&lt;=AF110,"Sim","Não")))</f>
        <v>Não</v>
      </c>
      <c r="AJ110" s="3" t="n">
        <v>0.87</v>
      </c>
      <c r="AK110" s="3" t="n">
        <v>0.88</v>
      </c>
      <c r="AL110" s="4" t="n">
        <f aca="false">IF(OR(AJ110="",AK110=""),"",IFERROR(IF($K110="%",AK110-AJ110,AK110/AJ110-1),""))</f>
        <v>0.01</v>
      </c>
      <c r="AM110" s="5" t="str">
        <f aca="false">IF(OR(AJ110="",AK110=""),"",IF($F110="Maior Melhor",IF(AK110&gt;=AJ110,"Sim","Não"),IF(AK110&lt;=AJ110,"Sim","Não")))</f>
        <v>Sim</v>
      </c>
      <c r="AN110" s="3" t="n">
        <v>0.87</v>
      </c>
      <c r="AO110" s="3" t="n">
        <v>0.841</v>
      </c>
      <c r="AP110" s="4" t="n">
        <f aca="false">IF(OR(AN110="",AO110=""),"",IFERROR(IF($K110="%",AO110-AN110,AO110/AN110-1),""))</f>
        <v>-0.029</v>
      </c>
      <c r="AQ110" s="5" t="str">
        <f aca="false">IF(OR(AN110="",AO110=""),"",IF($F110="Maior Melhor",IF(AO110&gt;=AN110,"Sim","Não"),IF(AO110&lt;=AN110,"Sim","Não")))</f>
        <v>Não</v>
      </c>
      <c r="AR110" s="3" t="n">
        <v>0.87</v>
      </c>
      <c r="AS110" s="3" t="n">
        <v>0.866</v>
      </c>
      <c r="AT110" s="4" t="n">
        <f aca="false">IF(OR(AR110="",AS110=""),"",IFERROR(IF($K110="%",AS110-AR110,AS110/AR110-1),""))</f>
        <v>-0.004</v>
      </c>
      <c r="AU110" s="5" t="str">
        <f aca="false">IF(OR(AR110="",AS110=""),"",IF($F110="Maior Melhor",IF(AS110&gt;=AR110,"Sim","Não"),IF(AS110&lt;=AR110,"Sim","Não")))</f>
        <v>Não</v>
      </c>
      <c r="AV110" s="3" t="n">
        <v>0.87</v>
      </c>
      <c r="AW110" s="3" t="n">
        <v>0.865</v>
      </c>
      <c r="AX110" s="4" t="n">
        <f aca="false">IF(OR(AV110="",AW110=""),"",IFERROR(IF($K110="%",AW110-AV110,AW110/AV110-1),""))</f>
        <v>-0.005</v>
      </c>
      <c r="AY110" s="5" t="str">
        <f aca="false">IF(OR(AV110="",AW110=""),"",IF($F110="Maior Melhor",IF(AW110&gt;=AV110,"Sim","Não"),IF(AW110&lt;=AV110,"Sim","Não")))</f>
        <v>Não</v>
      </c>
      <c r="AZ110" s="3" t="n">
        <v>0.87</v>
      </c>
      <c r="BA110" s="3" t="n">
        <v>0.866</v>
      </c>
      <c r="BB110" s="4" t="n">
        <f aca="false">IF(OR(AZ110="",BA110=""),"",IFERROR(IF($K110="%",BA110-AZ110,BA110/AZ110-1),""))</f>
        <v>-0.004</v>
      </c>
      <c r="BC110" s="5" t="str">
        <f aca="false">IF(OR(AZ110="",BA110=""),"",IF($F110="Maior Melhor",IF(BA110&gt;=AZ110,"Sim","Não"),IF(BA110&lt;=AZ110,"Sim","Não")))</f>
        <v>Não</v>
      </c>
      <c r="BD110" s="3" t="n">
        <v>0.8697</v>
      </c>
      <c r="BE110" s="3" t="n">
        <v>0.8966</v>
      </c>
      <c r="BF110" s="4" t="n">
        <f aca="false">IF(OR(BD110="",BE110=""),"",IFERROR(IF($K110="%",BE110-BD110,BE110/BD110-1),""))</f>
        <v>0.0268999999999999</v>
      </c>
      <c r="BG110" s="5" t="str">
        <f aca="false">IF(OR(BD110="",BE110=""),"",IF($F110="Maior Melhor",IF(BE110&gt;=BD110,"Sim","Não"),IF(BE110&lt;=BD110,"Sim","Não")))</f>
        <v>Sim</v>
      </c>
      <c r="BH110" s="3" t="n">
        <v>0.8697</v>
      </c>
      <c r="BI110" s="3" t="n">
        <v>0.8739</v>
      </c>
      <c r="BJ110" s="4" t="n">
        <f aca="false">IF(OR(BH110="",BI110=""),"",IFERROR(IF($K110="%",BI110-BH110,BI110/BH110-1),""))</f>
        <v>0.00419999999999998</v>
      </c>
      <c r="BK110" s="5" t="str">
        <f aca="false">IF(OR(BH110="",BI110=""),"",IF($F110="Maior Melhor",IF(BI110&gt;=BH110,"Sim","Não"),IF(BI110&lt;=BH110,"Sim","Não")))</f>
        <v>Sim</v>
      </c>
      <c r="BL110" s="6"/>
      <c r="BM110" s="6"/>
      <c r="BN110" s="4" t="str">
        <f aca="false">IF(OR(BL110="",BM110=""),"",IFERROR(IF($K110="%",BM110-BL110,BM110/BL110-1),""))</f>
        <v/>
      </c>
      <c r="BO110" s="5" t="str">
        <f aca="false">IF(OR(BL110="",BM110=""),"",IF($F110="Maior Melhor",IF(BM110&gt;=BL110,"Sim","Não"),IF(BM110&lt;=BL110,"Sim","Não")))</f>
        <v/>
      </c>
      <c r="BP110" s="6"/>
      <c r="BQ110" s="6"/>
      <c r="BR110" s="4" t="str">
        <f aca="false">IF(OR(BP110="",BQ110=""),"",IFERROR(IF($K110="%",BQ110-BP110,BQ110/BP110-1),""))</f>
        <v/>
      </c>
      <c r="BS110" s="5" t="str">
        <f aca="false">IF(OR(BP110="",BQ110=""),"",IF($F110="Maior Melhor",IF(BQ110&gt;=BP110,"Sim","Não"),IF(BQ110&lt;=BP110,"Sim","Não")))</f>
        <v/>
      </c>
      <c r="BT110" s="6"/>
      <c r="BU110" s="6"/>
      <c r="BV110" s="4" t="str">
        <f aca="false">IF(OR(BT110="",BU110=""),"",IFERROR(IF($K110="%",BU110-BT110,BU110/BT110-1),""))</f>
        <v/>
      </c>
      <c r="BW110" s="5" t="str">
        <f aca="false">IF(OR(BT110="",BU110=""),"",IF($F110="Maior Melhor",IF(BU110&gt;=BT110,"Sim","Não"),IF(BU110&lt;=BT110,"Sim","Não")))</f>
        <v/>
      </c>
      <c r="BX110" s="6"/>
      <c r="BY110" s="6"/>
      <c r="BZ110" s="4" t="str">
        <f aca="false">IF(OR(BX110="",BY110=""),"",IFERROR(IF($K110="%",BY110-BX110,BY110/BX110-1),""))</f>
        <v/>
      </c>
      <c r="CA110" s="5" t="str">
        <f aca="false">IF(OR(BX110="",BY110=""),"",IF($F110="Maior Melhor",IF(BY110&gt;=BX110,"Sim","Não"),IF(BY110&lt;=BX110,"Sim","Não")))</f>
        <v/>
      </c>
      <c r="CB110" s="6"/>
      <c r="CC110" s="6"/>
      <c r="CD110" s="4" t="str">
        <f aca="false">IF(OR(CB110="",CC110=""),"",IFERROR(IF($K110="%",CC110-CB110,CC110/CB110-1),""))</f>
        <v/>
      </c>
      <c r="CE110" s="5" t="str">
        <f aca="false">IF(OR(CB110="",CC110=""),"",IF($F110="Maior Melhor",IF(CC110&gt;=CB110,"Sim","Não"),IF(CC110&lt;=CB110,"Sim","Não")))</f>
        <v/>
      </c>
      <c r="CF110" s="6"/>
      <c r="CG110" s="6"/>
      <c r="CH110" s="4" t="str">
        <f aca="false">IF(OR(CF110="",CG110=""),"",IFERROR(IF($K110="%",CG110-CF110,CG110/CF110-1),""))</f>
        <v/>
      </c>
      <c r="CI110" s="5" t="str">
        <f aca="false">IF(OR(CF110="",CG110=""),"",IF($F110="Maior Melhor",IF(CG110&gt;=CF110,"Sim","Não"),IF(CG110&lt;=CF110,"Sim","Não")))</f>
        <v/>
      </c>
      <c r="CJ110" s="6"/>
      <c r="CK110" s="6"/>
      <c r="CL110" s="4" t="str">
        <f aca="false">IF(OR(CJ110="",CK110=""),"",IFERROR(IF($K110="%",CK110-CJ110,CK110/CJ110-1),""))</f>
        <v/>
      </c>
      <c r="CM110" s="5" t="str">
        <f aca="false">IF(OR(CJ110="",CK110=""),"",IF($F110="Maior Melhor",IF(CK110&gt;=CJ110,"Sim","Não"),IF(CK110&lt;=CJ110,"Sim","Não")))</f>
        <v/>
      </c>
      <c r="CN110" s="6"/>
      <c r="CO110" s="6"/>
      <c r="CP110" s="4" t="str">
        <f aca="false">IF(OR(CN110="",CO110=""),"",IFERROR(IF($K110="%",CO110-CN110,CO110/CN110-1),""))</f>
        <v/>
      </c>
      <c r="CQ110" s="5" t="str">
        <f aca="false">IF(OR(CN110="",CO110=""),"",IF($F110="Maior Melhor",IF(CO110&gt;=CN110,"Sim","Não"),IF(CO110&lt;=CN110,"Sim","Não")))</f>
        <v/>
      </c>
      <c r="CR110" s="2" t="s">
        <v>105</v>
      </c>
    </row>
    <row r="111" customFormat="false" ht="15" hidden="false" customHeight="false" outlineLevel="0" collapsed="false">
      <c r="A111" s="2" t="s">
        <v>161</v>
      </c>
      <c r="B111" s="2" t="s">
        <v>106</v>
      </c>
      <c r="C111" s="2" t="s">
        <v>107</v>
      </c>
      <c r="D111" s="2" t="s">
        <v>162</v>
      </c>
      <c r="E111" s="2" t="str">
        <f aca="false">C111&amp;D111</f>
        <v>Gerência OesteCSAT - UTDs</v>
      </c>
      <c r="F111" s="2" t="s">
        <v>100</v>
      </c>
      <c r="G111" s="2" t="s">
        <v>163</v>
      </c>
      <c r="H111" s="2" t="s">
        <v>102</v>
      </c>
      <c r="I111" s="2" t="s">
        <v>103</v>
      </c>
      <c r="J111" s="2" t="n">
        <v>3</v>
      </c>
      <c r="K111" s="2" t="s">
        <v>104</v>
      </c>
      <c r="L111" s="3" t="n">
        <v>0.87</v>
      </c>
      <c r="M111" s="3" t="n">
        <v>0.89</v>
      </c>
      <c r="N111" s="4" t="n">
        <f aca="false">IF(OR(L111="",M111=""),"",IFERROR(IF($K111="%",M111-L111,M111/L111-1),""))</f>
        <v>0.02</v>
      </c>
      <c r="O111" s="5" t="str">
        <f aca="false">IF(OR(L111="",M111=""),"",IF($F111="Maior Melhor",IF(M111&gt;=L111,"Sim","Não"),IF(M111&lt;=L111,"Sim","Não")))</f>
        <v>Sim</v>
      </c>
      <c r="P111" s="3" t="n">
        <v>0.87</v>
      </c>
      <c r="Q111" s="3" t="n">
        <v>0.87</v>
      </c>
      <c r="R111" s="4" t="n">
        <f aca="false">IF(OR(P111="",Q111=""),"",IFERROR(IF($K111="%",Q111-P111,Q111/P111-1),""))</f>
        <v>0</v>
      </c>
      <c r="S111" s="5" t="str">
        <f aca="false">IF(OR(P111="",Q111=""),"",IF($F111="Maior Melhor",IF(Q111&gt;=P111,"Sim","Não"),IF(Q111&lt;=P111,"Sim","Não")))</f>
        <v>Sim</v>
      </c>
      <c r="T111" s="3" t="n">
        <v>0.86</v>
      </c>
      <c r="U111" s="3" t="n">
        <v>0.91</v>
      </c>
      <c r="V111" s="4" t="n">
        <f aca="false">IF(OR(T111="",U111=""),"",IFERROR(IF($K111="%",U111-T111,U111/T111-1),""))</f>
        <v>0.05</v>
      </c>
      <c r="W111" s="5" t="str">
        <f aca="false">IF(OR(T111="",U111=""),"",IF($F111="Maior Melhor",IF(U111&gt;=T111,"Sim","Não"),IF(U111&lt;=T111,"Sim","Não")))</f>
        <v>Sim</v>
      </c>
      <c r="X111" s="3" t="n">
        <v>0.86</v>
      </c>
      <c r="Y111" s="3" t="n">
        <v>0.87</v>
      </c>
      <c r="Z111" s="4" t="n">
        <f aca="false">IF(OR(X111="",Y111=""),"",IFERROR(IF($K111="%",Y111-X111,Y111/X111-1),""))</f>
        <v>0.01</v>
      </c>
      <c r="AA111" s="5" t="str">
        <f aca="false">IF(OR(X111="",Y111=""),"",IF($F111="Maior Melhor",IF(Y111&gt;=X111,"Sim","Não"),IF(Y111&lt;=X111,"Sim","Não")))</f>
        <v>Sim</v>
      </c>
      <c r="AB111" s="3" t="n">
        <v>0.86</v>
      </c>
      <c r="AC111" s="3" t="n">
        <v>0.89</v>
      </c>
      <c r="AD111" s="4" t="n">
        <f aca="false">IF(OR(AB111="",AC111=""),"",IFERROR(IF($K111="%",AC111-AB111,AC111/AB111-1),""))</f>
        <v>0.03</v>
      </c>
      <c r="AE111" s="5" t="str">
        <f aca="false">IF(OR(AB111="",AC111=""),"",IF($F111="Maior Melhor",IF(AC111&gt;=AB111,"Sim","Não"),IF(AC111&lt;=AB111,"Sim","Não")))</f>
        <v>Sim</v>
      </c>
      <c r="AF111" s="3" t="n">
        <v>0.862</v>
      </c>
      <c r="AG111" s="3" t="n">
        <v>0.837</v>
      </c>
      <c r="AH111" s="4" t="n">
        <f aca="false">IF(OR(AF111="",AG111=""),"",IFERROR(IF($K111="%",AG111-AF111,AG111/AF111-1),""))</f>
        <v>-0.025</v>
      </c>
      <c r="AI111" s="5" t="str">
        <f aca="false">IF(OR(AF111="",AG111=""),"",IF($F111="Maior Melhor",IF(AG111&gt;=AF111,"Sim","Não"),IF(AG111&lt;=AF111,"Sim","Não")))</f>
        <v>Não</v>
      </c>
      <c r="AJ111" s="3" t="n">
        <v>0.862</v>
      </c>
      <c r="AK111" s="3" t="n">
        <v>0.871</v>
      </c>
      <c r="AL111" s="4" t="n">
        <f aca="false">IF(OR(AJ111="",AK111=""),"",IFERROR(IF($K111="%",AK111-AJ111,AK111/AJ111-1),""))</f>
        <v>0.00900000000000001</v>
      </c>
      <c r="AM111" s="5" t="str">
        <f aca="false">IF(OR(AJ111="",AK111=""),"",IF($F111="Maior Melhor",IF(AK111&gt;=AJ111,"Sim","Não"),IF(AK111&lt;=AJ111,"Sim","Não")))</f>
        <v>Sim</v>
      </c>
      <c r="AN111" s="3" t="n">
        <v>0.862</v>
      </c>
      <c r="AO111" s="3" t="n">
        <v>0.88</v>
      </c>
      <c r="AP111" s="4" t="n">
        <f aca="false">IF(OR(AN111="",AO111=""),"",IFERROR(IF($K111="%",AO111-AN111,AO111/AN111-1),""))</f>
        <v>0.018</v>
      </c>
      <c r="AQ111" s="5" t="str">
        <f aca="false">IF(OR(AN111="",AO111=""),"",IF($F111="Maior Melhor",IF(AO111&gt;=AN111,"Sim","Não"),IF(AO111&lt;=AN111,"Sim","Não")))</f>
        <v>Sim</v>
      </c>
      <c r="AR111" s="3" t="n">
        <v>0.862</v>
      </c>
      <c r="AS111" s="3" t="n">
        <v>0.874</v>
      </c>
      <c r="AT111" s="4" t="n">
        <f aca="false">IF(OR(AR111="",AS111=""),"",IFERROR(IF($K111="%",AS111-AR111,AS111/AR111-1),""))</f>
        <v>0.012</v>
      </c>
      <c r="AU111" s="5" t="str">
        <f aca="false">IF(OR(AR111="",AS111=""),"",IF($F111="Maior Melhor",IF(AS111&gt;=AR111,"Sim","Não"),IF(AS111&lt;=AR111,"Sim","Não")))</f>
        <v>Sim</v>
      </c>
      <c r="AV111" s="3" t="n">
        <v>0.862</v>
      </c>
      <c r="AW111" s="3" t="n">
        <v>0.881</v>
      </c>
      <c r="AX111" s="4" t="n">
        <f aca="false">IF(OR(AV111="",AW111=""),"",IFERROR(IF($K111="%",AW111-AV111,AW111/AV111-1),""))</f>
        <v>0.019</v>
      </c>
      <c r="AY111" s="5" t="str">
        <f aca="false">IF(OR(AV111="",AW111=""),"",IF($F111="Maior Melhor",IF(AW111&gt;=AV111,"Sim","Não"),IF(AW111&lt;=AV111,"Sim","Não")))</f>
        <v>Sim</v>
      </c>
      <c r="AZ111" s="3" t="n">
        <v>0.862</v>
      </c>
      <c r="BA111" s="3" t="n">
        <v>0.875</v>
      </c>
      <c r="BB111" s="4" t="n">
        <f aca="false">IF(OR(AZ111="",BA111=""),"",IFERROR(IF($K111="%",BA111-AZ111,BA111/AZ111-1),""))</f>
        <v>0.013</v>
      </c>
      <c r="BC111" s="5" t="str">
        <f aca="false">IF(OR(AZ111="",BA111=""),"",IF($F111="Maior Melhor",IF(BA111&gt;=AZ111,"Sim","Não"),IF(BA111&lt;=AZ111,"Sim","Não")))</f>
        <v>Sim</v>
      </c>
      <c r="BD111" s="3" t="n">
        <v>0.8622</v>
      </c>
      <c r="BE111" s="3" t="n">
        <v>0.8695</v>
      </c>
      <c r="BF111" s="4" t="n">
        <f aca="false">IF(OR(BD111="",BE111=""),"",IFERROR(IF($K111="%",BE111-BD111,BE111/BD111-1),""))</f>
        <v>0.00730000000000008</v>
      </c>
      <c r="BG111" s="5" t="str">
        <f aca="false">IF(OR(BD111="",BE111=""),"",IF($F111="Maior Melhor",IF(BE111&gt;=BD111,"Sim","Não"),IF(BE111&lt;=BD111,"Sim","Não")))</f>
        <v>Sim</v>
      </c>
      <c r="BH111" s="3" t="n">
        <v>0.8622</v>
      </c>
      <c r="BI111" s="3" t="n">
        <v>0.8775</v>
      </c>
      <c r="BJ111" s="4" t="n">
        <f aca="false">IF(OR(BH111="",BI111=""),"",IFERROR(IF($K111="%",BI111-BH111,BI111/BH111-1),""))</f>
        <v>0.0153</v>
      </c>
      <c r="BK111" s="5" t="str">
        <f aca="false">IF(OR(BH111="",BI111=""),"",IF($F111="Maior Melhor",IF(BI111&gt;=BH111,"Sim","Não"),IF(BI111&lt;=BH111,"Sim","Não")))</f>
        <v>Sim</v>
      </c>
      <c r="BL111" s="6"/>
      <c r="BM111" s="6"/>
      <c r="BN111" s="4" t="str">
        <f aca="false">IF(OR(BL111="",BM111=""),"",IFERROR(IF($K111="%",BM111-BL111,BM111/BL111-1),""))</f>
        <v/>
      </c>
      <c r="BO111" s="5" t="str">
        <f aca="false">IF(OR(BL111="",BM111=""),"",IF($F111="Maior Melhor",IF(BM111&gt;=BL111,"Sim","Não"),IF(BM111&lt;=BL111,"Sim","Não")))</f>
        <v/>
      </c>
      <c r="BP111" s="6"/>
      <c r="BQ111" s="6"/>
      <c r="BR111" s="4" t="str">
        <f aca="false">IF(OR(BP111="",BQ111=""),"",IFERROR(IF($K111="%",BQ111-BP111,BQ111/BP111-1),""))</f>
        <v/>
      </c>
      <c r="BS111" s="5" t="str">
        <f aca="false">IF(OR(BP111="",BQ111=""),"",IF($F111="Maior Melhor",IF(BQ111&gt;=BP111,"Sim","Não"),IF(BQ111&lt;=BP111,"Sim","Não")))</f>
        <v/>
      </c>
      <c r="BT111" s="6"/>
      <c r="BU111" s="6"/>
      <c r="BV111" s="4" t="str">
        <f aca="false">IF(OR(BT111="",BU111=""),"",IFERROR(IF($K111="%",BU111-BT111,BU111/BT111-1),""))</f>
        <v/>
      </c>
      <c r="BW111" s="5" t="str">
        <f aca="false">IF(OR(BT111="",BU111=""),"",IF($F111="Maior Melhor",IF(BU111&gt;=BT111,"Sim","Não"),IF(BU111&lt;=BT111,"Sim","Não")))</f>
        <v/>
      </c>
      <c r="BX111" s="6"/>
      <c r="BY111" s="6"/>
      <c r="BZ111" s="4" t="str">
        <f aca="false">IF(OR(BX111="",BY111=""),"",IFERROR(IF($K111="%",BY111-BX111,BY111/BX111-1),""))</f>
        <v/>
      </c>
      <c r="CA111" s="5" t="str">
        <f aca="false">IF(OR(BX111="",BY111=""),"",IF($F111="Maior Melhor",IF(BY111&gt;=BX111,"Sim","Não"),IF(BY111&lt;=BX111,"Sim","Não")))</f>
        <v/>
      </c>
      <c r="CB111" s="6"/>
      <c r="CC111" s="6"/>
      <c r="CD111" s="4" t="str">
        <f aca="false">IF(OR(CB111="",CC111=""),"",IFERROR(IF($K111="%",CC111-CB111,CC111/CB111-1),""))</f>
        <v/>
      </c>
      <c r="CE111" s="5" t="str">
        <f aca="false">IF(OR(CB111="",CC111=""),"",IF($F111="Maior Melhor",IF(CC111&gt;=CB111,"Sim","Não"),IF(CC111&lt;=CB111,"Sim","Não")))</f>
        <v/>
      </c>
      <c r="CF111" s="6"/>
      <c r="CG111" s="6"/>
      <c r="CH111" s="4" t="str">
        <f aca="false">IF(OR(CF111="",CG111=""),"",IFERROR(IF($K111="%",CG111-CF111,CG111/CF111-1),""))</f>
        <v/>
      </c>
      <c r="CI111" s="5" t="str">
        <f aca="false">IF(OR(CF111="",CG111=""),"",IF($F111="Maior Melhor",IF(CG111&gt;=CF111,"Sim","Não"),IF(CG111&lt;=CF111,"Sim","Não")))</f>
        <v/>
      </c>
      <c r="CJ111" s="6"/>
      <c r="CK111" s="6"/>
      <c r="CL111" s="4" t="str">
        <f aca="false">IF(OR(CJ111="",CK111=""),"",IFERROR(IF($K111="%",CK111-CJ111,CK111/CJ111-1),""))</f>
        <v/>
      </c>
      <c r="CM111" s="5" t="str">
        <f aca="false">IF(OR(CJ111="",CK111=""),"",IF($F111="Maior Melhor",IF(CK111&gt;=CJ111,"Sim","Não"),IF(CK111&lt;=CJ111,"Sim","Não")))</f>
        <v/>
      </c>
      <c r="CN111" s="6"/>
      <c r="CO111" s="6"/>
      <c r="CP111" s="4" t="str">
        <f aca="false">IF(OR(CN111="",CO111=""),"",IFERROR(IF($K111="%",CO111-CN111,CO111/CN111-1),""))</f>
        <v/>
      </c>
      <c r="CQ111" s="5" t="str">
        <f aca="false">IF(OR(CN111="",CO111=""),"",IF($F111="Maior Melhor",IF(CO111&gt;=CN111,"Sim","Não"),IF(CO111&lt;=CN111,"Sim","Não")))</f>
        <v/>
      </c>
      <c r="CR111" s="2" t="s">
        <v>105</v>
      </c>
    </row>
    <row r="112" customFormat="false" ht="15" hidden="false" customHeight="false" outlineLevel="0" collapsed="false">
      <c r="A112" s="2" t="s">
        <v>161</v>
      </c>
      <c r="B112" s="2" t="s">
        <v>108</v>
      </c>
      <c r="C112" s="2" t="s">
        <v>109</v>
      </c>
      <c r="D112" s="2" t="s">
        <v>162</v>
      </c>
      <c r="E112" s="2" t="str">
        <f aca="false">C112&amp;D112</f>
        <v>Gerência SudoesteCSAT - UTDs</v>
      </c>
      <c r="F112" s="2" t="s">
        <v>100</v>
      </c>
      <c r="G112" s="2" t="s">
        <v>163</v>
      </c>
      <c r="H112" s="2" t="s">
        <v>102</v>
      </c>
      <c r="I112" s="2" t="s">
        <v>103</v>
      </c>
      <c r="J112" s="2" t="n">
        <v>3</v>
      </c>
      <c r="K112" s="2" t="s">
        <v>104</v>
      </c>
      <c r="L112" s="3" t="n">
        <v>0.87</v>
      </c>
      <c r="M112" s="3" t="n">
        <v>0.9</v>
      </c>
      <c r="N112" s="4" t="n">
        <f aca="false">IF(OR(L112="",M112=""),"",IFERROR(IF($K112="%",M112-L112,M112/L112-1),""))</f>
        <v>0.03</v>
      </c>
      <c r="O112" s="5" t="str">
        <f aca="false">IF(OR(L112="",M112=""),"",IF($F112="Maior Melhor",IF(M112&gt;=L112,"Sim","Não"),IF(M112&lt;=L112,"Sim","Não")))</f>
        <v>Sim</v>
      </c>
      <c r="P112" s="3" t="n">
        <v>0.87</v>
      </c>
      <c r="Q112" s="3" t="n">
        <v>0.92</v>
      </c>
      <c r="R112" s="4" t="n">
        <f aca="false">IF(OR(P112="",Q112=""),"",IFERROR(IF($K112="%",Q112-P112,Q112/P112-1),""))</f>
        <v>0.05</v>
      </c>
      <c r="S112" s="5" t="str">
        <f aca="false">IF(OR(P112="",Q112=""),"",IF($F112="Maior Melhor",IF(Q112&gt;=P112,"Sim","Não"),IF(Q112&lt;=P112,"Sim","Não")))</f>
        <v>Sim</v>
      </c>
      <c r="T112" s="3" t="n">
        <v>0.88</v>
      </c>
      <c r="U112" s="3" t="n">
        <v>0.93</v>
      </c>
      <c r="V112" s="4" t="n">
        <f aca="false">IF(OR(T112="",U112=""),"",IFERROR(IF($K112="%",U112-T112,U112/T112-1),""))</f>
        <v>0.05</v>
      </c>
      <c r="W112" s="5" t="str">
        <f aca="false">IF(OR(T112="",U112=""),"",IF($F112="Maior Melhor",IF(U112&gt;=T112,"Sim","Não"),IF(U112&lt;=T112,"Sim","Não")))</f>
        <v>Sim</v>
      </c>
      <c r="X112" s="3" t="n">
        <v>0.88</v>
      </c>
      <c r="Y112" s="3" t="n">
        <v>0.89</v>
      </c>
      <c r="Z112" s="4" t="n">
        <f aca="false">IF(OR(X112="",Y112=""),"",IFERROR(IF($K112="%",Y112-X112,Y112/X112-1),""))</f>
        <v>0.01</v>
      </c>
      <c r="AA112" s="5" t="str">
        <f aca="false">IF(OR(X112="",Y112=""),"",IF($F112="Maior Melhor",IF(Y112&gt;=X112,"Sim","Não"),IF(Y112&lt;=X112,"Sim","Não")))</f>
        <v>Sim</v>
      </c>
      <c r="AB112" s="3" t="n">
        <v>0.88</v>
      </c>
      <c r="AC112" s="3" t="n">
        <v>0.91</v>
      </c>
      <c r="AD112" s="4" t="n">
        <f aca="false">IF(OR(AB112="",AC112=""),"",IFERROR(IF($K112="%",AC112-AB112,AC112/AB112-1),""))</f>
        <v>0.03</v>
      </c>
      <c r="AE112" s="5" t="str">
        <f aca="false">IF(OR(AB112="",AC112=""),"",IF($F112="Maior Melhor",IF(AC112&gt;=AB112,"Sim","Não"),IF(AC112&lt;=AB112,"Sim","Não")))</f>
        <v>Sim</v>
      </c>
      <c r="AF112" s="3" t="n">
        <v>0.875</v>
      </c>
      <c r="AG112" s="3" t="n">
        <v>0.853</v>
      </c>
      <c r="AH112" s="4" t="n">
        <f aca="false">IF(OR(AF112="",AG112=""),"",IFERROR(IF($K112="%",AG112-AF112,AG112/AF112-1),""))</f>
        <v>-0.022</v>
      </c>
      <c r="AI112" s="5" t="str">
        <f aca="false">IF(OR(AF112="",AG112=""),"",IF($F112="Maior Melhor",IF(AG112&gt;=AF112,"Sim","Não"),IF(AG112&lt;=AF112,"Sim","Não")))</f>
        <v>Não</v>
      </c>
      <c r="AJ112" s="3" t="n">
        <v>0.875</v>
      </c>
      <c r="AK112" s="3" t="n">
        <v>0.898</v>
      </c>
      <c r="AL112" s="4" t="n">
        <f aca="false">IF(OR(AJ112="",AK112=""),"",IFERROR(IF($K112="%",AK112-AJ112,AK112/AJ112-1),""))</f>
        <v>0.023</v>
      </c>
      <c r="AM112" s="5" t="str">
        <f aca="false">IF(OR(AJ112="",AK112=""),"",IF($F112="Maior Melhor",IF(AK112&gt;=AJ112,"Sim","Não"),IF(AK112&lt;=AJ112,"Sim","Não")))</f>
        <v>Sim</v>
      </c>
      <c r="AN112" s="3" t="n">
        <v>0.875</v>
      </c>
      <c r="AO112" s="3" t="n">
        <v>0.878</v>
      </c>
      <c r="AP112" s="4" t="n">
        <f aca="false">IF(OR(AN112="",AO112=""),"",IFERROR(IF($K112="%",AO112-AN112,AO112/AN112-1),""))</f>
        <v>0.003</v>
      </c>
      <c r="AQ112" s="5" t="str">
        <f aca="false">IF(OR(AN112="",AO112=""),"",IF($F112="Maior Melhor",IF(AO112&gt;=AN112,"Sim","Não"),IF(AO112&lt;=AN112,"Sim","Não")))</f>
        <v>Sim</v>
      </c>
      <c r="AR112" s="3" t="n">
        <v>0.875</v>
      </c>
      <c r="AS112" s="3" t="n">
        <v>0.891</v>
      </c>
      <c r="AT112" s="4" t="n">
        <f aca="false">IF(OR(AR112="",AS112=""),"",IFERROR(IF($K112="%",AS112-AR112,AS112/AR112-1),""))</f>
        <v>0.016</v>
      </c>
      <c r="AU112" s="5" t="str">
        <f aca="false">IF(OR(AR112="",AS112=""),"",IF($F112="Maior Melhor",IF(AS112&gt;=AR112,"Sim","Não"),IF(AS112&lt;=AR112,"Sim","Não")))</f>
        <v>Sim</v>
      </c>
      <c r="AV112" s="3" t="n">
        <v>0.875</v>
      </c>
      <c r="AW112" s="3" t="n">
        <v>0.856</v>
      </c>
      <c r="AX112" s="4" t="n">
        <f aca="false">IF(OR(AV112="",AW112=""),"",IFERROR(IF($K112="%",AW112-AV112,AW112/AV112-1),""))</f>
        <v>-0.019</v>
      </c>
      <c r="AY112" s="5" t="str">
        <f aca="false">IF(OR(AV112="",AW112=""),"",IF($F112="Maior Melhor",IF(AW112&gt;=AV112,"Sim","Não"),IF(AW112&lt;=AV112,"Sim","Não")))</f>
        <v>Não</v>
      </c>
      <c r="AZ112" s="3" t="n">
        <v>0.875</v>
      </c>
      <c r="BA112" s="3" t="n">
        <v>0.885</v>
      </c>
      <c r="BB112" s="4" t="n">
        <f aca="false">IF(OR(AZ112="",BA112=""),"",IFERROR(IF($K112="%",BA112-AZ112,BA112/AZ112-1),""))</f>
        <v>0.01</v>
      </c>
      <c r="BC112" s="5" t="str">
        <f aca="false">IF(OR(AZ112="",BA112=""),"",IF($F112="Maior Melhor",IF(BA112&gt;=AZ112,"Sim","Não"),IF(BA112&lt;=AZ112,"Sim","Não")))</f>
        <v>Sim</v>
      </c>
      <c r="BD112" s="3" t="n">
        <v>0.8751</v>
      </c>
      <c r="BE112" s="3" t="n">
        <v>0.8542</v>
      </c>
      <c r="BF112" s="4" t="n">
        <f aca="false">IF(OR(BD112="",BE112=""),"",IFERROR(IF($K112="%",BE112-BD112,BE112/BD112-1),""))</f>
        <v>-0.0209</v>
      </c>
      <c r="BG112" s="5" t="str">
        <f aca="false">IF(OR(BD112="",BE112=""),"",IF($F112="Maior Melhor",IF(BE112&gt;=BD112,"Sim","Não"),IF(BE112&lt;=BD112,"Sim","Não")))</f>
        <v>Não</v>
      </c>
      <c r="BH112" s="3" t="n">
        <v>0.8751</v>
      </c>
      <c r="BI112" s="3" t="n">
        <v>0.8762</v>
      </c>
      <c r="BJ112" s="4" t="n">
        <f aca="false">IF(OR(BH112="",BI112=""),"",IFERROR(IF($K112="%",BI112-BH112,BI112/BH112-1),""))</f>
        <v>0.00109999999999999</v>
      </c>
      <c r="BK112" s="5" t="str">
        <f aca="false">IF(OR(BH112="",BI112=""),"",IF($F112="Maior Melhor",IF(BI112&gt;=BH112,"Sim","Não"),IF(BI112&lt;=BH112,"Sim","Não")))</f>
        <v>Sim</v>
      </c>
      <c r="BL112" s="6"/>
      <c r="BM112" s="6"/>
      <c r="BN112" s="4" t="str">
        <f aca="false">IF(OR(BL112="",BM112=""),"",IFERROR(IF($K112="%",BM112-BL112,BM112/BL112-1),""))</f>
        <v/>
      </c>
      <c r="BO112" s="5" t="str">
        <f aca="false">IF(OR(BL112="",BM112=""),"",IF($F112="Maior Melhor",IF(BM112&gt;=BL112,"Sim","Não"),IF(BM112&lt;=BL112,"Sim","Não")))</f>
        <v/>
      </c>
      <c r="BP112" s="6"/>
      <c r="BQ112" s="6"/>
      <c r="BR112" s="4" t="str">
        <f aca="false">IF(OR(BP112="",BQ112=""),"",IFERROR(IF($K112="%",BQ112-BP112,BQ112/BP112-1),""))</f>
        <v/>
      </c>
      <c r="BS112" s="5" t="str">
        <f aca="false">IF(OR(BP112="",BQ112=""),"",IF($F112="Maior Melhor",IF(BQ112&gt;=BP112,"Sim","Não"),IF(BQ112&lt;=BP112,"Sim","Não")))</f>
        <v/>
      </c>
      <c r="BT112" s="6"/>
      <c r="BU112" s="6"/>
      <c r="BV112" s="4" t="str">
        <f aca="false">IF(OR(BT112="",BU112=""),"",IFERROR(IF($K112="%",BU112-BT112,BU112/BT112-1),""))</f>
        <v/>
      </c>
      <c r="BW112" s="5" t="str">
        <f aca="false">IF(OR(BT112="",BU112=""),"",IF($F112="Maior Melhor",IF(BU112&gt;=BT112,"Sim","Não"),IF(BU112&lt;=BT112,"Sim","Não")))</f>
        <v/>
      </c>
      <c r="BX112" s="6"/>
      <c r="BY112" s="6"/>
      <c r="BZ112" s="4" t="str">
        <f aca="false">IF(OR(BX112="",BY112=""),"",IFERROR(IF($K112="%",BY112-BX112,BY112/BX112-1),""))</f>
        <v/>
      </c>
      <c r="CA112" s="5" t="str">
        <f aca="false">IF(OR(BX112="",BY112=""),"",IF($F112="Maior Melhor",IF(BY112&gt;=BX112,"Sim","Não"),IF(BY112&lt;=BX112,"Sim","Não")))</f>
        <v/>
      </c>
      <c r="CB112" s="6"/>
      <c r="CC112" s="6"/>
      <c r="CD112" s="4" t="str">
        <f aca="false">IF(OR(CB112="",CC112=""),"",IFERROR(IF($K112="%",CC112-CB112,CC112/CB112-1),""))</f>
        <v/>
      </c>
      <c r="CE112" s="5" t="str">
        <f aca="false">IF(OR(CB112="",CC112=""),"",IF($F112="Maior Melhor",IF(CC112&gt;=CB112,"Sim","Não"),IF(CC112&lt;=CB112,"Sim","Não")))</f>
        <v/>
      </c>
      <c r="CF112" s="6"/>
      <c r="CG112" s="6"/>
      <c r="CH112" s="4" t="str">
        <f aca="false">IF(OR(CF112="",CG112=""),"",IFERROR(IF($K112="%",CG112-CF112,CG112/CF112-1),""))</f>
        <v/>
      </c>
      <c r="CI112" s="5" t="str">
        <f aca="false">IF(OR(CF112="",CG112=""),"",IF($F112="Maior Melhor",IF(CG112&gt;=CF112,"Sim","Não"),IF(CG112&lt;=CF112,"Sim","Não")))</f>
        <v/>
      </c>
      <c r="CJ112" s="6"/>
      <c r="CK112" s="6"/>
      <c r="CL112" s="4" t="str">
        <f aca="false">IF(OR(CJ112="",CK112=""),"",IFERROR(IF($K112="%",CK112-CJ112,CK112/CJ112-1),""))</f>
        <v/>
      </c>
      <c r="CM112" s="5" t="str">
        <f aca="false">IF(OR(CJ112="",CK112=""),"",IF($F112="Maior Melhor",IF(CK112&gt;=CJ112,"Sim","Não"),IF(CK112&lt;=CJ112,"Sim","Não")))</f>
        <v/>
      </c>
      <c r="CN112" s="6"/>
      <c r="CO112" s="6"/>
      <c r="CP112" s="4" t="str">
        <f aca="false">IF(OR(CN112="",CO112=""),"",IFERROR(IF($K112="%",CO112-CN112,CO112/CN112-1),""))</f>
        <v/>
      </c>
      <c r="CQ112" s="5" t="str">
        <f aca="false">IF(OR(CN112="",CO112=""),"",IF($F112="Maior Melhor",IF(CO112&gt;=CN112,"Sim","Não"),IF(CO112&lt;=CN112,"Sim","Não")))</f>
        <v/>
      </c>
      <c r="CR112" s="2" t="s">
        <v>105</v>
      </c>
    </row>
    <row r="113" customFormat="false" ht="15" hidden="false" customHeight="false" outlineLevel="0" collapsed="false">
      <c r="A113" s="2" t="s">
        <v>161</v>
      </c>
      <c r="B113" s="2" t="s">
        <v>110</v>
      </c>
      <c r="C113" s="2" t="s">
        <v>110</v>
      </c>
      <c r="D113" s="2" t="s">
        <v>162</v>
      </c>
      <c r="E113" s="2" t="str">
        <f aca="false">C113&amp;D113</f>
        <v>Sup OesteCSAT - UTDs</v>
      </c>
      <c r="F113" s="2" t="s">
        <v>100</v>
      </c>
      <c r="G113" s="2" t="s">
        <v>163</v>
      </c>
      <c r="H113" s="2" t="s">
        <v>102</v>
      </c>
      <c r="I113" s="2" t="s">
        <v>103</v>
      </c>
      <c r="J113" s="2" t="n">
        <v>3</v>
      </c>
      <c r="K113" s="2" t="s">
        <v>104</v>
      </c>
      <c r="L113" s="3" t="n">
        <v>0.87</v>
      </c>
      <c r="M113" s="3" t="n">
        <v>0.9</v>
      </c>
      <c r="N113" s="4" t="n">
        <f aca="false">IF(OR(L113="",M113=""),"",IFERROR(IF($K113="%",M113-L113,M113/L113-1),""))</f>
        <v>0.03</v>
      </c>
      <c r="O113" s="5" t="str">
        <f aca="false">IF(OR(L113="",M113=""),"",IF($F113="Maior Melhor",IF(M113&gt;=L113,"Sim","Não"),IF(M113&lt;=L113,"Sim","Não")))</f>
        <v>Sim</v>
      </c>
      <c r="P113" s="3" t="n">
        <v>0.87</v>
      </c>
      <c r="Q113" s="3" t="n">
        <v>0.9</v>
      </c>
      <c r="R113" s="4" t="n">
        <f aca="false">IF(OR(P113="",Q113=""),"",IFERROR(IF($K113="%",Q113-P113,Q113/P113-1),""))</f>
        <v>0.03</v>
      </c>
      <c r="S113" s="5" t="str">
        <f aca="false">IF(OR(P113="",Q113=""),"",IF($F113="Maior Melhor",IF(Q113&gt;=P113,"Sim","Não"),IF(Q113&lt;=P113,"Sim","Não")))</f>
        <v>Sim</v>
      </c>
      <c r="T113" s="3" t="n">
        <v>0.87</v>
      </c>
      <c r="U113" s="3" t="n">
        <v>0.91</v>
      </c>
      <c r="V113" s="4" t="n">
        <f aca="false">IF(OR(T113="",U113=""),"",IFERROR(IF($K113="%",U113-T113,U113/T113-1),""))</f>
        <v>0.04</v>
      </c>
      <c r="W113" s="5" t="str">
        <f aca="false">IF(OR(T113="",U113=""),"",IF($F113="Maior Melhor",IF(U113&gt;=T113,"Sim","Não"),IF(U113&lt;=T113,"Sim","Não")))</f>
        <v>Sim</v>
      </c>
      <c r="X113" s="3" t="n">
        <v>0.87</v>
      </c>
      <c r="Y113" s="3" t="n">
        <v>0.87</v>
      </c>
      <c r="Z113" s="4" t="n">
        <f aca="false">IF(OR(X113="",Y113=""),"",IFERROR(IF($K113="%",Y113-X113,Y113/X113-1),""))</f>
        <v>0</v>
      </c>
      <c r="AA113" s="5" t="str">
        <f aca="false">IF(OR(X113="",Y113=""),"",IF($F113="Maior Melhor",IF(Y113&gt;=X113,"Sim","Não"),IF(Y113&lt;=X113,"Sim","Não")))</f>
        <v>Sim</v>
      </c>
      <c r="AB113" s="3" t="n">
        <v>0.87</v>
      </c>
      <c r="AC113" s="3" t="n">
        <v>0.89</v>
      </c>
      <c r="AD113" s="4" t="n">
        <f aca="false">IF(OR(AB113="",AC113=""),"",IFERROR(IF($K113="%",AC113-AB113,AC113/AB113-1),""))</f>
        <v>0.02</v>
      </c>
      <c r="AE113" s="5" t="str">
        <f aca="false">IF(OR(AB113="",AC113=""),"",IF($F113="Maior Melhor",IF(AC113&gt;=AB113,"Sim","Não"),IF(AC113&lt;=AB113,"Sim","Não")))</f>
        <v>Sim</v>
      </c>
      <c r="AF113" s="3" t="n">
        <v>0.87</v>
      </c>
      <c r="AG113" s="3" t="n">
        <v>0.85</v>
      </c>
      <c r="AH113" s="4" t="n">
        <f aca="false">IF(OR(AF113="",AG113=""),"",IFERROR(IF($K113="%",AG113-AF113,AG113/AF113-1),""))</f>
        <v>-0.02</v>
      </c>
      <c r="AI113" s="5" t="str">
        <f aca="false">IF(OR(AF113="",AG113=""),"",IF($F113="Maior Melhor",IF(AG113&gt;=AF113,"Sim","Não"),IF(AG113&lt;=AF113,"Sim","Não")))</f>
        <v>Não</v>
      </c>
      <c r="AJ113" s="3" t="n">
        <v>0.87</v>
      </c>
      <c r="AK113" s="3" t="n">
        <v>0.885</v>
      </c>
      <c r="AL113" s="4" t="n">
        <f aca="false">IF(OR(AJ113="",AK113=""),"",IFERROR(IF($K113="%",AK113-AJ113,AK113/AJ113-1),""))</f>
        <v>0.015</v>
      </c>
      <c r="AM113" s="5" t="str">
        <f aca="false">IF(OR(AJ113="",AK113=""),"",IF($F113="Maior Melhor",IF(AK113&gt;=AJ113,"Sim","Não"),IF(AK113&lt;=AJ113,"Sim","Não")))</f>
        <v>Sim</v>
      </c>
      <c r="AN113" s="3" t="n">
        <v>0.87</v>
      </c>
      <c r="AO113" s="3" t="n">
        <v>0.867</v>
      </c>
      <c r="AP113" s="4" t="n">
        <f aca="false">IF(OR(AN113="",AO113=""),"",IFERROR(IF($K113="%",AO113-AN113,AO113/AN113-1),""))</f>
        <v>-0.003</v>
      </c>
      <c r="AQ113" s="5" t="str">
        <f aca="false">IF(OR(AN113="",AO113=""),"",IF($F113="Maior Melhor",IF(AO113&gt;=AN113,"Sim","Não"),IF(AO113&lt;=AN113,"Sim","Não")))</f>
        <v>Não</v>
      </c>
      <c r="AR113" s="3" t="n">
        <v>0.87</v>
      </c>
      <c r="AS113" s="3" t="n">
        <v>0.878</v>
      </c>
      <c r="AT113" s="4" t="n">
        <f aca="false">IF(OR(AR113="",AS113=""),"",IFERROR(IF($K113="%",AS113-AR113,AS113/AR113-1),""))</f>
        <v>0.00800000000000001</v>
      </c>
      <c r="AU113" s="5" t="str">
        <f aca="false">IF(OR(AR113="",AS113=""),"",IF($F113="Maior Melhor",IF(AS113&gt;=AR113,"Sim","Não"),IF(AS113&lt;=AR113,"Sim","Não")))</f>
        <v>Sim</v>
      </c>
      <c r="AV113" s="3" t="n">
        <v>0.87</v>
      </c>
      <c r="AW113" s="3" t="n">
        <v>0.866</v>
      </c>
      <c r="AX113" s="4" t="n">
        <f aca="false">IF(OR(AV113="",AW113=""),"",IFERROR(IF($K113="%",AW113-AV113,AW113/AV113-1),""))</f>
        <v>-0.004</v>
      </c>
      <c r="AY113" s="5" t="str">
        <f aca="false">IF(OR(AV113="",AW113=""),"",IF($F113="Maior Melhor",IF(AW113&gt;=AV113,"Sim","Não"),IF(AW113&lt;=AV113,"Sim","Não")))</f>
        <v>Não</v>
      </c>
      <c r="AZ113" s="3" t="n">
        <v>0.87</v>
      </c>
      <c r="BA113" s="3" t="n">
        <v>0.876</v>
      </c>
      <c r="BB113" s="4" t="n">
        <f aca="false">IF(OR(AZ113="",BA113=""),"",IFERROR(IF($K113="%",BA113-AZ113,BA113/AZ113-1),""))</f>
        <v>0.00600000000000001</v>
      </c>
      <c r="BC113" s="5" t="str">
        <f aca="false">IF(OR(AZ113="",BA113=""),"",IF($F113="Maior Melhor",IF(BA113&gt;=AZ113,"Sim","Não"),IF(BA113&lt;=AZ113,"Sim","Não")))</f>
        <v>Sim</v>
      </c>
      <c r="BD113" s="3" t="n">
        <v>0.8698</v>
      </c>
      <c r="BE113" s="3" t="n">
        <v>0.8745</v>
      </c>
      <c r="BF113" s="4" t="n">
        <f aca="false">IF(OR(BD113="",BE113=""),"",IFERROR(IF($K113="%",BE113-BD113,BE113/BD113-1),""))</f>
        <v>0.00470000000000004</v>
      </c>
      <c r="BG113" s="5" t="str">
        <f aca="false">IF(OR(BD113="",BE113=""),"",IF($F113="Maior Melhor",IF(BE113&gt;=BD113,"Sim","Não"),IF(BE113&lt;=BD113,"Sim","Não")))</f>
        <v>Sim</v>
      </c>
      <c r="BH113" s="3" t="n">
        <v>0.8698</v>
      </c>
      <c r="BI113" s="3" t="n">
        <v>0.8759</v>
      </c>
      <c r="BJ113" s="4" t="n">
        <f aca="false">IF(OR(BH113="",BI113=""),"",IFERROR(IF($K113="%",BI113-BH113,BI113/BH113-1),""))</f>
        <v>0.00609999999999999</v>
      </c>
      <c r="BK113" s="5" t="str">
        <f aca="false">IF(OR(BH113="",BI113=""),"",IF($F113="Maior Melhor",IF(BI113&gt;=BH113,"Sim","Não"),IF(BI113&lt;=BH113,"Sim","Não")))</f>
        <v>Sim</v>
      </c>
      <c r="BL113" s="6"/>
      <c r="BM113" s="6"/>
      <c r="BN113" s="4" t="str">
        <f aca="false">IF(OR(BL113="",BM113=""),"",IFERROR(IF($K113="%",BM113-BL113,BM113/BL113-1),""))</f>
        <v/>
      </c>
      <c r="BO113" s="5" t="str">
        <f aca="false">IF(OR(BL113="",BM113=""),"",IF($F113="Maior Melhor",IF(BM113&gt;=BL113,"Sim","Não"),IF(BM113&lt;=BL113,"Sim","Não")))</f>
        <v/>
      </c>
      <c r="BP113" s="6"/>
      <c r="BQ113" s="6"/>
      <c r="BR113" s="4" t="str">
        <f aca="false">IF(OR(BP113="",BQ113=""),"",IFERROR(IF($K113="%",BQ113-BP113,BQ113/BP113-1),""))</f>
        <v/>
      </c>
      <c r="BS113" s="5" t="str">
        <f aca="false">IF(OR(BP113="",BQ113=""),"",IF($F113="Maior Melhor",IF(BQ113&gt;=BP113,"Sim","Não"),IF(BQ113&lt;=BP113,"Sim","Não")))</f>
        <v/>
      </c>
      <c r="BT113" s="6"/>
      <c r="BU113" s="6"/>
      <c r="BV113" s="4" t="str">
        <f aca="false">IF(OR(BT113="",BU113=""),"",IFERROR(IF($K113="%",BU113-BT113,BU113/BT113-1),""))</f>
        <v/>
      </c>
      <c r="BW113" s="5" t="str">
        <f aca="false">IF(OR(BT113="",BU113=""),"",IF($F113="Maior Melhor",IF(BU113&gt;=BT113,"Sim","Não"),IF(BU113&lt;=BT113,"Sim","Não")))</f>
        <v/>
      </c>
      <c r="BX113" s="6"/>
      <c r="BY113" s="6"/>
      <c r="BZ113" s="4" t="str">
        <f aca="false">IF(OR(BX113="",BY113=""),"",IFERROR(IF($K113="%",BY113-BX113,BY113/BX113-1),""))</f>
        <v/>
      </c>
      <c r="CA113" s="5" t="str">
        <f aca="false">IF(OR(BX113="",BY113=""),"",IF($F113="Maior Melhor",IF(BY113&gt;=BX113,"Sim","Não"),IF(BY113&lt;=BX113,"Sim","Não")))</f>
        <v/>
      </c>
      <c r="CB113" s="6"/>
      <c r="CC113" s="6"/>
      <c r="CD113" s="4" t="str">
        <f aca="false">IF(OR(CB113="",CC113=""),"",IFERROR(IF($K113="%",CC113-CB113,CC113/CB113-1),""))</f>
        <v/>
      </c>
      <c r="CE113" s="5" t="str">
        <f aca="false">IF(OR(CB113="",CC113=""),"",IF($F113="Maior Melhor",IF(CC113&gt;=CB113,"Sim","Não"),IF(CC113&lt;=CB113,"Sim","Não")))</f>
        <v/>
      </c>
      <c r="CF113" s="6"/>
      <c r="CG113" s="6"/>
      <c r="CH113" s="4" t="str">
        <f aca="false">IF(OR(CF113="",CG113=""),"",IFERROR(IF($K113="%",CG113-CF113,CG113/CF113-1),""))</f>
        <v/>
      </c>
      <c r="CI113" s="5" t="str">
        <f aca="false">IF(OR(CF113="",CG113=""),"",IF($F113="Maior Melhor",IF(CG113&gt;=CF113,"Sim","Não"),IF(CG113&lt;=CF113,"Sim","Não")))</f>
        <v/>
      </c>
      <c r="CJ113" s="6"/>
      <c r="CK113" s="6"/>
      <c r="CL113" s="4" t="str">
        <f aca="false">IF(OR(CJ113="",CK113=""),"",IFERROR(IF($K113="%",CK113-CJ113,CK113/CJ113-1),""))</f>
        <v/>
      </c>
      <c r="CM113" s="5" t="str">
        <f aca="false">IF(OR(CJ113="",CK113=""),"",IF($F113="Maior Melhor",IF(CK113&gt;=CJ113,"Sim","Não"),IF(CK113&lt;=CJ113,"Sim","Não")))</f>
        <v/>
      </c>
      <c r="CN113" s="6"/>
      <c r="CO113" s="6"/>
      <c r="CP113" s="4" t="str">
        <f aca="false">IF(OR(CN113="",CO113=""),"",IFERROR(IF($K113="%",CO113-CN113,CO113/CN113-1),""))</f>
        <v/>
      </c>
      <c r="CQ113" s="5" t="str">
        <f aca="false">IF(OR(CN113="",CO113=""),"",IF($F113="Maior Melhor",IF(CO113&gt;=CN113,"Sim","Não"),IF(CO113&lt;=CN113,"Sim","Não")))</f>
        <v/>
      </c>
      <c r="CR113" s="2" t="s">
        <v>105</v>
      </c>
    </row>
    <row r="114" customFormat="false" ht="15" hidden="false" customHeight="false" outlineLevel="0" collapsed="false">
      <c r="A114" s="2" t="s">
        <v>161</v>
      </c>
      <c r="B114" s="2" t="s">
        <v>106</v>
      </c>
      <c r="C114" s="2" t="s">
        <v>111</v>
      </c>
      <c r="D114" s="2" t="s">
        <v>162</v>
      </c>
      <c r="E114" s="2" t="str">
        <f aca="false">C114&amp;D114</f>
        <v>UTD BARREIRASCSAT - UTDs</v>
      </c>
      <c r="F114" s="2" t="s">
        <v>100</v>
      </c>
      <c r="G114" s="2" t="s">
        <v>163</v>
      </c>
      <c r="H114" s="2" t="s">
        <v>102</v>
      </c>
      <c r="I114" s="2" t="s">
        <v>103</v>
      </c>
      <c r="J114" s="2" t="n">
        <v>3</v>
      </c>
      <c r="K114" s="2" t="s">
        <v>104</v>
      </c>
      <c r="L114" s="3" t="n">
        <v>0.87</v>
      </c>
      <c r="M114" s="3" t="n">
        <v>0.9</v>
      </c>
      <c r="N114" s="4" t="n">
        <f aca="false">IF(OR(L114="",M114=""),"",IFERROR(IF($K114="%",M114-L114,M114/L114-1),""))</f>
        <v>0.03</v>
      </c>
      <c r="O114" s="5" t="str">
        <f aca="false">IF(OR(L114="",M114=""),"",IF($F114="Maior Melhor",IF(M114&gt;=L114,"Sim","Não"),IF(M114&lt;=L114,"Sim","Não")))</f>
        <v>Sim</v>
      </c>
      <c r="P114" s="3" t="n">
        <v>0.87</v>
      </c>
      <c r="Q114" s="3" t="n">
        <v>0.85</v>
      </c>
      <c r="R114" s="4" t="n">
        <f aca="false">IF(OR(P114="",Q114=""),"",IFERROR(IF($K114="%",Q114-P114,Q114/P114-1),""))</f>
        <v>-0.02</v>
      </c>
      <c r="S114" s="5" t="str">
        <f aca="false">IF(OR(P114="",Q114=""),"",IF($F114="Maior Melhor",IF(Q114&gt;=P114,"Sim","Não"),IF(Q114&lt;=P114,"Sim","Não")))</f>
        <v>Não</v>
      </c>
      <c r="T114" s="3" t="n">
        <v>0.87</v>
      </c>
      <c r="U114" s="3" t="n">
        <v>0.91</v>
      </c>
      <c r="V114" s="4" t="n">
        <f aca="false">IF(OR(T114="",U114=""),"",IFERROR(IF($K114="%",U114-T114,U114/T114-1),""))</f>
        <v>0.04</v>
      </c>
      <c r="W114" s="5" t="str">
        <f aca="false">IF(OR(T114="",U114=""),"",IF($F114="Maior Melhor",IF(U114&gt;=T114,"Sim","Não"),IF(U114&lt;=T114,"Sim","Não")))</f>
        <v>Sim</v>
      </c>
      <c r="X114" s="3" t="n">
        <v>0.87</v>
      </c>
      <c r="Y114" s="3" t="n">
        <v>0.86</v>
      </c>
      <c r="Z114" s="4" t="n">
        <f aca="false">IF(OR(X114="",Y114=""),"",IFERROR(IF($K114="%",Y114-X114,Y114/X114-1),""))</f>
        <v>-0.01</v>
      </c>
      <c r="AA114" s="5" t="str">
        <f aca="false">IF(OR(X114="",Y114=""),"",IF($F114="Maior Melhor",IF(Y114&gt;=X114,"Sim","Não"),IF(Y114&lt;=X114,"Sim","Não")))</f>
        <v>Não</v>
      </c>
      <c r="AB114" s="3" t="n">
        <v>0.87</v>
      </c>
      <c r="AC114" s="3" t="n">
        <v>0.88</v>
      </c>
      <c r="AD114" s="4" t="n">
        <f aca="false">IF(OR(AB114="",AC114=""),"",IFERROR(IF($K114="%",AC114-AB114,AC114/AB114-1),""))</f>
        <v>0.01</v>
      </c>
      <c r="AE114" s="5" t="str">
        <f aca="false">IF(OR(AB114="",AC114=""),"",IF($F114="Maior Melhor",IF(AC114&gt;=AB114,"Sim","Não"),IF(AC114&lt;=AB114,"Sim","Não")))</f>
        <v>Sim</v>
      </c>
      <c r="AF114" s="3" t="n">
        <v>0.872</v>
      </c>
      <c r="AG114" s="3" t="n">
        <v>0.909</v>
      </c>
      <c r="AH114" s="4" t="n">
        <f aca="false">IF(OR(AF114="",AG114=""),"",IFERROR(IF($K114="%",AG114-AF114,AG114/AF114-1),""))</f>
        <v>0.037</v>
      </c>
      <c r="AI114" s="5" t="str">
        <f aca="false">IF(OR(AF114="",AG114=""),"",IF($F114="Maior Melhor",IF(AG114&gt;=AF114,"Sim","Não"),IF(AG114&lt;=AF114,"Sim","Não")))</f>
        <v>Sim</v>
      </c>
      <c r="AJ114" s="3" t="n">
        <v>0.872</v>
      </c>
      <c r="AK114" s="3" t="n">
        <v>0.888</v>
      </c>
      <c r="AL114" s="4" t="n">
        <f aca="false">IF(OR(AJ114="",AK114=""),"",IFERROR(IF($K114="%",AK114-AJ114,AK114/AJ114-1),""))</f>
        <v>0.016</v>
      </c>
      <c r="AM114" s="5" t="str">
        <f aca="false">IF(OR(AJ114="",AK114=""),"",IF($F114="Maior Melhor",IF(AK114&gt;=AJ114,"Sim","Não"),IF(AK114&lt;=AJ114,"Sim","Não")))</f>
        <v>Sim</v>
      </c>
      <c r="AN114" s="3" t="n">
        <v>0.872</v>
      </c>
      <c r="AO114" s="3" t="n">
        <v>0.85</v>
      </c>
      <c r="AP114" s="4" t="n">
        <f aca="false">IF(OR(AN114="",AO114=""),"",IFERROR(IF($K114="%",AO114-AN114,AO114/AN114-1),""))</f>
        <v>-0.022</v>
      </c>
      <c r="AQ114" s="5" t="str">
        <f aca="false">IF(OR(AN114="",AO114=""),"",IF($F114="Maior Melhor",IF(AO114&gt;=AN114,"Sim","Não"),IF(AO114&lt;=AN114,"Sim","Não")))</f>
        <v>Não</v>
      </c>
      <c r="AR114" s="3" t="n">
        <v>0.872</v>
      </c>
      <c r="AS114" s="3" t="n">
        <v>0.879</v>
      </c>
      <c r="AT114" s="4" t="n">
        <f aca="false">IF(OR(AR114="",AS114=""),"",IFERROR(IF($K114="%",AS114-AR114,AS114/AR114-1),""))</f>
        <v>0.00700000000000001</v>
      </c>
      <c r="AU114" s="5" t="str">
        <f aca="false">IF(OR(AR114="",AS114=""),"",IF($F114="Maior Melhor",IF(AS114&gt;=AR114,"Sim","Não"),IF(AS114&lt;=AR114,"Sim","Não")))</f>
        <v>Sim</v>
      </c>
      <c r="AV114" s="3" t="n">
        <v>0.872</v>
      </c>
      <c r="AW114" s="3" t="n">
        <v>0.907</v>
      </c>
      <c r="AX114" s="4" t="n">
        <f aca="false">IF(OR(AV114="",AW114=""),"",IFERROR(IF($K114="%",AW114-AV114,AW114/AV114-1),""))</f>
        <v>0.035</v>
      </c>
      <c r="AY114" s="5" t="str">
        <f aca="false">IF(OR(AV114="",AW114=""),"",IF($F114="Maior Melhor",IF(AW114&gt;=AV114,"Sim","Não"),IF(AW114&lt;=AV114,"Sim","Não")))</f>
        <v>Sim</v>
      </c>
      <c r="AZ114" s="3" t="n">
        <v>0.872</v>
      </c>
      <c r="BA114" s="3" t="n">
        <v>0.883</v>
      </c>
      <c r="BB114" s="4" t="n">
        <f aca="false">IF(OR(AZ114="",BA114=""),"",IFERROR(IF($K114="%",BA114-AZ114,BA114/AZ114-1),""))</f>
        <v>0.011</v>
      </c>
      <c r="BC114" s="5" t="str">
        <f aca="false">IF(OR(AZ114="",BA114=""),"",IF($F114="Maior Melhor",IF(BA114&gt;=AZ114,"Sim","Não"),IF(BA114&lt;=AZ114,"Sim","Não")))</f>
        <v>Sim</v>
      </c>
      <c r="BD114" s="3" t="n">
        <v>0.8718</v>
      </c>
      <c r="BE114" s="3" t="n">
        <v>0.8929</v>
      </c>
      <c r="BF114" s="4" t="n">
        <f aca="false">IF(OR(BD114="",BE114=""),"",IFERROR(IF($K114="%",BE114-BD114,BE114/BD114-1),""))</f>
        <v>0.0211</v>
      </c>
      <c r="BG114" s="5" t="str">
        <f aca="false">IF(OR(BD114="",BE114=""),"",IF($F114="Maior Melhor",IF(BE114&gt;=BD114,"Sim","Não"),IF(BE114&lt;=BD114,"Sim","Não")))</f>
        <v>Sim</v>
      </c>
      <c r="BH114" s="3" t="n">
        <v>0.8718</v>
      </c>
      <c r="BI114" s="3" t="n">
        <v>0.8844</v>
      </c>
      <c r="BJ114" s="4" t="n">
        <f aca="false">IF(OR(BH114="",BI114=""),"",IFERROR(IF($K114="%",BI114-BH114,BI114/BH114-1),""))</f>
        <v>0.0125999999999999</v>
      </c>
      <c r="BK114" s="5" t="str">
        <f aca="false">IF(OR(BH114="",BI114=""),"",IF($F114="Maior Melhor",IF(BI114&gt;=BH114,"Sim","Não"),IF(BI114&lt;=BH114,"Sim","Não")))</f>
        <v>Sim</v>
      </c>
      <c r="BL114" s="6"/>
      <c r="BM114" s="6"/>
      <c r="BN114" s="4" t="str">
        <f aca="false">IF(OR(BL114="",BM114=""),"",IFERROR(IF($K114="%",BM114-BL114,BM114/BL114-1),""))</f>
        <v/>
      </c>
      <c r="BO114" s="5" t="str">
        <f aca="false">IF(OR(BL114="",BM114=""),"",IF($F114="Maior Melhor",IF(BM114&gt;=BL114,"Sim","Não"),IF(BM114&lt;=BL114,"Sim","Não")))</f>
        <v/>
      </c>
      <c r="BP114" s="6"/>
      <c r="BQ114" s="6"/>
      <c r="BR114" s="4" t="str">
        <f aca="false">IF(OR(BP114="",BQ114=""),"",IFERROR(IF($K114="%",BQ114-BP114,BQ114/BP114-1),""))</f>
        <v/>
      </c>
      <c r="BS114" s="5" t="str">
        <f aca="false">IF(OR(BP114="",BQ114=""),"",IF($F114="Maior Melhor",IF(BQ114&gt;=BP114,"Sim","Não"),IF(BQ114&lt;=BP114,"Sim","Não")))</f>
        <v/>
      </c>
      <c r="BT114" s="6"/>
      <c r="BU114" s="6"/>
      <c r="BV114" s="4" t="str">
        <f aca="false">IF(OR(BT114="",BU114=""),"",IFERROR(IF($K114="%",BU114-BT114,BU114/BT114-1),""))</f>
        <v/>
      </c>
      <c r="BW114" s="5" t="str">
        <f aca="false">IF(OR(BT114="",BU114=""),"",IF($F114="Maior Melhor",IF(BU114&gt;=BT114,"Sim","Não"),IF(BU114&lt;=BT114,"Sim","Não")))</f>
        <v/>
      </c>
      <c r="BX114" s="6"/>
      <c r="BY114" s="6"/>
      <c r="BZ114" s="4" t="str">
        <f aca="false">IF(OR(BX114="",BY114=""),"",IFERROR(IF($K114="%",BY114-BX114,BY114/BX114-1),""))</f>
        <v/>
      </c>
      <c r="CA114" s="5" t="str">
        <f aca="false">IF(OR(BX114="",BY114=""),"",IF($F114="Maior Melhor",IF(BY114&gt;=BX114,"Sim","Não"),IF(BY114&lt;=BX114,"Sim","Não")))</f>
        <v/>
      </c>
      <c r="CB114" s="6"/>
      <c r="CC114" s="6"/>
      <c r="CD114" s="4" t="str">
        <f aca="false">IF(OR(CB114="",CC114=""),"",IFERROR(IF($K114="%",CC114-CB114,CC114/CB114-1),""))</f>
        <v/>
      </c>
      <c r="CE114" s="5" t="str">
        <f aca="false">IF(OR(CB114="",CC114=""),"",IF($F114="Maior Melhor",IF(CC114&gt;=CB114,"Sim","Não"),IF(CC114&lt;=CB114,"Sim","Não")))</f>
        <v/>
      </c>
      <c r="CF114" s="6"/>
      <c r="CG114" s="6"/>
      <c r="CH114" s="4" t="str">
        <f aca="false">IF(OR(CF114="",CG114=""),"",IFERROR(IF($K114="%",CG114-CF114,CG114/CF114-1),""))</f>
        <v/>
      </c>
      <c r="CI114" s="5" t="str">
        <f aca="false">IF(OR(CF114="",CG114=""),"",IF($F114="Maior Melhor",IF(CG114&gt;=CF114,"Sim","Não"),IF(CG114&lt;=CF114,"Sim","Não")))</f>
        <v/>
      </c>
      <c r="CJ114" s="6"/>
      <c r="CK114" s="6"/>
      <c r="CL114" s="4" t="str">
        <f aca="false">IF(OR(CJ114="",CK114=""),"",IFERROR(IF($K114="%",CK114-CJ114,CK114/CJ114-1),""))</f>
        <v/>
      </c>
      <c r="CM114" s="5" t="str">
        <f aca="false">IF(OR(CJ114="",CK114=""),"",IF($F114="Maior Melhor",IF(CK114&gt;=CJ114,"Sim","Não"),IF(CK114&lt;=CJ114,"Sim","Não")))</f>
        <v/>
      </c>
      <c r="CN114" s="6"/>
      <c r="CO114" s="6"/>
      <c r="CP114" s="4" t="str">
        <f aca="false">IF(OR(CN114="",CO114=""),"",IFERROR(IF($K114="%",CO114-CN114,CO114/CN114-1),""))</f>
        <v/>
      </c>
      <c r="CQ114" s="5" t="str">
        <f aca="false">IF(OR(CN114="",CO114=""),"",IF($F114="Maior Melhor",IF(CO114&gt;=CN114,"Sim","Não"),IF(CO114&lt;=CN114,"Sim","Não")))</f>
        <v/>
      </c>
      <c r="CR114" s="2" t="s">
        <v>105</v>
      </c>
    </row>
    <row r="115" customFormat="false" ht="15" hidden="false" customHeight="false" outlineLevel="0" collapsed="false">
      <c r="A115" s="2" t="s">
        <v>161</v>
      </c>
      <c r="B115" s="2" t="s">
        <v>106</v>
      </c>
      <c r="C115" s="2" t="s">
        <v>113</v>
      </c>
      <c r="D115" s="2" t="s">
        <v>162</v>
      </c>
      <c r="E115" s="2" t="str">
        <f aca="false">C115&amp;D115</f>
        <v>UTD BOM JESUS DA LAPACSAT - UTDs</v>
      </c>
      <c r="F115" s="2" t="s">
        <v>100</v>
      </c>
      <c r="G115" s="2" t="s">
        <v>163</v>
      </c>
      <c r="H115" s="2" t="s">
        <v>102</v>
      </c>
      <c r="I115" s="2" t="s">
        <v>103</v>
      </c>
      <c r="J115" s="2" t="n">
        <v>3</v>
      </c>
      <c r="K115" s="2" t="s">
        <v>104</v>
      </c>
      <c r="L115" s="3" t="n">
        <v>0.84</v>
      </c>
      <c r="M115" s="3" t="n">
        <v>0.86</v>
      </c>
      <c r="N115" s="4" t="n">
        <f aca="false">IF(OR(L115="",M115=""),"",IFERROR(IF($K115="%",M115-L115,M115/L115-1),""))</f>
        <v>0.02</v>
      </c>
      <c r="O115" s="5" t="str">
        <f aca="false">IF(OR(L115="",M115=""),"",IF($F115="Maior Melhor",IF(M115&gt;=L115,"Sim","Não"),IF(M115&lt;=L115,"Sim","Não")))</f>
        <v>Sim</v>
      </c>
      <c r="P115" s="3" t="n">
        <v>0.84</v>
      </c>
      <c r="Q115" s="3" t="n">
        <v>0.86</v>
      </c>
      <c r="R115" s="4" t="n">
        <f aca="false">IF(OR(P115="",Q115=""),"",IFERROR(IF($K115="%",Q115-P115,Q115/P115-1),""))</f>
        <v>0.02</v>
      </c>
      <c r="S115" s="5" t="str">
        <f aca="false">IF(OR(P115="",Q115=""),"",IF($F115="Maior Melhor",IF(Q115&gt;=P115,"Sim","Não"),IF(Q115&lt;=P115,"Sim","Não")))</f>
        <v>Sim</v>
      </c>
      <c r="T115" s="3" t="n">
        <v>0.84</v>
      </c>
      <c r="U115" s="3" t="n">
        <v>0.88</v>
      </c>
      <c r="V115" s="4" t="n">
        <f aca="false">IF(OR(T115="",U115=""),"",IFERROR(IF($K115="%",U115-T115,U115/T115-1),""))</f>
        <v>0.04</v>
      </c>
      <c r="W115" s="5" t="str">
        <f aca="false">IF(OR(T115="",U115=""),"",IF($F115="Maior Melhor",IF(U115&gt;=T115,"Sim","Não"),IF(U115&lt;=T115,"Sim","Não")))</f>
        <v>Sim</v>
      </c>
      <c r="X115" s="3" t="n">
        <v>0.84</v>
      </c>
      <c r="Y115" s="3" t="n">
        <v>0.84</v>
      </c>
      <c r="Z115" s="4" t="n">
        <f aca="false">IF(OR(X115="",Y115=""),"",IFERROR(IF($K115="%",Y115-X115,Y115/X115-1),""))</f>
        <v>0</v>
      </c>
      <c r="AA115" s="5" t="str">
        <f aca="false">IF(OR(X115="",Y115=""),"",IF($F115="Maior Melhor",IF(Y115&gt;=X115,"Sim","Não"),IF(Y115&lt;=X115,"Sim","Não")))</f>
        <v>Sim</v>
      </c>
      <c r="AB115" s="3" t="n">
        <v>0.84</v>
      </c>
      <c r="AC115" s="3" t="n">
        <v>0.86</v>
      </c>
      <c r="AD115" s="4" t="n">
        <f aca="false">IF(OR(AB115="",AC115=""),"",IFERROR(IF($K115="%",AC115-AB115,AC115/AB115-1),""))</f>
        <v>0.02</v>
      </c>
      <c r="AE115" s="5" t="str">
        <f aca="false">IF(OR(AB115="",AC115=""),"",IF($F115="Maior Melhor",IF(AC115&gt;=AB115,"Sim","Não"),IF(AC115&lt;=AB115,"Sim","Não")))</f>
        <v>Sim</v>
      </c>
      <c r="AF115" s="3" t="n">
        <v>0.841</v>
      </c>
      <c r="AG115" s="3" t="n">
        <v>0.797</v>
      </c>
      <c r="AH115" s="4" t="n">
        <f aca="false">IF(OR(AF115="",AG115=""),"",IFERROR(IF($K115="%",AG115-AF115,AG115/AF115-1),""))</f>
        <v>-0.0439999999999999</v>
      </c>
      <c r="AI115" s="5" t="str">
        <f aca="false">IF(OR(AF115="",AG115=""),"",IF($F115="Maior Melhor",IF(AG115&gt;=AF115,"Sim","Não"),IF(AG115&lt;=AF115,"Sim","Não")))</f>
        <v>Não</v>
      </c>
      <c r="AJ115" s="3" t="n">
        <v>0.841</v>
      </c>
      <c r="AK115" s="3" t="n">
        <v>0.847</v>
      </c>
      <c r="AL115" s="4" t="n">
        <f aca="false">IF(OR(AJ115="",AK115=""),"",IFERROR(IF($K115="%",AK115-AJ115,AK115/AJ115-1),""))</f>
        <v>0.00600000000000001</v>
      </c>
      <c r="AM115" s="5" t="str">
        <f aca="false">IF(OR(AJ115="",AK115=""),"",IF($F115="Maior Melhor",IF(AK115&gt;=AJ115,"Sim","Não"),IF(AK115&lt;=AJ115,"Sim","Não")))</f>
        <v>Sim</v>
      </c>
      <c r="AN115" s="3" t="n">
        <v>0.841</v>
      </c>
      <c r="AO115" s="3" t="n">
        <v>0.89</v>
      </c>
      <c r="AP115" s="4" t="n">
        <f aca="false">IF(OR(AN115="",AO115=""),"",IFERROR(IF($K115="%",AO115-AN115,AO115/AN115-1),""))</f>
        <v>0.049</v>
      </c>
      <c r="AQ115" s="5" t="str">
        <f aca="false">IF(OR(AN115="",AO115=""),"",IF($F115="Maior Melhor",IF(AO115&gt;=AN115,"Sim","Não"),IF(AO115&lt;=AN115,"Sim","Não")))</f>
        <v>Sim</v>
      </c>
      <c r="AR115" s="3" t="n">
        <v>0.841</v>
      </c>
      <c r="AS115" s="3" t="n">
        <v>0.862</v>
      </c>
      <c r="AT115" s="4" t="n">
        <f aca="false">IF(OR(AR115="",AS115=""),"",IFERROR(IF($K115="%",AS115-AR115,AS115/AR115-1),""))</f>
        <v>0.021</v>
      </c>
      <c r="AU115" s="5" t="str">
        <f aca="false">IF(OR(AR115="",AS115=""),"",IF($F115="Maior Melhor",IF(AS115&gt;=AR115,"Sim","Não"),IF(AS115&lt;=AR115,"Sim","Não")))</f>
        <v>Sim</v>
      </c>
      <c r="AV115" s="3" t="n">
        <v>0.841</v>
      </c>
      <c r="AW115" s="3" t="n">
        <v>0.883</v>
      </c>
      <c r="AX115" s="4" t="n">
        <f aca="false">IF(OR(AV115="",AW115=""),"",IFERROR(IF($K115="%",AW115-AV115,AW115/AV115-1),""))</f>
        <v>0.042</v>
      </c>
      <c r="AY115" s="5" t="str">
        <f aca="false">IF(OR(AV115="",AW115=""),"",IF($F115="Maior Melhor",IF(AW115&gt;=AV115,"Sim","Não"),IF(AW115&lt;=AV115,"Sim","Não")))</f>
        <v>Sim</v>
      </c>
      <c r="AZ115" s="3" t="n">
        <v>0.841</v>
      </c>
      <c r="BA115" s="3" t="n">
        <v>0.866</v>
      </c>
      <c r="BB115" s="4" t="n">
        <f aca="false">IF(OR(AZ115="",BA115=""),"",IFERROR(IF($K115="%",BA115-AZ115,BA115/AZ115-1),""))</f>
        <v>0.025</v>
      </c>
      <c r="BC115" s="5" t="str">
        <f aca="false">IF(OR(AZ115="",BA115=""),"",IF($F115="Maior Melhor",IF(BA115&gt;=AZ115,"Sim","Não"),IF(BA115&lt;=AZ115,"Sim","Não")))</f>
        <v>Sim</v>
      </c>
      <c r="BD115" s="3" t="n">
        <v>0.8405</v>
      </c>
      <c r="BE115" s="3" t="n">
        <v>0.8478</v>
      </c>
      <c r="BF115" s="4" t="n">
        <f aca="false">IF(OR(BD115="",BE115=""),"",IFERROR(IF($K115="%",BE115-BD115,BE115/BD115-1),""))</f>
        <v>0.00729999999999997</v>
      </c>
      <c r="BG115" s="5" t="str">
        <f aca="false">IF(OR(BD115="",BE115=""),"",IF($F115="Maior Melhor",IF(BE115&gt;=BD115,"Sim","Não"),IF(BE115&lt;=BD115,"Sim","Não")))</f>
        <v>Sim</v>
      </c>
      <c r="BH115" s="3" t="n">
        <v>0.8405</v>
      </c>
      <c r="BI115" s="3" t="n">
        <v>0.8633</v>
      </c>
      <c r="BJ115" s="4" t="n">
        <f aca="false">IF(OR(BH115="",BI115=""),"",IFERROR(IF($K115="%",BI115-BH115,BI115/BH115-1),""))</f>
        <v>0.0227999999999999</v>
      </c>
      <c r="BK115" s="5" t="str">
        <f aca="false">IF(OR(BH115="",BI115=""),"",IF($F115="Maior Melhor",IF(BI115&gt;=BH115,"Sim","Não"),IF(BI115&lt;=BH115,"Sim","Não")))</f>
        <v>Sim</v>
      </c>
      <c r="BL115" s="6"/>
      <c r="BM115" s="6"/>
      <c r="BN115" s="4" t="str">
        <f aca="false">IF(OR(BL115="",BM115=""),"",IFERROR(IF($K115="%",BM115-BL115,BM115/BL115-1),""))</f>
        <v/>
      </c>
      <c r="BO115" s="5" t="str">
        <f aca="false">IF(OR(BL115="",BM115=""),"",IF($F115="Maior Melhor",IF(BM115&gt;=BL115,"Sim","Não"),IF(BM115&lt;=BL115,"Sim","Não")))</f>
        <v/>
      </c>
      <c r="BP115" s="6"/>
      <c r="BQ115" s="6"/>
      <c r="BR115" s="4" t="str">
        <f aca="false">IF(OR(BP115="",BQ115=""),"",IFERROR(IF($K115="%",BQ115-BP115,BQ115/BP115-1),""))</f>
        <v/>
      </c>
      <c r="BS115" s="5" t="str">
        <f aca="false">IF(OR(BP115="",BQ115=""),"",IF($F115="Maior Melhor",IF(BQ115&gt;=BP115,"Sim","Não"),IF(BQ115&lt;=BP115,"Sim","Não")))</f>
        <v/>
      </c>
      <c r="BT115" s="6"/>
      <c r="BU115" s="6"/>
      <c r="BV115" s="4" t="str">
        <f aca="false">IF(OR(BT115="",BU115=""),"",IFERROR(IF($K115="%",BU115-BT115,BU115/BT115-1),""))</f>
        <v/>
      </c>
      <c r="BW115" s="5" t="str">
        <f aca="false">IF(OR(BT115="",BU115=""),"",IF($F115="Maior Melhor",IF(BU115&gt;=BT115,"Sim","Não"),IF(BU115&lt;=BT115,"Sim","Não")))</f>
        <v/>
      </c>
      <c r="BX115" s="6"/>
      <c r="BY115" s="6"/>
      <c r="BZ115" s="4" t="str">
        <f aca="false">IF(OR(BX115="",BY115=""),"",IFERROR(IF($K115="%",BY115-BX115,BY115/BX115-1),""))</f>
        <v/>
      </c>
      <c r="CA115" s="5" t="str">
        <f aca="false">IF(OR(BX115="",BY115=""),"",IF($F115="Maior Melhor",IF(BY115&gt;=BX115,"Sim","Não"),IF(BY115&lt;=BX115,"Sim","Não")))</f>
        <v/>
      </c>
      <c r="CB115" s="6"/>
      <c r="CC115" s="6"/>
      <c r="CD115" s="4" t="str">
        <f aca="false">IF(OR(CB115="",CC115=""),"",IFERROR(IF($K115="%",CC115-CB115,CC115/CB115-1),""))</f>
        <v/>
      </c>
      <c r="CE115" s="5" t="str">
        <f aca="false">IF(OR(CB115="",CC115=""),"",IF($F115="Maior Melhor",IF(CC115&gt;=CB115,"Sim","Não"),IF(CC115&lt;=CB115,"Sim","Não")))</f>
        <v/>
      </c>
      <c r="CF115" s="6"/>
      <c r="CG115" s="6"/>
      <c r="CH115" s="4" t="str">
        <f aca="false">IF(OR(CF115="",CG115=""),"",IFERROR(IF($K115="%",CG115-CF115,CG115/CF115-1),""))</f>
        <v/>
      </c>
      <c r="CI115" s="5" t="str">
        <f aca="false">IF(OR(CF115="",CG115=""),"",IF($F115="Maior Melhor",IF(CG115&gt;=CF115,"Sim","Não"),IF(CG115&lt;=CF115,"Sim","Não")))</f>
        <v/>
      </c>
      <c r="CJ115" s="6"/>
      <c r="CK115" s="6"/>
      <c r="CL115" s="4" t="str">
        <f aca="false">IF(OR(CJ115="",CK115=""),"",IFERROR(IF($K115="%",CK115-CJ115,CK115/CJ115-1),""))</f>
        <v/>
      </c>
      <c r="CM115" s="5" t="str">
        <f aca="false">IF(OR(CJ115="",CK115=""),"",IF($F115="Maior Melhor",IF(CK115&gt;=CJ115,"Sim","Não"),IF(CK115&lt;=CJ115,"Sim","Não")))</f>
        <v/>
      </c>
      <c r="CN115" s="6"/>
      <c r="CO115" s="6"/>
      <c r="CP115" s="4" t="str">
        <f aca="false">IF(OR(CN115="",CO115=""),"",IFERROR(IF($K115="%",CO115-CN115,CO115/CN115-1),""))</f>
        <v/>
      </c>
      <c r="CQ115" s="5" t="str">
        <f aca="false">IF(OR(CN115="",CO115=""),"",IF($F115="Maior Melhor",IF(CO115&gt;=CN115,"Sim","Não"),IF(CO115&lt;=CN115,"Sim","Não")))</f>
        <v/>
      </c>
      <c r="CR115" s="2" t="s">
        <v>154</v>
      </c>
    </row>
    <row r="116" customFormat="false" ht="15" hidden="false" customHeight="false" outlineLevel="0" collapsed="false">
      <c r="A116" s="2" t="s">
        <v>161</v>
      </c>
      <c r="B116" s="2" t="s">
        <v>108</v>
      </c>
      <c r="C116" s="2" t="s">
        <v>115</v>
      </c>
      <c r="D116" s="2" t="s">
        <v>162</v>
      </c>
      <c r="E116" s="2" t="str">
        <f aca="false">C116&amp;D116</f>
        <v>UTD BRUMADOCSAT - UTDs</v>
      </c>
      <c r="F116" s="2" t="s">
        <v>100</v>
      </c>
      <c r="G116" s="2" t="s">
        <v>163</v>
      </c>
      <c r="H116" s="2" t="s">
        <v>102</v>
      </c>
      <c r="I116" s="2" t="s">
        <v>103</v>
      </c>
      <c r="J116" s="2" t="n">
        <v>3</v>
      </c>
      <c r="K116" s="2" t="s">
        <v>104</v>
      </c>
      <c r="L116" s="3" t="n">
        <v>0.9</v>
      </c>
      <c r="M116" s="3" t="n">
        <v>0.88</v>
      </c>
      <c r="N116" s="4" t="n">
        <f aca="false">IF(OR(L116="",M116=""),"",IFERROR(IF($K116="%",M116-L116,M116/L116-1),""))</f>
        <v>-0.02</v>
      </c>
      <c r="O116" s="5" t="str">
        <f aca="false">IF(OR(L116="",M116=""),"",IF($F116="Maior Melhor",IF(M116&gt;=L116,"Sim","Não"),IF(M116&lt;=L116,"Sim","Não")))</f>
        <v>Não</v>
      </c>
      <c r="P116" s="3" t="n">
        <v>0.9</v>
      </c>
      <c r="Q116" s="3" t="n">
        <v>0.94</v>
      </c>
      <c r="R116" s="4" t="n">
        <f aca="false">IF(OR(P116="",Q116=""),"",IFERROR(IF($K116="%",Q116-P116,Q116/P116-1),""))</f>
        <v>0.0399999999999999</v>
      </c>
      <c r="S116" s="5" t="str">
        <f aca="false">IF(OR(P116="",Q116=""),"",IF($F116="Maior Melhor",IF(Q116&gt;=P116,"Sim","Não"),IF(Q116&lt;=P116,"Sim","Não")))</f>
        <v>Sim</v>
      </c>
      <c r="T116" s="3" t="n">
        <v>0.9</v>
      </c>
      <c r="U116" s="3" t="n">
        <v>0.93</v>
      </c>
      <c r="V116" s="4" t="n">
        <f aca="false">IF(OR(T116="",U116=""),"",IFERROR(IF($K116="%",U116-T116,U116/T116-1),""))</f>
        <v>0.03</v>
      </c>
      <c r="W116" s="5" t="str">
        <f aca="false">IF(OR(T116="",U116=""),"",IF($F116="Maior Melhor",IF(U116&gt;=T116,"Sim","Não"),IF(U116&lt;=T116,"Sim","Não")))</f>
        <v>Sim</v>
      </c>
      <c r="X116" s="3" t="n">
        <v>0.9</v>
      </c>
      <c r="Y116" s="3" t="n">
        <v>0.88</v>
      </c>
      <c r="Z116" s="4" t="n">
        <f aca="false">IF(OR(X116="",Y116=""),"",IFERROR(IF($K116="%",Y116-X116,Y116/X116-1),""))</f>
        <v>-0.02</v>
      </c>
      <c r="AA116" s="5" t="str">
        <f aca="false">IF(OR(X116="",Y116=""),"",IF($F116="Maior Melhor",IF(Y116&gt;=X116,"Sim","Não"),IF(Y116&lt;=X116,"Sim","Não")))</f>
        <v>Não</v>
      </c>
      <c r="AB116" s="3" t="n">
        <v>0.9</v>
      </c>
      <c r="AC116" s="3" t="n">
        <v>0.91</v>
      </c>
      <c r="AD116" s="4" t="n">
        <f aca="false">IF(OR(AB116="",AC116=""),"",IFERROR(IF($K116="%",AC116-AB116,AC116/AB116-1),""))</f>
        <v>0.01</v>
      </c>
      <c r="AE116" s="5" t="str">
        <f aca="false">IF(OR(AB116="",AC116=""),"",IF($F116="Maior Melhor",IF(AC116&gt;=AB116,"Sim","Não"),IF(AC116&lt;=AB116,"Sim","Não")))</f>
        <v>Sim</v>
      </c>
      <c r="AF116" s="3" t="n">
        <v>0.9</v>
      </c>
      <c r="AG116" s="3" t="n">
        <v>0.855</v>
      </c>
      <c r="AH116" s="4" t="n">
        <f aca="false">IF(OR(AF116="",AG116=""),"",IFERROR(IF($K116="%",AG116-AF116,AG116/AF116-1),""))</f>
        <v>-0.045</v>
      </c>
      <c r="AI116" s="5" t="str">
        <f aca="false">IF(OR(AF116="",AG116=""),"",IF($F116="Maior Melhor",IF(AG116&gt;=AF116,"Sim","Não"),IF(AG116&lt;=AF116,"Sim","Não")))</f>
        <v>Não</v>
      </c>
      <c r="AJ116" s="3" t="n">
        <v>0.9</v>
      </c>
      <c r="AK116" s="3" t="n">
        <v>0.9</v>
      </c>
      <c r="AL116" s="4" t="n">
        <f aca="false">IF(OR(AJ116="",AK116=""),"",IFERROR(IF($K116="%",AK116-AJ116,AK116/AJ116-1),""))</f>
        <v>0</v>
      </c>
      <c r="AM116" s="5" t="str">
        <f aca="false">IF(OR(AJ116="",AK116=""),"",IF($F116="Maior Melhor",IF(AK116&gt;=AJ116,"Sim","Não"),IF(AK116&lt;=AJ116,"Sim","Não")))</f>
        <v>Sim</v>
      </c>
      <c r="AN116" s="3" t="n">
        <v>0.9</v>
      </c>
      <c r="AO116" s="3" t="n">
        <v>0.901</v>
      </c>
      <c r="AP116" s="4" t="n">
        <f aca="false">IF(OR(AN116="",AO116=""),"",IFERROR(IF($K116="%",AO116-AN116,AO116/AN116-1),""))</f>
        <v>0.001</v>
      </c>
      <c r="AQ116" s="5" t="str">
        <f aca="false">IF(OR(AN116="",AO116=""),"",IF($F116="Maior Melhor",IF(AO116&gt;=AN116,"Sim","Não"),IF(AO116&lt;=AN116,"Sim","Não")))</f>
        <v>Sim</v>
      </c>
      <c r="AR116" s="3" t="n">
        <v>0.9</v>
      </c>
      <c r="AS116" s="3" t="n">
        <v>0.9</v>
      </c>
      <c r="AT116" s="4" t="n">
        <f aca="false">IF(OR(AR116="",AS116=""),"",IFERROR(IF($K116="%",AS116-AR116,AS116/AR116-1),""))</f>
        <v>0</v>
      </c>
      <c r="AU116" s="5" t="str">
        <f aca="false">IF(OR(AR116="",AS116=""),"",IF($F116="Maior Melhor",IF(AS116&gt;=AR116,"Sim","Não"),IF(AS116&lt;=AR116,"Sim","Não")))</f>
        <v>Sim</v>
      </c>
      <c r="AV116" s="3" t="n">
        <v>0.9</v>
      </c>
      <c r="AW116" s="3" t="n">
        <v>0.897</v>
      </c>
      <c r="AX116" s="4" t="n">
        <f aca="false">IF(OR(AV116="",AW116=""),"",IFERROR(IF($K116="%",AW116-AV116,AW116/AV116-1),""))</f>
        <v>-0.003</v>
      </c>
      <c r="AY116" s="5" t="str">
        <f aca="false">IF(OR(AV116="",AW116=""),"",IF($F116="Maior Melhor",IF(AW116&gt;=AV116,"Sim","Não"),IF(AW116&lt;=AV116,"Sim","Não")))</f>
        <v>Não</v>
      </c>
      <c r="AZ116" s="3" t="n">
        <v>0.9</v>
      </c>
      <c r="BA116" s="3" t="n">
        <v>0.899</v>
      </c>
      <c r="BB116" s="4" t="n">
        <f aca="false">IF(OR(AZ116="",BA116=""),"",IFERROR(IF($K116="%",BA116-AZ116,BA116/AZ116-1),""))</f>
        <v>-0.001</v>
      </c>
      <c r="BC116" s="5" t="str">
        <f aca="false">IF(OR(AZ116="",BA116=""),"",IF($F116="Maior Melhor",IF(BA116&gt;=AZ116,"Sim","Não"),IF(BA116&lt;=AZ116,"Sim","Não")))</f>
        <v>Não</v>
      </c>
      <c r="BD116" s="3" t="n">
        <v>0.9003</v>
      </c>
      <c r="BE116" s="3" t="n">
        <v>0.8881</v>
      </c>
      <c r="BF116" s="4" t="n">
        <f aca="false">IF(OR(BD116="",BE116=""),"",IFERROR(IF($K116="%",BE116-BD116,BE116/BD116-1),""))</f>
        <v>-0.0122</v>
      </c>
      <c r="BG116" s="5" t="str">
        <f aca="false">IF(OR(BD116="",BE116=""),"",IF($F116="Maior Melhor",IF(BE116&gt;=BD116,"Sim","Não"),IF(BE116&lt;=BD116,"Sim","Não")))</f>
        <v>Não</v>
      </c>
      <c r="BH116" s="3" t="n">
        <v>0.9003</v>
      </c>
      <c r="BI116" s="3" t="n">
        <v>0.8977</v>
      </c>
      <c r="BJ116" s="4" t="n">
        <f aca="false">IF(OR(BH116="",BI116=""),"",IFERROR(IF($K116="%",BI116-BH116,BI116/BH116-1),""))</f>
        <v>-0.00259999999999994</v>
      </c>
      <c r="BK116" s="5" t="str">
        <f aca="false">IF(OR(BH116="",BI116=""),"",IF($F116="Maior Melhor",IF(BI116&gt;=BH116,"Sim","Não"),IF(BI116&lt;=BH116,"Sim","Não")))</f>
        <v>Não</v>
      </c>
      <c r="BL116" s="6"/>
      <c r="BM116" s="6"/>
      <c r="BN116" s="4" t="str">
        <f aca="false">IF(OR(BL116="",BM116=""),"",IFERROR(IF($K116="%",BM116-BL116,BM116/BL116-1),""))</f>
        <v/>
      </c>
      <c r="BO116" s="5" t="str">
        <f aca="false">IF(OR(BL116="",BM116=""),"",IF($F116="Maior Melhor",IF(BM116&gt;=BL116,"Sim","Não"),IF(BM116&lt;=BL116,"Sim","Não")))</f>
        <v/>
      </c>
      <c r="BP116" s="6"/>
      <c r="BQ116" s="6"/>
      <c r="BR116" s="4" t="str">
        <f aca="false">IF(OR(BP116="",BQ116=""),"",IFERROR(IF($K116="%",BQ116-BP116,BQ116/BP116-1),""))</f>
        <v/>
      </c>
      <c r="BS116" s="5" t="str">
        <f aca="false">IF(OR(BP116="",BQ116=""),"",IF($F116="Maior Melhor",IF(BQ116&gt;=BP116,"Sim","Não"),IF(BQ116&lt;=BP116,"Sim","Não")))</f>
        <v/>
      </c>
      <c r="BT116" s="6"/>
      <c r="BU116" s="6"/>
      <c r="BV116" s="4" t="str">
        <f aca="false">IF(OR(BT116="",BU116=""),"",IFERROR(IF($K116="%",BU116-BT116,BU116/BT116-1),""))</f>
        <v/>
      </c>
      <c r="BW116" s="5" t="str">
        <f aca="false">IF(OR(BT116="",BU116=""),"",IF($F116="Maior Melhor",IF(BU116&gt;=BT116,"Sim","Não"),IF(BU116&lt;=BT116,"Sim","Não")))</f>
        <v/>
      </c>
      <c r="BX116" s="6"/>
      <c r="BY116" s="6"/>
      <c r="BZ116" s="4" t="str">
        <f aca="false">IF(OR(BX116="",BY116=""),"",IFERROR(IF($K116="%",BY116-BX116,BY116/BX116-1),""))</f>
        <v/>
      </c>
      <c r="CA116" s="5" t="str">
        <f aca="false">IF(OR(BX116="",BY116=""),"",IF($F116="Maior Melhor",IF(BY116&gt;=BX116,"Sim","Não"),IF(BY116&lt;=BX116,"Sim","Não")))</f>
        <v/>
      </c>
      <c r="CB116" s="6"/>
      <c r="CC116" s="6"/>
      <c r="CD116" s="4" t="str">
        <f aca="false">IF(OR(CB116="",CC116=""),"",IFERROR(IF($K116="%",CC116-CB116,CC116/CB116-1),""))</f>
        <v/>
      </c>
      <c r="CE116" s="5" t="str">
        <f aca="false">IF(OR(CB116="",CC116=""),"",IF($F116="Maior Melhor",IF(CC116&gt;=CB116,"Sim","Não"),IF(CC116&lt;=CB116,"Sim","Não")))</f>
        <v/>
      </c>
      <c r="CF116" s="6"/>
      <c r="CG116" s="6"/>
      <c r="CH116" s="4" t="str">
        <f aca="false">IF(OR(CF116="",CG116=""),"",IFERROR(IF($K116="%",CG116-CF116,CG116/CF116-1),""))</f>
        <v/>
      </c>
      <c r="CI116" s="5" t="str">
        <f aca="false">IF(OR(CF116="",CG116=""),"",IF($F116="Maior Melhor",IF(CG116&gt;=CF116,"Sim","Não"),IF(CG116&lt;=CF116,"Sim","Não")))</f>
        <v/>
      </c>
      <c r="CJ116" s="6"/>
      <c r="CK116" s="6"/>
      <c r="CL116" s="4" t="str">
        <f aca="false">IF(OR(CJ116="",CK116=""),"",IFERROR(IF($K116="%",CK116-CJ116,CK116/CJ116-1),""))</f>
        <v/>
      </c>
      <c r="CM116" s="5" t="str">
        <f aca="false">IF(OR(CJ116="",CK116=""),"",IF($F116="Maior Melhor",IF(CK116&gt;=CJ116,"Sim","Não"),IF(CK116&lt;=CJ116,"Sim","Não")))</f>
        <v/>
      </c>
      <c r="CN116" s="6"/>
      <c r="CO116" s="6"/>
      <c r="CP116" s="4" t="str">
        <f aca="false">IF(OR(CN116="",CO116=""),"",IFERROR(IF($K116="%",CO116-CN116,CO116/CN116-1),""))</f>
        <v/>
      </c>
      <c r="CQ116" s="5" t="str">
        <f aca="false">IF(OR(CN116="",CO116=""),"",IF($F116="Maior Melhor",IF(CO116&gt;=CN116,"Sim","Não"),IF(CO116&lt;=CN116,"Sim","Não")))</f>
        <v/>
      </c>
      <c r="CR116" s="2" t="s">
        <v>105</v>
      </c>
    </row>
    <row r="117" customFormat="false" ht="15" hidden="false" customHeight="false" outlineLevel="0" collapsed="false">
      <c r="A117" s="2" t="s">
        <v>161</v>
      </c>
      <c r="B117" s="2" t="s">
        <v>108</v>
      </c>
      <c r="C117" s="2" t="s">
        <v>117</v>
      </c>
      <c r="D117" s="2" t="s">
        <v>162</v>
      </c>
      <c r="E117" s="2" t="str">
        <f aca="false">C117&amp;D117</f>
        <v>UTD GUANAMBICSAT - UTDs</v>
      </c>
      <c r="F117" s="2" t="s">
        <v>100</v>
      </c>
      <c r="G117" s="2" t="s">
        <v>163</v>
      </c>
      <c r="H117" s="2" t="s">
        <v>102</v>
      </c>
      <c r="I117" s="2" t="s">
        <v>103</v>
      </c>
      <c r="J117" s="2" t="n">
        <v>3</v>
      </c>
      <c r="K117" s="2" t="s">
        <v>104</v>
      </c>
      <c r="L117" s="3" t="n">
        <v>0.86</v>
      </c>
      <c r="M117" s="3" t="n">
        <v>0.91</v>
      </c>
      <c r="N117" s="4" t="n">
        <f aca="false">IF(OR(L117="",M117=""),"",IFERROR(IF($K117="%",M117-L117,M117/L117-1),""))</f>
        <v>0.05</v>
      </c>
      <c r="O117" s="5" t="str">
        <f aca="false">IF(OR(L117="",M117=""),"",IF($F117="Maior Melhor",IF(M117&gt;=L117,"Sim","Não"),IF(M117&lt;=L117,"Sim","Não")))</f>
        <v>Sim</v>
      </c>
      <c r="P117" s="3" t="n">
        <v>0.86</v>
      </c>
      <c r="Q117" s="3" t="n">
        <v>0.94</v>
      </c>
      <c r="R117" s="4" t="n">
        <f aca="false">IF(OR(P117="",Q117=""),"",IFERROR(IF($K117="%",Q117-P117,Q117/P117-1),""))</f>
        <v>0.08</v>
      </c>
      <c r="S117" s="5" t="str">
        <f aca="false">IF(OR(P117="",Q117=""),"",IF($F117="Maior Melhor",IF(Q117&gt;=P117,"Sim","Não"),IF(Q117&lt;=P117,"Sim","Não")))</f>
        <v>Sim</v>
      </c>
      <c r="T117" s="3" t="n">
        <v>0.86</v>
      </c>
      <c r="U117" s="3" t="n">
        <v>0.95</v>
      </c>
      <c r="V117" s="4" t="n">
        <f aca="false">IF(OR(T117="",U117=""),"",IFERROR(IF($K117="%",U117-T117,U117/T117-1),""))</f>
        <v>0.09</v>
      </c>
      <c r="W117" s="5" t="str">
        <f aca="false">IF(OR(T117="",U117=""),"",IF($F117="Maior Melhor",IF(U117&gt;=T117,"Sim","Não"),IF(U117&lt;=T117,"Sim","Não")))</f>
        <v>Sim</v>
      </c>
      <c r="X117" s="3" t="n">
        <v>0.86</v>
      </c>
      <c r="Y117" s="3" t="n">
        <v>0.85</v>
      </c>
      <c r="Z117" s="4" t="n">
        <f aca="false">IF(OR(X117="",Y117=""),"",IFERROR(IF($K117="%",Y117-X117,Y117/X117-1),""))</f>
        <v>-0.01</v>
      </c>
      <c r="AA117" s="5" t="str">
        <f aca="false">IF(OR(X117="",Y117=""),"",IF($F117="Maior Melhor",IF(Y117&gt;=X117,"Sim","Não"),IF(Y117&lt;=X117,"Sim","Não")))</f>
        <v>Não</v>
      </c>
      <c r="AB117" s="3" t="n">
        <v>0.86</v>
      </c>
      <c r="AC117" s="3" t="n">
        <v>0.91</v>
      </c>
      <c r="AD117" s="4" t="n">
        <f aca="false">IF(OR(AB117="",AC117=""),"",IFERROR(IF($K117="%",AC117-AB117,AC117/AB117-1),""))</f>
        <v>0.05</v>
      </c>
      <c r="AE117" s="5" t="str">
        <f aca="false">IF(OR(AB117="",AC117=""),"",IF($F117="Maior Melhor",IF(AC117&gt;=AB117,"Sim","Não"),IF(AC117&lt;=AB117,"Sim","Não")))</f>
        <v>Sim</v>
      </c>
      <c r="AF117" s="3" t="n">
        <v>0.863</v>
      </c>
      <c r="AG117" s="3" t="n">
        <v>0.859</v>
      </c>
      <c r="AH117" s="4" t="n">
        <f aca="false">IF(OR(AF117="",AG117=""),"",IFERROR(IF($K117="%",AG117-AF117,AG117/AF117-1),""))</f>
        <v>-0.004</v>
      </c>
      <c r="AI117" s="5" t="str">
        <f aca="false">IF(OR(AF117="",AG117=""),"",IF($F117="Maior Melhor",IF(AG117&gt;=AF117,"Sim","Não"),IF(AG117&lt;=AF117,"Sim","Não")))</f>
        <v>Não</v>
      </c>
      <c r="AJ117" s="3" t="n">
        <v>0.863</v>
      </c>
      <c r="AK117" s="3" t="n">
        <v>0.902</v>
      </c>
      <c r="AL117" s="4" t="n">
        <f aca="false">IF(OR(AJ117="",AK117=""),"",IFERROR(IF($K117="%",AK117-AJ117,AK117/AJ117-1),""))</f>
        <v>0.039</v>
      </c>
      <c r="AM117" s="5" t="str">
        <f aca="false">IF(OR(AJ117="",AK117=""),"",IF($F117="Maior Melhor",IF(AK117&gt;=AJ117,"Sim","Não"),IF(AK117&lt;=AJ117,"Sim","Não")))</f>
        <v>Sim</v>
      </c>
      <c r="AN117" s="3" t="n">
        <v>0.863</v>
      </c>
      <c r="AO117" s="3" t="n">
        <v>0.881</v>
      </c>
      <c r="AP117" s="4" t="n">
        <f aca="false">IF(OR(AN117="",AO117=""),"",IFERROR(IF($K117="%",AO117-AN117,AO117/AN117-1),""))</f>
        <v>0.018</v>
      </c>
      <c r="AQ117" s="5" t="str">
        <f aca="false">IF(OR(AN117="",AO117=""),"",IF($F117="Maior Melhor",IF(AO117&gt;=AN117,"Sim","Não"),IF(AO117&lt;=AN117,"Sim","Não")))</f>
        <v>Sim</v>
      </c>
      <c r="AR117" s="3" t="n">
        <v>0.863</v>
      </c>
      <c r="AS117" s="3" t="n">
        <v>0.895</v>
      </c>
      <c r="AT117" s="4" t="n">
        <f aca="false">IF(OR(AR117="",AS117=""),"",IFERROR(IF($K117="%",AS117-AR117,AS117/AR117-1),""))</f>
        <v>0.032</v>
      </c>
      <c r="AU117" s="5" t="str">
        <f aca="false">IF(OR(AR117="",AS117=""),"",IF($F117="Maior Melhor",IF(AS117&gt;=AR117,"Sim","Não"),IF(AS117&lt;=AR117,"Sim","Não")))</f>
        <v>Sim</v>
      </c>
      <c r="AV117" s="3" t="n">
        <v>0.863</v>
      </c>
      <c r="AW117" s="3" t="n">
        <v>0.854</v>
      </c>
      <c r="AX117" s="4" t="n">
        <f aca="false">IF(OR(AV117="",AW117=""),"",IFERROR(IF($K117="%",AW117-AV117,AW117/AV117-1),""))</f>
        <v>-0.00900000000000001</v>
      </c>
      <c r="AY117" s="5" t="str">
        <f aca="false">IF(OR(AV117="",AW117=""),"",IF($F117="Maior Melhor",IF(AW117&gt;=AV117,"Sim","Não"),IF(AW117&lt;=AV117,"Sim","Não")))</f>
        <v>Não</v>
      </c>
      <c r="AZ117" s="3" t="n">
        <v>0.863</v>
      </c>
      <c r="BA117" s="3" t="n">
        <v>0.889</v>
      </c>
      <c r="BB117" s="4" t="n">
        <f aca="false">IF(OR(AZ117="",BA117=""),"",IFERROR(IF($K117="%",BA117-AZ117,BA117/AZ117-1),""))</f>
        <v>0.026</v>
      </c>
      <c r="BC117" s="5" t="str">
        <f aca="false">IF(OR(AZ117="",BA117=""),"",IF($F117="Maior Melhor",IF(BA117&gt;=AZ117,"Sim","Não"),IF(BA117&lt;=AZ117,"Sim","Não")))</f>
        <v>Sim</v>
      </c>
      <c r="BD117" s="3" t="n">
        <v>0.863</v>
      </c>
      <c r="BE117" s="3" t="n">
        <v>0.85</v>
      </c>
      <c r="BF117" s="4" t="n">
        <f aca="false">IF(OR(BD117="",BE117=""),"",IFERROR(IF($K117="%",BE117-BD117,BE117/BD117-1),""))</f>
        <v>-0.013</v>
      </c>
      <c r="BG117" s="5" t="str">
        <f aca="false">IF(OR(BD117="",BE117=""),"",IF($F117="Maior Melhor",IF(BE117&gt;=BD117,"Sim","Não"),IF(BE117&lt;=BD117,"Sim","Não")))</f>
        <v>Não</v>
      </c>
      <c r="BH117" s="3" t="n">
        <v>0.863</v>
      </c>
      <c r="BI117" s="3" t="n">
        <v>0.8845</v>
      </c>
      <c r="BJ117" s="4" t="n">
        <f aca="false">IF(OR(BH117="",BI117=""),"",IFERROR(IF($K117="%",BI117-BH117,BI117/BH117-1),""))</f>
        <v>0.0215</v>
      </c>
      <c r="BK117" s="5" t="str">
        <f aca="false">IF(OR(BH117="",BI117=""),"",IF($F117="Maior Melhor",IF(BI117&gt;=BH117,"Sim","Não"),IF(BI117&lt;=BH117,"Sim","Não")))</f>
        <v>Sim</v>
      </c>
      <c r="BL117" s="6"/>
      <c r="BM117" s="6"/>
      <c r="BN117" s="4" t="str">
        <f aca="false">IF(OR(BL117="",BM117=""),"",IFERROR(IF($K117="%",BM117-BL117,BM117/BL117-1),""))</f>
        <v/>
      </c>
      <c r="BO117" s="5" t="str">
        <f aca="false">IF(OR(BL117="",BM117=""),"",IF($F117="Maior Melhor",IF(BM117&gt;=BL117,"Sim","Não"),IF(BM117&lt;=BL117,"Sim","Não")))</f>
        <v/>
      </c>
      <c r="BP117" s="6"/>
      <c r="BQ117" s="6"/>
      <c r="BR117" s="4" t="str">
        <f aca="false">IF(OR(BP117="",BQ117=""),"",IFERROR(IF($K117="%",BQ117-BP117,BQ117/BP117-1),""))</f>
        <v/>
      </c>
      <c r="BS117" s="5" t="str">
        <f aca="false">IF(OR(BP117="",BQ117=""),"",IF($F117="Maior Melhor",IF(BQ117&gt;=BP117,"Sim","Não"),IF(BQ117&lt;=BP117,"Sim","Não")))</f>
        <v/>
      </c>
      <c r="BT117" s="6"/>
      <c r="BU117" s="6"/>
      <c r="BV117" s="4" t="str">
        <f aca="false">IF(OR(BT117="",BU117=""),"",IFERROR(IF($K117="%",BU117-BT117,BU117/BT117-1),""))</f>
        <v/>
      </c>
      <c r="BW117" s="5" t="str">
        <f aca="false">IF(OR(BT117="",BU117=""),"",IF($F117="Maior Melhor",IF(BU117&gt;=BT117,"Sim","Não"),IF(BU117&lt;=BT117,"Sim","Não")))</f>
        <v/>
      </c>
      <c r="BX117" s="6"/>
      <c r="BY117" s="6"/>
      <c r="BZ117" s="4" t="str">
        <f aca="false">IF(OR(BX117="",BY117=""),"",IFERROR(IF($K117="%",BY117-BX117,BY117/BX117-1),""))</f>
        <v/>
      </c>
      <c r="CA117" s="5" t="str">
        <f aca="false">IF(OR(BX117="",BY117=""),"",IF($F117="Maior Melhor",IF(BY117&gt;=BX117,"Sim","Não"),IF(BY117&lt;=BX117,"Sim","Não")))</f>
        <v/>
      </c>
      <c r="CB117" s="6"/>
      <c r="CC117" s="6"/>
      <c r="CD117" s="4" t="str">
        <f aca="false">IF(OR(CB117="",CC117=""),"",IFERROR(IF($K117="%",CC117-CB117,CC117/CB117-1),""))</f>
        <v/>
      </c>
      <c r="CE117" s="5" t="str">
        <f aca="false">IF(OR(CB117="",CC117=""),"",IF($F117="Maior Melhor",IF(CC117&gt;=CB117,"Sim","Não"),IF(CC117&lt;=CB117,"Sim","Não")))</f>
        <v/>
      </c>
      <c r="CF117" s="6"/>
      <c r="CG117" s="6"/>
      <c r="CH117" s="4" t="str">
        <f aca="false">IF(OR(CF117="",CG117=""),"",IFERROR(IF($K117="%",CG117-CF117,CG117/CF117-1),""))</f>
        <v/>
      </c>
      <c r="CI117" s="5" t="str">
        <f aca="false">IF(OR(CF117="",CG117=""),"",IF($F117="Maior Melhor",IF(CG117&gt;=CF117,"Sim","Não"),IF(CG117&lt;=CF117,"Sim","Não")))</f>
        <v/>
      </c>
      <c r="CJ117" s="6"/>
      <c r="CK117" s="6"/>
      <c r="CL117" s="4" t="str">
        <f aca="false">IF(OR(CJ117="",CK117=""),"",IFERROR(IF($K117="%",CK117-CJ117,CK117/CJ117-1),""))</f>
        <v/>
      </c>
      <c r="CM117" s="5" t="str">
        <f aca="false">IF(OR(CJ117="",CK117=""),"",IF($F117="Maior Melhor",IF(CK117&gt;=CJ117,"Sim","Não"),IF(CK117&lt;=CJ117,"Sim","Não")))</f>
        <v/>
      </c>
      <c r="CN117" s="6"/>
      <c r="CO117" s="6"/>
      <c r="CP117" s="4" t="str">
        <f aca="false">IF(OR(CN117="",CO117=""),"",IFERROR(IF($K117="%",CO117-CN117,CO117/CN117-1),""))</f>
        <v/>
      </c>
      <c r="CQ117" s="5" t="str">
        <f aca="false">IF(OR(CN117="",CO117=""),"",IF($F117="Maior Melhor",IF(CO117&gt;=CN117,"Sim","Não"),IF(CO117&lt;=CN117,"Sim","Não")))</f>
        <v/>
      </c>
      <c r="CR117" s="2" t="s">
        <v>105</v>
      </c>
    </row>
    <row r="118" customFormat="false" ht="15" hidden="false" customHeight="false" outlineLevel="0" collapsed="false">
      <c r="A118" s="2" t="s">
        <v>161</v>
      </c>
      <c r="B118" s="2" t="s">
        <v>106</v>
      </c>
      <c r="C118" s="2" t="s">
        <v>118</v>
      </c>
      <c r="D118" s="2" t="s">
        <v>162</v>
      </c>
      <c r="E118" s="2" t="str">
        <f aca="false">C118&amp;D118</f>
        <v>UTD IBOTIRAMACSAT - UTDs</v>
      </c>
      <c r="F118" s="2" t="s">
        <v>100</v>
      </c>
      <c r="G118" s="2" t="s">
        <v>163</v>
      </c>
      <c r="H118" s="2" t="s">
        <v>119</v>
      </c>
      <c r="I118" s="2" t="s">
        <v>103</v>
      </c>
      <c r="J118" s="2" t="n">
        <v>3</v>
      </c>
      <c r="K118" s="2" t="s">
        <v>104</v>
      </c>
      <c r="L118" s="3" t="n">
        <v>0.87</v>
      </c>
      <c r="M118" s="3" t="n">
        <v>0.95</v>
      </c>
      <c r="N118" s="4" t="n">
        <f aca="false">IF(OR(L118="",M118=""),"",IFERROR(IF($K118="%",M118-L118,M118/L118-1),""))</f>
        <v>0.08</v>
      </c>
      <c r="O118" s="5" t="str">
        <f aca="false">IF(OR(L118="",M118=""),"",IF($F118="Maior Melhor",IF(M118&gt;=L118,"Sim","Não"),IF(M118&lt;=L118,"Sim","Não")))</f>
        <v>Sim</v>
      </c>
      <c r="P118" s="3" t="n">
        <v>0.87</v>
      </c>
      <c r="Q118" s="3" t="n">
        <v>0.88</v>
      </c>
      <c r="R118" s="4" t="n">
        <f aca="false">IF(OR(P118="",Q118=""),"",IFERROR(IF($K118="%",Q118-P118,Q118/P118-1),""))</f>
        <v>0.01</v>
      </c>
      <c r="S118" s="5" t="str">
        <f aca="false">IF(OR(P118="",Q118=""),"",IF($F118="Maior Melhor",IF(Q118&gt;=P118,"Sim","Não"),IF(Q118&lt;=P118,"Sim","Não")))</f>
        <v>Sim</v>
      </c>
      <c r="T118" s="3" t="n">
        <v>0.87</v>
      </c>
      <c r="U118" s="3" t="n">
        <v>0.88</v>
      </c>
      <c r="V118" s="4" t="n">
        <f aca="false">IF(OR(T118="",U118=""),"",IFERROR(IF($K118="%",U118-T118,U118/T118-1),""))</f>
        <v>0.01</v>
      </c>
      <c r="W118" s="5" t="str">
        <f aca="false">IF(OR(T118="",U118=""),"",IF($F118="Maior Melhor",IF(U118&gt;=T118,"Sim","Não"),IF(U118&lt;=T118,"Sim","Não")))</f>
        <v>Sim</v>
      </c>
      <c r="X118" s="3" t="n">
        <v>0.87</v>
      </c>
      <c r="Y118" s="3" t="n">
        <v>0.86</v>
      </c>
      <c r="Z118" s="4" t="n">
        <f aca="false">IF(OR(X118="",Y118=""),"",IFERROR(IF($K118="%",Y118-X118,Y118/X118-1),""))</f>
        <v>-0.01</v>
      </c>
      <c r="AA118" s="5" t="str">
        <f aca="false">IF(OR(X118="",Y118=""),"",IF($F118="Maior Melhor",IF(Y118&gt;=X118,"Sim","Não"),IF(Y118&lt;=X118,"Sim","Não")))</f>
        <v>Não</v>
      </c>
      <c r="AB118" s="3" t="n">
        <v>0.87</v>
      </c>
      <c r="AC118" s="3" t="n">
        <v>0.89</v>
      </c>
      <c r="AD118" s="4" t="n">
        <f aca="false">IF(OR(AB118="",AC118=""),"",IFERROR(IF($K118="%",AC118-AB118,AC118/AB118-1),""))</f>
        <v>0.02</v>
      </c>
      <c r="AE118" s="5" t="str">
        <f aca="false">IF(OR(AB118="",AC118=""),"",IF($F118="Maior Melhor",IF(AC118&gt;=AB118,"Sim","Não"),IF(AC118&lt;=AB118,"Sim","Não")))</f>
        <v>Sim</v>
      </c>
      <c r="AF118" s="3" t="n">
        <v>0.873</v>
      </c>
      <c r="AG118" s="3" t="n">
        <v>0.821</v>
      </c>
      <c r="AH118" s="4" t="n">
        <f aca="false">IF(OR(AF118="",AG118=""),"",IFERROR(IF($K118="%",AG118-AF118,AG118/AF118-1),""))</f>
        <v>-0.052</v>
      </c>
      <c r="AI118" s="5" t="str">
        <f aca="false">IF(OR(AF118="",AG118=""),"",IF($F118="Maior Melhor",IF(AG118&gt;=AF118,"Sim","Não"),IF(AG118&lt;=AF118,"Sim","Não")))</f>
        <v>Não</v>
      </c>
      <c r="AJ118" s="3" t="n">
        <v>0.873</v>
      </c>
      <c r="AK118" s="3" t="n">
        <v>0.88</v>
      </c>
      <c r="AL118" s="4" t="n">
        <f aca="false">IF(OR(AJ118="",AK118=""),"",IFERROR(IF($K118="%",AK118-AJ118,AK118/AJ118-1),""))</f>
        <v>0.00700000000000001</v>
      </c>
      <c r="AM118" s="5" t="str">
        <f aca="false">IF(OR(AJ118="",AK118=""),"",IF($F118="Maior Melhor",IF(AK118&gt;=AJ118,"Sim","Não"),IF(AK118&lt;=AJ118,"Sim","Não")))</f>
        <v>Sim</v>
      </c>
      <c r="AN118" s="3" t="n">
        <v>0.873</v>
      </c>
      <c r="AO118" s="3" t="n">
        <v>0.906</v>
      </c>
      <c r="AP118" s="4" t="n">
        <f aca="false">IF(OR(AN118="",AO118=""),"",IFERROR(IF($K118="%",AO118-AN118,AO118/AN118-1),""))</f>
        <v>0.033</v>
      </c>
      <c r="AQ118" s="5" t="str">
        <f aca="false">IF(OR(AN118="",AO118=""),"",IF($F118="Maior Melhor",IF(AO118&gt;=AN118,"Sim","Não"),IF(AO118&lt;=AN118,"Sim","Não")))</f>
        <v>Sim</v>
      </c>
      <c r="AR118" s="3" t="n">
        <v>0.873</v>
      </c>
      <c r="AS118" s="3" t="n">
        <v>0.891</v>
      </c>
      <c r="AT118" s="4" t="n">
        <f aca="false">IF(OR(AR118="",AS118=""),"",IFERROR(IF($K118="%",AS118-AR118,AS118/AR118-1),""))</f>
        <v>0.018</v>
      </c>
      <c r="AU118" s="5" t="str">
        <f aca="false">IF(OR(AR118="",AS118=""),"",IF($F118="Maior Melhor",IF(AS118&gt;=AR118,"Sim","Não"),IF(AS118&lt;=AR118,"Sim","Não")))</f>
        <v>Sim</v>
      </c>
      <c r="AV118" s="3" t="n">
        <v>0.873</v>
      </c>
      <c r="AW118" s="3" t="n">
        <v>0.882</v>
      </c>
      <c r="AX118" s="4" t="n">
        <f aca="false">IF(OR(AV118="",AW118=""),"",IFERROR(IF($K118="%",AW118-AV118,AW118/AV118-1),""))</f>
        <v>0.00900000000000001</v>
      </c>
      <c r="AY118" s="5" t="str">
        <f aca="false">IF(OR(AV118="",AW118=""),"",IF($F118="Maior Melhor",IF(AW118&gt;=AV118,"Sim","Não"),IF(AW118&lt;=AV118,"Sim","Não")))</f>
        <v>Sim</v>
      </c>
      <c r="AZ118" s="3" t="n">
        <v>0.873</v>
      </c>
      <c r="BA118" s="3" t="n">
        <v>0.889</v>
      </c>
      <c r="BB118" s="4" t="n">
        <f aca="false">IF(OR(AZ118="",BA118=""),"",IFERROR(IF($K118="%",BA118-AZ118,BA118/AZ118-1),""))</f>
        <v>0.016</v>
      </c>
      <c r="BC118" s="5" t="str">
        <f aca="false">IF(OR(AZ118="",BA118=""),"",IF($F118="Maior Melhor",IF(BA118&gt;=AZ118,"Sim","Não"),IF(BA118&lt;=AZ118,"Sim","Não")))</f>
        <v>Sim</v>
      </c>
      <c r="BD118" s="3" t="n">
        <v>0.873</v>
      </c>
      <c r="BE118" s="3" t="n">
        <v>0.9385</v>
      </c>
      <c r="BF118" s="4" t="n">
        <f aca="false">IF(OR(BD118="",BE118=""),"",IFERROR(IF($K118="%",BE118-BD118,BE118/BD118-1),""))</f>
        <v>0.0655</v>
      </c>
      <c r="BG118" s="5" t="str">
        <f aca="false">IF(OR(BD118="",BE118=""),"",IF($F118="Maior Melhor",IF(BE118&gt;=BD118,"Sim","Não"),IF(BE118&lt;=BD118,"Sim","Não")))</f>
        <v>Sim</v>
      </c>
      <c r="BH118" s="3" t="n">
        <v>0.873</v>
      </c>
      <c r="BI118" s="3" t="n">
        <v>0.8962</v>
      </c>
      <c r="BJ118" s="4" t="n">
        <f aca="false">IF(OR(BH118="",BI118=""),"",IFERROR(IF($K118="%",BI118-BH118,BI118/BH118-1),""))</f>
        <v>0.0232</v>
      </c>
      <c r="BK118" s="5" t="str">
        <f aca="false">IF(OR(BH118="",BI118=""),"",IF($F118="Maior Melhor",IF(BI118&gt;=BH118,"Sim","Não"),IF(BI118&lt;=BH118,"Sim","Não")))</f>
        <v>Sim</v>
      </c>
      <c r="BL118" s="6"/>
      <c r="BM118" s="6"/>
      <c r="BN118" s="4" t="str">
        <f aca="false">IF(OR(BL118="",BM118=""),"",IFERROR(IF($K118="%",BM118-BL118,BM118/BL118-1),""))</f>
        <v/>
      </c>
      <c r="BO118" s="5" t="str">
        <f aca="false">IF(OR(BL118="",BM118=""),"",IF($F118="Maior Melhor",IF(BM118&gt;=BL118,"Sim","Não"),IF(BM118&lt;=BL118,"Sim","Não")))</f>
        <v/>
      </c>
      <c r="BP118" s="6"/>
      <c r="BQ118" s="6"/>
      <c r="BR118" s="4" t="str">
        <f aca="false">IF(OR(BP118="",BQ118=""),"",IFERROR(IF($K118="%",BQ118-BP118,BQ118/BP118-1),""))</f>
        <v/>
      </c>
      <c r="BS118" s="5" t="str">
        <f aca="false">IF(OR(BP118="",BQ118=""),"",IF($F118="Maior Melhor",IF(BQ118&gt;=BP118,"Sim","Não"),IF(BQ118&lt;=BP118,"Sim","Não")))</f>
        <v/>
      </c>
      <c r="BT118" s="6"/>
      <c r="BU118" s="6"/>
      <c r="BV118" s="4" t="str">
        <f aca="false">IF(OR(BT118="",BU118=""),"",IFERROR(IF($K118="%",BU118-BT118,BU118/BT118-1),""))</f>
        <v/>
      </c>
      <c r="BW118" s="5" t="str">
        <f aca="false">IF(OR(BT118="",BU118=""),"",IF($F118="Maior Melhor",IF(BU118&gt;=BT118,"Sim","Não"),IF(BU118&lt;=BT118,"Sim","Não")))</f>
        <v/>
      </c>
      <c r="BX118" s="6"/>
      <c r="BY118" s="6"/>
      <c r="BZ118" s="4" t="str">
        <f aca="false">IF(OR(BX118="",BY118=""),"",IFERROR(IF($K118="%",BY118-BX118,BY118/BX118-1),""))</f>
        <v/>
      </c>
      <c r="CA118" s="5" t="str">
        <f aca="false">IF(OR(BX118="",BY118=""),"",IF($F118="Maior Melhor",IF(BY118&gt;=BX118,"Sim","Não"),IF(BY118&lt;=BX118,"Sim","Não")))</f>
        <v/>
      </c>
      <c r="CB118" s="6"/>
      <c r="CC118" s="6"/>
      <c r="CD118" s="4" t="str">
        <f aca="false">IF(OR(CB118="",CC118=""),"",IFERROR(IF($K118="%",CC118-CB118,CC118/CB118-1),""))</f>
        <v/>
      </c>
      <c r="CE118" s="5" t="str">
        <f aca="false">IF(OR(CB118="",CC118=""),"",IF($F118="Maior Melhor",IF(CC118&gt;=CB118,"Sim","Não"),IF(CC118&lt;=CB118,"Sim","Não")))</f>
        <v/>
      </c>
      <c r="CF118" s="6"/>
      <c r="CG118" s="6"/>
      <c r="CH118" s="4" t="str">
        <f aca="false">IF(OR(CF118="",CG118=""),"",IFERROR(IF($K118="%",CG118-CF118,CG118/CF118-1),""))</f>
        <v/>
      </c>
      <c r="CI118" s="5" t="str">
        <f aca="false">IF(OR(CF118="",CG118=""),"",IF($F118="Maior Melhor",IF(CG118&gt;=CF118,"Sim","Não"),IF(CG118&lt;=CF118,"Sim","Não")))</f>
        <v/>
      </c>
      <c r="CJ118" s="6"/>
      <c r="CK118" s="6"/>
      <c r="CL118" s="4" t="str">
        <f aca="false">IF(OR(CJ118="",CK118=""),"",IFERROR(IF($K118="%",CK118-CJ118,CK118/CJ118-1),""))</f>
        <v/>
      </c>
      <c r="CM118" s="5" t="str">
        <f aca="false">IF(OR(CJ118="",CK118=""),"",IF($F118="Maior Melhor",IF(CK118&gt;=CJ118,"Sim","Não"),IF(CK118&lt;=CJ118,"Sim","Não")))</f>
        <v/>
      </c>
      <c r="CN118" s="6"/>
      <c r="CO118" s="6"/>
      <c r="CP118" s="4" t="str">
        <f aca="false">IF(OR(CN118="",CO118=""),"",IFERROR(IF($K118="%",CO118-CN118,CO118/CN118-1),""))</f>
        <v/>
      </c>
      <c r="CQ118" s="5" t="str">
        <f aca="false">IF(OR(CN118="",CO118=""),"",IF($F118="Maior Melhor",IF(CO118&gt;=CN118,"Sim","Não"),IF(CO118&lt;=CN118,"Sim","Não")))</f>
        <v/>
      </c>
      <c r="CR118" s="2" t="s">
        <v>141</v>
      </c>
    </row>
    <row r="119" customFormat="false" ht="15" hidden="false" customHeight="false" outlineLevel="0" collapsed="false">
      <c r="A119" s="2" t="s">
        <v>161</v>
      </c>
      <c r="B119" s="2" t="s">
        <v>97</v>
      </c>
      <c r="C119" s="2" t="s">
        <v>121</v>
      </c>
      <c r="D119" s="2" t="s">
        <v>162</v>
      </c>
      <c r="E119" s="2" t="str">
        <f aca="false">C119&amp;D119</f>
        <v>UTD IRECÊCSAT - UTDs</v>
      </c>
      <c r="F119" s="2" t="s">
        <v>100</v>
      </c>
      <c r="G119" s="2" t="s">
        <v>163</v>
      </c>
      <c r="H119" s="2" t="s">
        <v>102</v>
      </c>
      <c r="I119" s="2" t="s">
        <v>103</v>
      </c>
      <c r="J119" s="2" t="n">
        <v>3</v>
      </c>
      <c r="K119" s="2" t="s">
        <v>104</v>
      </c>
      <c r="L119" s="3" t="n">
        <v>0.87</v>
      </c>
      <c r="M119" s="3" t="n">
        <v>0.87</v>
      </c>
      <c r="N119" s="4" t="n">
        <f aca="false">IF(OR(L119="",M119=""),"",IFERROR(IF($K119="%",M119-L119,M119/L119-1),""))</f>
        <v>0</v>
      </c>
      <c r="O119" s="5" t="str">
        <f aca="false">IF(OR(L119="",M119=""),"",IF($F119="Maior Melhor",IF(M119&gt;=L119,"Sim","Não"),IF(M119&lt;=L119,"Sim","Não")))</f>
        <v>Sim</v>
      </c>
      <c r="P119" s="3" t="n">
        <v>0.87</v>
      </c>
      <c r="Q119" s="3" t="n">
        <v>0.86</v>
      </c>
      <c r="R119" s="4" t="n">
        <f aca="false">IF(OR(P119="",Q119=""),"",IFERROR(IF($K119="%",Q119-P119,Q119/P119-1),""))</f>
        <v>-0.01</v>
      </c>
      <c r="S119" s="5" t="str">
        <f aca="false">IF(OR(P119="",Q119=""),"",IF($F119="Maior Melhor",IF(Q119&gt;=P119,"Sim","Não"),IF(Q119&lt;=P119,"Sim","Não")))</f>
        <v>Não</v>
      </c>
      <c r="T119" s="3" t="n">
        <v>0.87</v>
      </c>
      <c r="U119" s="3" t="n">
        <v>0.9</v>
      </c>
      <c r="V119" s="4" t="n">
        <f aca="false">IF(OR(T119="",U119=""),"",IFERROR(IF($K119="%",U119-T119,U119/T119-1),""))</f>
        <v>0.03</v>
      </c>
      <c r="W119" s="5" t="str">
        <f aca="false">IF(OR(T119="",U119=""),"",IF($F119="Maior Melhor",IF(U119&gt;=T119,"Sim","Não"),IF(U119&lt;=T119,"Sim","Não")))</f>
        <v>Sim</v>
      </c>
      <c r="X119" s="3" t="n">
        <v>0.87</v>
      </c>
      <c r="Y119" s="3" t="n">
        <v>0.87</v>
      </c>
      <c r="Z119" s="4" t="n">
        <f aca="false">IF(OR(X119="",Y119=""),"",IFERROR(IF($K119="%",Y119-X119,Y119/X119-1),""))</f>
        <v>0</v>
      </c>
      <c r="AA119" s="5" t="str">
        <f aca="false">IF(OR(X119="",Y119=""),"",IF($F119="Maior Melhor",IF(Y119&gt;=X119,"Sim","Não"),IF(Y119&lt;=X119,"Sim","Não")))</f>
        <v>Sim</v>
      </c>
      <c r="AB119" s="3" t="n">
        <v>0.87</v>
      </c>
      <c r="AC119" s="3" t="n">
        <v>0.87</v>
      </c>
      <c r="AD119" s="4" t="n">
        <f aca="false">IF(OR(AB119="",AC119=""),"",IFERROR(IF($K119="%",AC119-AB119,AC119/AB119-1),""))</f>
        <v>0</v>
      </c>
      <c r="AE119" s="5" t="str">
        <f aca="false">IF(OR(AB119="",AC119=""),"",IF($F119="Maior Melhor",IF(AC119&gt;=AB119,"Sim","Não"),IF(AC119&lt;=AB119,"Sim","Não")))</f>
        <v>Sim</v>
      </c>
      <c r="AF119" s="3" t="n">
        <v>0.869</v>
      </c>
      <c r="AG119" s="3" t="n">
        <v>0.85</v>
      </c>
      <c r="AH119" s="4" t="n">
        <f aca="false">IF(OR(AF119="",AG119=""),"",IFERROR(IF($K119="%",AG119-AF119,AG119/AF119-1),""))</f>
        <v>-0.019</v>
      </c>
      <c r="AI119" s="5" t="str">
        <f aca="false">IF(OR(AF119="",AG119=""),"",IF($F119="Maior Melhor",IF(AG119&gt;=AF119,"Sim","Não"),IF(AG119&lt;=AF119,"Sim","Não")))</f>
        <v>Não</v>
      </c>
      <c r="AJ119" s="3" t="n">
        <v>0.869</v>
      </c>
      <c r="AK119" s="3" t="n">
        <v>0.87</v>
      </c>
      <c r="AL119" s="4" t="n">
        <f aca="false">IF(OR(AJ119="",AK119=""),"",IFERROR(IF($K119="%",AK119-AJ119,AK119/AJ119-1),""))</f>
        <v>0.001</v>
      </c>
      <c r="AM119" s="5" t="str">
        <f aca="false">IF(OR(AJ119="",AK119=""),"",IF($F119="Maior Melhor",IF(AK119&gt;=AJ119,"Sim","Não"),IF(AK119&lt;=AJ119,"Sim","Não")))</f>
        <v>Sim</v>
      </c>
      <c r="AN119" s="3" t="n">
        <v>0.869</v>
      </c>
      <c r="AO119" s="3" t="n">
        <v>0.849</v>
      </c>
      <c r="AP119" s="4" t="n">
        <f aca="false">IF(OR(AN119="",AO119=""),"",IFERROR(IF($K119="%",AO119-AN119,AO119/AN119-1),""))</f>
        <v>-0.02</v>
      </c>
      <c r="AQ119" s="5" t="str">
        <f aca="false">IF(OR(AN119="",AO119=""),"",IF($F119="Maior Melhor",IF(AO119&gt;=AN119,"Sim","Não"),IF(AO119&lt;=AN119,"Sim","Não")))</f>
        <v>Não</v>
      </c>
      <c r="AR119" s="3" t="n">
        <v>0.869</v>
      </c>
      <c r="AS119" s="3" t="n">
        <v>0.862</v>
      </c>
      <c r="AT119" s="4" t="n">
        <f aca="false">IF(OR(AR119="",AS119=""),"",IFERROR(IF($K119="%",AS119-AR119,AS119/AR119-1),""))</f>
        <v>-0.00700000000000001</v>
      </c>
      <c r="AU119" s="5" t="str">
        <f aca="false">IF(OR(AR119="",AS119=""),"",IF($F119="Maior Melhor",IF(AS119&gt;=AR119,"Sim","Não"),IF(AS119&lt;=AR119,"Sim","Não")))</f>
        <v>Não</v>
      </c>
      <c r="AV119" s="3" t="n">
        <v>0.869</v>
      </c>
      <c r="AW119" s="3" t="n">
        <v>0.866</v>
      </c>
      <c r="AX119" s="4" t="n">
        <f aca="false">IF(OR(AV119="",AW119=""),"",IFERROR(IF($K119="%",AW119-AV119,AW119/AV119-1),""))</f>
        <v>-0.003</v>
      </c>
      <c r="AY119" s="5" t="str">
        <f aca="false">IF(OR(AV119="",AW119=""),"",IF($F119="Maior Melhor",IF(AW119&gt;=AV119,"Sim","Não"),IF(AW119&lt;=AV119,"Sim","Não")))</f>
        <v>Não</v>
      </c>
      <c r="AZ119" s="3" t="n">
        <v>0.869</v>
      </c>
      <c r="BA119" s="3" t="n">
        <v>0.863</v>
      </c>
      <c r="BB119" s="4" t="n">
        <f aca="false">IF(OR(AZ119="",BA119=""),"",IFERROR(IF($K119="%",BA119-AZ119,BA119/AZ119-1),""))</f>
        <v>-0.00600000000000001</v>
      </c>
      <c r="BC119" s="5" t="str">
        <f aca="false">IF(OR(AZ119="",BA119=""),"",IF($F119="Maior Melhor",IF(BA119&gt;=AZ119,"Sim","Não"),IF(BA119&lt;=AZ119,"Sim","Não")))</f>
        <v>Não</v>
      </c>
      <c r="BD119" s="3" t="n">
        <v>0.8691</v>
      </c>
      <c r="BE119" s="3" t="n">
        <v>0.8795</v>
      </c>
      <c r="BF119" s="4" t="n">
        <f aca="false">IF(OR(BD119="",BE119=""),"",IFERROR(IF($K119="%",BE119-BD119,BE119/BD119-1),""))</f>
        <v>0.0104</v>
      </c>
      <c r="BG119" s="5" t="str">
        <f aca="false">IF(OR(BD119="",BE119=""),"",IF($F119="Maior Melhor",IF(BE119&gt;=BD119,"Sim","Não"),IF(BE119&lt;=BD119,"Sim","Não")))</f>
        <v>Sim</v>
      </c>
      <c r="BH119" s="3" t="n">
        <v>0.8691</v>
      </c>
      <c r="BI119" s="3" t="n">
        <v>0.8655</v>
      </c>
      <c r="BJ119" s="4" t="n">
        <f aca="false">IF(OR(BH119="",BI119=""),"",IFERROR(IF($K119="%",BI119-BH119,BI119/BH119-1),""))</f>
        <v>-0.00359999999999994</v>
      </c>
      <c r="BK119" s="5" t="str">
        <f aca="false">IF(OR(BH119="",BI119=""),"",IF($F119="Maior Melhor",IF(BI119&gt;=BH119,"Sim","Não"),IF(BI119&lt;=BH119,"Sim","Não")))</f>
        <v>Não</v>
      </c>
      <c r="BL119" s="6"/>
      <c r="BM119" s="6"/>
      <c r="BN119" s="4" t="str">
        <f aca="false">IF(OR(BL119="",BM119=""),"",IFERROR(IF($K119="%",BM119-BL119,BM119/BL119-1),""))</f>
        <v/>
      </c>
      <c r="BO119" s="5" t="str">
        <f aca="false">IF(OR(BL119="",BM119=""),"",IF($F119="Maior Melhor",IF(BM119&gt;=BL119,"Sim","Não"),IF(BM119&lt;=BL119,"Sim","Não")))</f>
        <v/>
      </c>
      <c r="BP119" s="6"/>
      <c r="BQ119" s="6"/>
      <c r="BR119" s="4" t="str">
        <f aca="false">IF(OR(BP119="",BQ119=""),"",IFERROR(IF($K119="%",BQ119-BP119,BQ119/BP119-1),""))</f>
        <v/>
      </c>
      <c r="BS119" s="5" t="str">
        <f aca="false">IF(OR(BP119="",BQ119=""),"",IF($F119="Maior Melhor",IF(BQ119&gt;=BP119,"Sim","Não"),IF(BQ119&lt;=BP119,"Sim","Não")))</f>
        <v/>
      </c>
      <c r="BT119" s="6"/>
      <c r="BU119" s="6"/>
      <c r="BV119" s="4" t="str">
        <f aca="false">IF(OR(BT119="",BU119=""),"",IFERROR(IF($K119="%",BU119-BT119,BU119/BT119-1),""))</f>
        <v/>
      </c>
      <c r="BW119" s="5" t="str">
        <f aca="false">IF(OR(BT119="",BU119=""),"",IF($F119="Maior Melhor",IF(BU119&gt;=BT119,"Sim","Não"),IF(BU119&lt;=BT119,"Sim","Não")))</f>
        <v/>
      </c>
      <c r="BX119" s="6"/>
      <c r="BY119" s="6"/>
      <c r="BZ119" s="4" t="str">
        <f aca="false">IF(OR(BX119="",BY119=""),"",IFERROR(IF($K119="%",BY119-BX119,BY119/BX119-1),""))</f>
        <v/>
      </c>
      <c r="CA119" s="5" t="str">
        <f aca="false">IF(OR(BX119="",BY119=""),"",IF($F119="Maior Melhor",IF(BY119&gt;=BX119,"Sim","Não"),IF(BY119&lt;=BX119,"Sim","Não")))</f>
        <v/>
      </c>
      <c r="CB119" s="6"/>
      <c r="CC119" s="6"/>
      <c r="CD119" s="4" t="str">
        <f aca="false">IF(OR(CB119="",CC119=""),"",IFERROR(IF($K119="%",CC119-CB119,CC119/CB119-1),""))</f>
        <v/>
      </c>
      <c r="CE119" s="5" t="str">
        <f aca="false">IF(OR(CB119="",CC119=""),"",IF($F119="Maior Melhor",IF(CC119&gt;=CB119,"Sim","Não"),IF(CC119&lt;=CB119,"Sim","Não")))</f>
        <v/>
      </c>
      <c r="CF119" s="6"/>
      <c r="CG119" s="6"/>
      <c r="CH119" s="4" t="str">
        <f aca="false">IF(OR(CF119="",CG119=""),"",IFERROR(IF($K119="%",CG119-CF119,CG119/CF119-1),""))</f>
        <v/>
      </c>
      <c r="CI119" s="5" t="str">
        <f aca="false">IF(OR(CF119="",CG119=""),"",IF($F119="Maior Melhor",IF(CG119&gt;=CF119,"Sim","Não"),IF(CG119&lt;=CF119,"Sim","Não")))</f>
        <v/>
      </c>
      <c r="CJ119" s="6"/>
      <c r="CK119" s="6"/>
      <c r="CL119" s="4" t="str">
        <f aca="false">IF(OR(CJ119="",CK119=""),"",IFERROR(IF($K119="%",CK119-CJ119,CK119/CJ119-1),""))</f>
        <v/>
      </c>
      <c r="CM119" s="5" t="str">
        <f aca="false">IF(OR(CJ119="",CK119=""),"",IF($F119="Maior Melhor",IF(CK119&gt;=CJ119,"Sim","Não"),IF(CK119&lt;=CJ119,"Sim","Não")))</f>
        <v/>
      </c>
      <c r="CN119" s="6"/>
      <c r="CO119" s="6"/>
      <c r="CP119" s="4" t="str">
        <f aca="false">IF(OR(CN119="",CO119=""),"",IFERROR(IF($K119="%",CO119-CN119,CO119/CN119-1),""))</f>
        <v/>
      </c>
      <c r="CQ119" s="5" t="str">
        <f aca="false">IF(OR(CN119="",CO119=""),"",IF($F119="Maior Melhor",IF(CO119&gt;=CN119,"Sim","Não"),IF(CO119&lt;=CN119,"Sim","Não")))</f>
        <v/>
      </c>
      <c r="CR119" s="2" t="s">
        <v>105</v>
      </c>
    </row>
    <row r="120" customFormat="false" ht="15" hidden="false" customHeight="false" outlineLevel="0" collapsed="false">
      <c r="A120" s="2" t="s">
        <v>161</v>
      </c>
      <c r="B120" s="2" t="s">
        <v>97</v>
      </c>
      <c r="C120" s="2" t="s">
        <v>122</v>
      </c>
      <c r="D120" s="2" t="s">
        <v>162</v>
      </c>
      <c r="E120" s="2" t="str">
        <f aca="false">C120&amp;D120</f>
        <v>UTD ITABERABACSAT - UTDs</v>
      </c>
      <c r="F120" s="2" t="s">
        <v>100</v>
      </c>
      <c r="G120" s="2" t="s">
        <v>163</v>
      </c>
      <c r="H120" s="2" t="s">
        <v>102</v>
      </c>
      <c r="I120" s="2" t="s">
        <v>103</v>
      </c>
      <c r="J120" s="2" t="n">
        <v>3</v>
      </c>
      <c r="K120" s="2" t="s">
        <v>104</v>
      </c>
      <c r="L120" s="3" t="n">
        <v>0.86</v>
      </c>
      <c r="M120" s="3" t="n">
        <v>0.9</v>
      </c>
      <c r="N120" s="4" t="n">
        <f aca="false">IF(OR(L120="",M120=""),"",IFERROR(IF($K120="%",M120-L120,M120/L120-1),""))</f>
        <v>0.04</v>
      </c>
      <c r="O120" s="5" t="str">
        <f aca="false">IF(OR(L120="",M120=""),"",IF($F120="Maior Melhor",IF(M120&gt;=L120,"Sim","Não"),IF(M120&lt;=L120,"Sim","Não")))</f>
        <v>Sim</v>
      </c>
      <c r="P120" s="3" t="n">
        <v>0.86</v>
      </c>
      <c r="Q120" s="3" t="n">
        <v>0.9</v>
      </c>
      <c r="R120" s="4" t="n">
        <f aca="false">IF(OR(P120="",Q120=""),"",IFERROR(IF($K120="%",Q120-P120,Q120/P120-1),""))</f>
        <v>0.04</v>
      </c>
      <c r="S120" s="5" t="str">
        <f aca="false">IF(OR(P120="",Q120=""),"",IF($F120="Maior Melhor",IF(Q120&gt;=P120,"Sim","Não"),IF(Q120&lt;=P120,"Sim","Não")))</f>
        <v>Sim</v>
      </c>
      <c r="T120" s="3" t="n">
        <v>0.86</v>
      </c>
      <c r="U120" s="3" t="n">
        <v>0.84</v>
      </c>
      <c r="V120" s="4" t="n">
        <f aca="false">IF(OR(T120="",U120=""),"",IFERROR(IF($K120="%",U120-T120,U120/T120-1),""))</f>
        <v>-0.02</v>
      </c>
      <c r="W120" s="5" t="str">
        <f aca="false">IF(OR(T120="",U120=""),"",IF($F120="Maior Melhor",IF(U120&gt;=T120,"Sim","Não"),IF(U120&lt;=T120,"Sim","Não")))</f>
        <v>Não</v>
      </c>
      <c r="X120" s="3" t="n">
        <v>0.86</v>
      </c>
      <c r="Y120" s="3" t="n">
        <v>0.77</v>
      </c>
      <c r="Z120" s="4" t="n">
        <f aca="false">IF(OR(X120="",Y120=""),"",IFERROR(IF($K120="%",Y120-X120,Y120/X120-1),""))</f>
        <v>-0.09</v>
      </c>
      <c r="AA120" s="5" t="str">
        <f aca="false">IF(OR(X120="",Y120=""),"",IF($F120="Maior Melhor",IF(Y120&gt;=X120,"Sim","Não"),IF(Y120&lt;=X120,"Sim","Não")))</f>
        <v>Não</v>
      </c>
      <c r="AB120" s="3" t="n">
        <v>0.86</v>
      </c>
      <c r="AC120" s="3" t="n">
        <v>0.85</v>
      </c>
      <c r="AD120" s="4" t="n">
        <f aca="false">IF(OR(AB120="",AC120=""),"",IFERROR(IF($K120="%",AC120-AB120,AC120/AB120-1),""))</f>
        <v>-0.01</v>
      </c>
      <c r="AE120" s="5" t="str">
        <f aca="false">IF(OR(AB120="",AC120=""),"",IF($F120="Maior Melhor",IF(AC120&gt;=AB120,"Sim","Não"),IF(AC120&lt;=AB120,"Sim","Não")))</f>
        <v>Não</v>
      </c>
      <c r="AF120" s="3" t="n">
        <v>0.862</v>
      </c>
      <c r="AG120" s="3" t="n">
        <v>0.762</v>
      </c>
      <c r="AH120" s="4" t="n">
        <f aca="false">IF(OR(AF120="",AG120=""),"",IFERROR(IF($K120="%",AG120-AF120,AG120/AF120-1),""))</f>
        <v>-0.1</v>
      </c>
      <c r="AI120" s="5" t="str">
        <f aca="false">IF(OR(AF120="",AG120=""),"",IF($F120="Maior Melhor",IF(AG120&gt;=AF120,"Sim","Não"),IF(AG120&lt;=AF120,"Sim","Não")))</f>
        <v>Não</v>
      </c>
      <c r="AJ120" s="3" t="n">
        <v>0.862</v>
      </c>
      <c r="AK120" s="3" t="n">
        <v>0.838</v>
      </c>
      <c r="AL120" s="4" t="n">
        <f aca="false">IF(OR(AJ120="",AK120=""),"",IFERROR(IF($K120="%",AK120-AJ120,AK120/AJ120-1),""))</f>
        <v>-0.024</v>
      </c>
      <c r="AM120" s="5" t="str">
        <f aca="false">IF(OR(AJ120="",AK120=""),"",IF($F120="Maior Melhor",IF(AK120&gt;=AJ120,"Sim","Não"),IF(AK120&lt;=AJ120,"Sim","Não")))</f>
        <v>Não</v>
      </c>
      <c r="AN120" s="3" t="n">
        <v>0.862</v>
      </c>
      <c r="AO120" s="3" t="n">
        <v>0.774</v>
      </c>
      <c r="AP120" s="4" t="n">
        <f aca="false">IF(OR(AN120="",AO120=""),"",IFERROR(IF($K120="%",AO120-AN120,AO120/AN120-1),""))</f>
        <v>-0.088</v>
      </c>
      <c r="AQ120" s="5" t="str">
        <f aca="false">IF(OR(AN120="",AO120=""),"",IF($F120="Maior Melhor",IF(AO120&gt;=AN120,"Sim","Não"),IF(AO120&lt;=AN120,"Sim","Não")))</f>
        <v>Não</v>
      </c>
      <c r="AR120" s="3" t="n">
        <v>0.862</v>
      </c>
      <c r="AS120" s="3" t="n">
        <v>0.816</v>
      </c>
      <c r="AT120" s="4" t="n">
        <f aca="false">IF(OR(AR120="",AS120=""),"",IFERROR(IF($K120="%",AS120-AR120,AS120/AR120-1),""))</f>
        <v>-0.046</v>
      </c>
      <c r="AU120" s="5" t="str">
        <f aca="false">IF(OR(AR120="",AS120=""),"",IF($F120="Maior Melhor",IF(AS120&gt;=AR120,"Sim","Não"),IF(AS120&lt;=AR120,"Sim","Não")))</f>
        <v>Não</v>
      </c>
      <c r="AV120" s="3" t="n">
        <v>0.862</v>
      </c>
      <c r="AW120" s="3" t="n">
        <v>0.935</v>
      </c>
      <c r="AX120" s="4" t="n">
        <f aca="false">IF(OR(AV120="",AW120=""),"",IFERROR(IF($K120="%",AW120-AV120,AW120/AV120-1),""))</f>
        <v>0.0730000000000001</v>
      </c>
      <c r="AY120" s="5" t="str">
        <f aca="false">IF(OR(AV120="",AW120=""),"",IF($F120="Maior Melhor",IF(AW120&gt;=AV120,"Sim","Não"),IF(AW120&lt;=AV120,"Sim","Não")))</f>
        <v>Sim</v>
      </c>
      <c r="AZ120" s="3" t="n">
        <v>0.862</v>
      </c>
      <c r="BA120" s="3" t="n">
        <v>0.835</v>
      </c>
      <c r="BB120" s="4" t="n">
        <f aca="false">IF(OR(AZ120="",BA120=""),"",IFERROR(IF($K120="%",BA120-AZ120,BA120/AZ120-1),""))</f>
        <v>-0.027</v>
      </c>
      <c r="BC120" s="5" t="str">
        <f aca="false">IF(OR(AZ120="",BA120=""),"",IF($F120="Maior Melhor",IF(BA120&gt;=AZ120,"Sim","Não"),IF(BA120&lt;=AZ120,"Sim","Não")))</f>
        <v>Não</v>
      </c>
      <c r="BD120" s="3" t="n">
        <v>0.8617</v>
      </c>
      <c r="BE120" s="3" t="n">
        <v>0.9151</v>
      </c>
      <c r="BF120" s="4" t="n">
        <f aca="false">IF(OR(BD120="",BE120=""),"",IFERROR(IF($K120="%",BE120-BD120,BE120/BD120-1),""))</f>
        <v>0.0534</v>
      </c>
      <c r="BG120" s="5" t="str">
        <f aca="false">IF(OR(BD120="",BE120=""),"",IF($F120="Maior Melhor",IF(BE120&gt;=BD120,"Sim","Não"),IF(BE120&lt;=BD120,"Sim","Não")))</f>
        <v>Sim</v>
      </c>
      <c r="BH120" s="3" t="n">
        <v>0.8617</v>
      </c>
      <c r="BI120" s="3" t="n">
        <v>0.8492</v>
      </c>
      <c r="BJ120" s="4" t="n">
        <f aca="false">IF(OR(BH120="",BI120=""),"",IFERROR(IF($K120="%",BI120-BH120,BI120/BH120-1),""))</f>
        <v>-0.0125000000000001</v>
      </c>
      <c r="BK120" s="5" t="str">
        <f aca="false">IF(OR(BH120="",BI120=""),"",IF($F120="Maior Melhor",IF(BI120&gt;=BH120,"Sim","Não"),IF(BI120&lt;=BH120,"Sim","Não")))</f>
        <v>Não</v>
      </c>
      <c r="BL120" s="6"/>
      <c r="BM120" s="6"/>
      <c r="BN120" s="4" t="str">
        <f aca="false">IF(OR(BL120="",BM120=""),"",IFERROR(IF($K120="%",BM120-BL120,BM120/BL120-1),""))</f>
        <v/>
      </c>
      <c r="BO120" s="5" t="str">
        <f aca="false">IF(OR(BL120="",BM120=""),"",IF($F120="Maior Melhor",IF(BM120&gt;=BL120,"Sim","Não"),IF(BM120&lt;=BL120,"Sim","Não")))</f>
        <v/>
      </c>
      <c r="BP120" s="6"/>
      <c r="BQ120" s="6"/>
      <c r="BR120" s="4" t="str">
        <f aca="false">IF(OR(BP120="",BQ120=""),"",IFERROR(IF($K120="%",BQ120-BP120,BQ120/BP120-1),""))</f>
        <v/>
      </c>
      <c r="BS120" s="5" t="str">
        <f aca="false">IF(OR(BP120="",BQ120=""),"",IF($F120="Maior Melhor",IF(BQ120&gt;=BP120,"Sim","Não"),IF(BQ120&lt;=BP120,"Sim","Não")))</f>
        <v/>
      </c>
      <c r="BT120" s="6"/>
      <c r="BU120" s="6"/>
      <c r="BV120" s="4" t="str">
        <f aca="false">IF(OR(BT120="",BU120=""),"",IFERROR(IF($K120="%",BU120-BT120,BU120/BT120-1),""))</f>
        <v/>
      </c>
      <c r="BW120" s="5" t="str">
        <f aca="false">IF(OR(BT120="",BU120=""),"",IF($F120="Maior Melhor",IF(BU120&gt;=BT120,"Sim","Não"),IF(BU120&lt;=BT120,"Sim","Não")))</f>
        <v/>
      </c>
      <c r="BX120" s="6"/>
      <c r="BY120" s="6"/>
      <c r="BZ120" s="4" t="str">
        <f aca="false">IF(OR(BX120="",BY120=""),"",IFERROR(IF($K120="%",BY120-BX120,BY120/BX120-1),""))</f>
        <v/>
      </c>
      <c r="CA120" s="5" t="str">
        <f aca="false">IF(OR(BX120="",BY120=""),"",IF($F120="Maior Melhor",IF(BY120&gt;=BX120,"Sim","Não"),IF(BY120&lt;=BX120,"Sim","Não")))</f>
        <v/>
      </c>
      <c r="CB120" s="6"/>
      <c r="CC120" s="6"/>
      <c r="CD120" s="4" t="str">
        <f aca="false">IF(OR(CB120="",CC120=""),"",IFERROR(IF($K120="%",CC120-CB120,CC120/CB120-1),""))</f>
        <v/>
      </c>
      <c r="CE120" s="5" t="str">
        <f aca="false">IF(OR(CB120="",CC120=""),"",IF($F120="Maior Melhor",IF(CC120&gt;=CB120,"Sim","Não"),IF(CC120&lt;=CB120,"Sim","Não")))</f>
        <v/>
      </c>
      <c r="CF120" s="6"/>
      <c r="CG120" s="6"/>
      <c r="CH120" s="4" t="str">
        <f aca="false">IF(OR(CF120="",CG120=""),"",IFERROR(IF($K120="%",CG120-CF120,CG120/CF120-1),""))</f>
        <v/>
      </c>
      <c r="CI120" s="5" t="str">
        <f aca="false">IF(OR(CF120="",CG120=""),"",IF($F120="Maior Melhor",IF(CG120&gt;=CF120,"Sim","Não"),IF(CG120&lt;=CF120,"Sim","Não")))</f>
        <v/>
      </c>
      <c r="CJ120" s="6"/>
      <c r="CK120" s="6"/>
      <c r="CL120" s="4" t="str">
        <f aca="false">IF(OR(CJ120="",CK120=""),"",IFERROR(IF($K120="%",CK120-CJ120,CK120/CJ120-1),""))</f>
        <v/>
      </c>
      <c r="CM120" s="5" t="str">
        <f aca="false">IF(OR(CJ120="",CK120=""),"",IF($F120="Maior Melhor",IF(CK120&gt;=CJ120,"Sim","Não"),IF(CK120&lt;=CJ120,"Sim","Não")))</f>
        <v/>
      </c>
      <c r="CN120" s="6"/>
      <c r="CO120" s="6"/>
      <c r="CP120" s="4" t="str">
        <f aca="false">IF(OR(CN120="",CO120=""),"",IFERROR(IF($K120="%",CO120-CN120,CO120/CN120-1),""))</f>
        <v/>
      </c>
      <c r="CQ120" s="5" t="str">
        <f aca="false">IF(OR(CN120="",CO120=""),"",IF($F120="Maior Melhor",IF(CO120&gt;=CN120,"Sim","Não"),IF(CO120&lt;=CN120,"Sim","Não")))</f>
        <v/>
      </c>
      <c r="CR120" s="2" t="s">
        <v>164</v>
      </c>
    </row>
    <row r="121" customFormat="false" ht="15" hidden="false" customHeight="false" outlineLevel="0" collapsed="false">
      <c r="A121" s="2" t="s">
        <v>161</v>
      </c>
      <c r="B121" s="2" t="s">
        <v>108</v>
      </c>
      <c r="C121" s="2" t="s">
        <v>124</v>
      </c>
      <c r="D121" s="2" t="s">
        <v>162</v>
      </c>
      <c r="E121" s="2" t="str">
        <f aca="false">C121&amp;D121</f>
        <v>UTD ITAPETINGACSAT - UTDs</v>
      </c>
      <c r="F121" s="2" t="s">
        <v>100</v>
      </c>
      <c r="G121" s="2" t="s">
        <v>163</v>
      </c>
      <c r="H121" s="2" t="s">
        <v>102</v>
      </c>
      <c r="I121" s="2" t="s">
        <v>103</v>
      </c>
      <c r="J121" s="2" t="n">
        <v>3</v>
      </c>
      <c r="K121" s="2" t="s">
        <v>104</v>
      </c>
      <c r="L121" s="3" t="n">
        <v>0.83</v>
      </c>
      <c r="M121" s="3" t="n">
        <v>0.74</v>
      </c>
      <c r="N121" s="4" t="n">
        <f aca="false">IF(OR(L121="",M121=""),"",IFERROR(IF($K121="%",M121-L121,M121/L121-1),""))</f>
        <v>-0.09</v>
      </c>
      <c r="O121" s="5" t="str">
        <f aca="false">IF(OR(L121="",M121=""),"",IF($F121="Maior Melhor",IF(M121&gt;=L121,"Sim","Não"),IF(M121&lt;=L121,"Sim","Não")))</f>
        <v>Não</v>
      </c>
      <c r="P121" s="3" t="n">
        <v>0.83</v>
      </c>
      <c r="Q121" s="3" t="n">
        <v>0.88</v>
      </c>
      <c r="R121" s="4" t="n">
        <f aca="false">IF(OR(P121="",Q121=""),"",IFERROR(IF($K121="%",Q121-P121,Q121/P121-1),""))</f>
        <v>0.05</v>
      </c>
      <c r="S121" s="5" t="str">
        <f aca="false">IF(OR(P121="",Q121=""),"",IF($F121="Maior Melhor",IF(Q121&gt;=P121,"Sim","Não"),IF(Q121&lt;=P121,"Sim","Não")))</f>
        <v>Sim</v>
      </c>
      <c r="T121" s="3" t="n">
        <v>0.83</v>
      </c>
      <c r="U121" s="3" t="n">
        <v>0.82</v>
      </c>
      <c r="V121" s="4" t="n">
        <f aca="false">IF(OR(T121="",U121=""),"",IFERROR(IF($K121="%",U121-T121,U121/T121-1),""))</f>
        <v>-0.01</v>
      </c>
      <c r="W121" s="5" t="str">
        <f aca="false">IF(OR(T121="",U121=""),"",IF($F121="Maior Melhor",IF(U121&gt;=T121,"Sim","Não"),IF(U121&lt;=T121,"Sim","Não")))</f>
        <v>Não</v>
      </c>
      <c r="X121" s="3" t="n">
        <v>0.83</v>
      </c>
      <c r="Y121" s="3" t="n">
        <v>0.98</v>
      </c>
      <c r="Z121" s="4" t="n">
        <f aca="false">IF(OR(X121="",Y121=""),"",IFERROR(IF($K121="%",Y121-X121,Y121/X121-1),""))</f>
        <v>0.15</v>
      </c>
      <c r="AA121" s="5" t="str">
        <f aca="false">IF(OR(X121="",Y121=""),"",IF($F121="Maior Melhor",IF(Y121&gt;=X121,"Sim","Não"),IF(Y121&lt;=X121,"Sim","Não")))</f>
        <v>Sim</v>
      </c>
      <c r="AB121" s="3" t="n">
        <v>0.83</v>
      </c>
      <c r="AC121" s="3" t="n">
        <v>0.86</v>
      </c>
      <c r="AD121" s="4" t="n">
        <f aca="false">IF(OR(AB121="",AC121=""),"",IFERROR(IF($K121="%",AC121-AB121,AC121/AB121-1),""))</f>
        <v>0.03</v>
      </c>
      <c r="AE121" s="5" t="str">
        <f aca="false">IF(OR(AB121="",AC121=""),"",IF($F121="Maior Melhor",IF(AC121&gt;=AB121,"Sim","Não"),IF(AC121&lt;=AB121,"Sim","Não")))</f>
        <v>Sim</v>
      </c>
      <c r="AF121" s="3" t="n">
        <v>0.834</v>
      </c>
      <c r="AG121" s="3" t="n">
        <v>0.767</v>
      </c>
      <c r="AH121" s="4" t="n">
        <f aca="false">IF(OR(AF121="",AG121=""),"",IFERROR(IF($K121="%",AG121-AF121,AG121/AF121-1),""))</f>
        <v>-0.067</v>
      </c>
      <c r="AI121" s="5" t="str">
        <f aca="false">IF(OR(AF121="",AG121=""),"",IF($F121="Maior Melhor",IF(AG121&gt;=AF121,"Sim","Não"),IF(AG121&lt;=AF121,"Sim","Não")))</f>
        <v>Não</v>
      </c>
      <c r="AJ121" s="3" t="n">
        <v>0.834</v>
      </c>
      <c r="AK121" s="3" t="n">
        <v>0.842</v>
      </c>
      <c r="AL121" s="4" t="n">
        <f aca="false">IF(OR(AJ121="",AK121=""),"",IFERROR(IF($K121="%",AK121-AJ121,AK121/AJ121-1),""))</f>
        <v>0.00800000000000001</v>
      </c>
      <c r="AM121" s="5" t="str">
        <f aca="false">IF(OR(AJ121="",AK121=""),"",IF($F121="Maior Melhor",IF(AK121&gt;=AJ121,"Sim","Não"),IF(AK121&lt;=AJ121,"Sim","Não")))</f>
        <v>Sim</v>
      </c>
      <c r="AN121" s="3" t="n">
        <v>0.834</v>
      </c>
      <c r="AO121" s="3" t="n">
        <v>0.878</v>
      </c>
      <c r="AP121" s="4" t="n">
        <f aca="false">IF(OR(AN121="",AO121=""),"",IFERROR(IF($K121="%",AO121-AN121,AO121/AN121-1),""))</f>
        <v>0.044</v>
      </c>
      <c r="AQ121" s="5" t="str">
        <f aca="false">IF(OR(AN121="",AO121=""),"",IF($F121="Maior Melhor",IF(AO121&gt;=AN121,"Sim","Não"),IF(AO121&lt;=AN121,"Sim","Não")))</f>
        <v>Sim</v>
      </c>
      <c r="AR121" s="3" t="n">
        <v>0.834</v>
      </c>
      <c r="AS121" s="3" t="n">
        <v>0.854</v>
      </c>
      <c r="AT121" s="4" t="n">
        <f aca="false">IF(OR(AR121="",AS121=""),"",IFERROR(IF($K121="%",AS121-AR121,AS121/AR121-1),""))</f>
        <v>0.02</v>
      </c>
      <c r="AU121" s="5" t="str">
        <f aca="false">IF(OR(AR121="",AS121=""),"",IF($F121="Maior Melhor",IF(AS121&gt;=AR121,"Sim","Não"),IF(AS121&lt;=AR121,"Sim","Não")))</f>
        <v>Sim</v>
      </c>
      <c r="AV121" s="3" t="n">
        <v>0.834</v>
      </c>
      <c r="AW121" s="3" t="n">
        <v>0.758</v>
      </c>
      <c r="AX121" s="4" t="n">
        <f aca="false">IF(OR(AV121="",AW121=""),"",IFERROR(IF($K121="%",AW121-AV121,AW121/AV121-1),""))</f>
        <v>-0.076</v>
      </c>
      <c r="AY121" s="5" t="str">
        <f aca="false">IF(OR(AV121="",AW121=""),"",IF($F121="Maior Melhor",IF(AW121&gt;=AV121,"Sim","Não"),IF(AW121&lt;=AV121,"Sim","Não")))</f>
        <v>Não</v>
      </c>
      <c r="AZ121" s="3" t="n">
        <v>0.834</v>
      </c>
      <c r="BA121" s="3" t="n">
        <v>0.832</v>
      </c>
      <c r="BB121" s="4" t="n">
        <f aca="false">IF(OR(AZ121="",BA121=""),"",IFERROR(IF($K121="%",BA121-AZ121,BA121/AZ121-1),""))</f>
        <v>-0.002</v>
      </c>
      <c r="BC121" s="5" t="str">
        <f aca="false">IF(OR(AZ121="",BA121=""),"",IF($F121="Maior Melhor",IF(BA121&gt;=AZ121,"Sim","Não"),IF(BA121&lt;=AZ121,"Sim","Não")))</f>
        <v>Não</v>
      </c>
      <c r="BD121" s="3" t="n">
        <v>0.8338</v>
      </c>
      <c r="BE121" s="3" t="n">
        <v>0.8871</v>
      </c>
      <c r="BF121" s="4" t="n">
        <f aca="false">IF(OR(BD121="",BE121=""),"",IFERROR(IF($K121="%",BE121-BD121,BE121/BD121-1),""))</f>
        <v>0.0533</v>
      </c>
      <c r="BG121" s="5" t="str">
        <f aca="false">IF(OR(BD121="",BE121=""),"",IF($F121="Maior Melhor",IF(BE121&gt;=BD121,"Sim","Não"),IF(BE121&lt;=BD121,"Sim","Não")))</f>
        <v>Sim</v>
      </c>
      <c r="BH121" s="3" t="n">
        <v>0.8338</v>
      </c>
      <c r="BI121" s="3" t="n">
        <v>0.8392</v>
      </c>
      <c r="BJ121" s="4" t="n">
        <f aca="false">IF(OR(BH121="",BI121=""),"",IFERROR(IF($K121="%",BI121-BH121,BI121/BH121-1),""))</f>
        <v>0.00539999999999996</v>
      </c>
      <c r="BK121" s="5" t="str">
        <f aca="false">IF(OR(BH121="",BI121=""),"",IF($F121="Maior Melhor",IF(BI121&gt;=BH121,"Sim","Não"),IF(BI121&lt;=BH121,"Sim","Não")))</f>
        <v>Sim</v>
      </c>
      <c r="BL121" s="6"/>
      <c r="BM121" s="6"/>
      <c r="BN121" s="4" t="str">
        <f aca="false">IF(OR(BL121="",BM121=""),"",IFERROR(IF($K121="%",BM121-BL121,BM121/BL121-1),""))</f>
        <v/>
      </c>
      <c r="BO121" s="5" t="str">
        <f aca="false">IF(OR(BL121="",BM121=""),"",IF($F121="Maior Melhor",IF(BM121&gt;=BL121,"Sim","Não"),IF(BM121&lt;=BL121,"Sim","Não")))</f>
        <v/>
      </c>
      <c r="BP121" s="6"/>
      <c r="BQ121" s="6"/>
      <c r="BR121" s="4" t="str">
        <f aca="false">IF(OR(BP121="",BQ121=""),"",IFERROR(IF($K121="%",BQ121-BP121,BQ121/BP121-1),""))</f>
        <v/>
      </c>
      <c r="BS121" s="5" t="str">
        <f aca="false">IF(OR(BP121="",BQ121=""),"",IF($F121="Maior Melhor",IF(BQ121&gt;=BP121,"Sim","Não"),IF(BQ121&lt;=BP121,"Sim","Não")))</f>
        <v/>
      </c>
      <c r="BT121" s="6"/>
      <c r="BU121" s="6"/>
      <c r="BV121" s="4" t="str">
        <f aca="false">IF(OR(BT121="",BU121=""),"",IFERROR(IF($K121="%",BU121-BT121,BU121/BT121-1),""))</f>
        <v/>
      </c>
      <c r="BW121" s="5" t="str">
        <f aca="false">IF(OR(BT121="",BU121=""),"",IF($F121="Maior Melhor",IF(BU121&gt;=BT121,"Sim","Não"),IF(BU121&lt;=BT121,"Sim","Não")))</f>
        <v/>
      </c>
      <c r="BX121" s="6"/>
      <c r="BY121" s="6"/>
      <c r="BZ121" s="4" t="str">
        <f aca="false">IF(OR(BX121="",BY121=""),"",IFERROR(IF($K121="%",BY121-BX121,BY121/BX121-1),""))</f>
        <v/>
      </c>
      <c r="CA121" s="5" t="str">
        <f aca="false">IF(OR(BX121="",BY121=""),"",IF($F121="Maior Melhor",IF(BY121&gt;=BX121,"Sim","Não"),IF(BY121&lt;=BX121,"Sim","Não")))</f>
        <v/>
      </c>
      <c r="CB121" s="6"/>
      <c r="CC121" s="6"/>
      <c r="CD121" s="4" t="str">
        <f aca="false">IF(OR(CB121="",CC121=""),"",IFERROR(IF($K121="%",CC121-CB121,CC121/CB121-1),""))</f>
        <v/>
      </c>
      <c r="CE121" s="5" t="str">
        <f aca="false">IF(OR(CB121="",CC121=""),"",IF($F121="Maior Melhor",IF(CC121&gt;=CB121,"Sim","Não"),IF(CC121&lt;=CB121,"Sim","Não")))</f>
        <v/>
      </c>
      <c r="CF121" s="6"/>
      <c r="CG121" s="6"/>
      <c r="CH121" s="4" t="str">
        <f aca="false">IF(OR(CF121="",CG121=""),"",IFERROR(IF($K121="%",CG121-CF121,CG121/CF121-1),""))</f>
        <v/>
      </c>
      <c r="CI121" s="5" t="str">
        <f aca="false">IF(OR(CF121="",CG121=""),"",IF($F121="Maior Melhor",IF(CG121&gt;=CF121,"Sim","Não"),IF(CG121&lt;=CF121,"Sim","Não")))</f>
        <v/>
      </c>
      <c r="CJ121" s="6"/>
      <c r="CK121" s="6"/>
      <c r="CL121" s="4" t="str">
        <f aca="false">IF(OR(CJ121="",CK121=""),"",IFERROR(IF($K121="%",CK121-CJ121,CK121/CJ121-1),""))</f>
        <v/>
      </c>
      <c r="CM121" s="5" t="str">
        <f aca="false">IF(OR(CJ121="",CK121=""),"",IF($F121="Maior Melhor",IF(CK121&gt;=CJ121,"Sim","Não"),IF(CK121&lt;=CJ121,"Sim","Não")))</f>
        <v/>
      </c>
      <c r="CN121" s="6"/>
      <c r="CO121" s="6"/>
      <c r="CP121" s="4" t="str">
        <f aca="false">IF(OR(CN121="",CO121=""),"",IFERROR(IF($K121="%",CO121-CN121,CO121/CN121-1),""))</f>
        <v/>
      </c>
      <c r="CQ121" s="5" t="str">
        <f aca="false">IF(OR(CN121="",CO121=""),"",IF($F121="Maior Melhor",IF(CO121&gt;=CN121,"Sim","Não"),IF(CO121&lt;=CN121,"Sim","Não")))</f>
        <v/>
      </c>
      <c r="CR121" s="2" t="s">
        <v>105</v>
      </c>
    </row>
    <row r="122" customFormat="false" ht="15" hidden="false" customHeight="false" outlineLevel="0" collapsed="false">
      <c r="A122" s="2" t="s">
        <v>161</v>
      </c>
      <c r="B122" s="2" t="s">
        <v>97</v>
      </c>
      <c r="C122" s="2" t="s">
        <v>125</v>
      </c>
      <c r="D122" s="2" t="s">
        <v>162</v>
      </c>
      <c r="E122" s="2" t="str">
        <f aca="false">C122&amp;D122</f>
        <v>UTD JEQUIÉCSAT - UTDs</v>
      </c>
      <c r="F122" s="2" t="s">
        <v>100</v>
      </c>
      <c r="G122" s="2" t="s">
        <v>163</v>
      </c>
      <c r="H122" s="2" t="s">
        <v>102</v>
      </c>
      <c r="I122" s="2" t="s">
        <v>103</v>
      </c>
      <c r="J122" s="2" t="n">
        <v>3</v>
      </c>
      <c r="K122" s="2" t="s">
        <v>104</v>
      </c>
      <c r="L122" s="3" t="n">
        <v>0.87</v>
      </c>
      <c r="M122" s="3" t="n">
        <v>0.94</v>
      </c>
      <c r="N122" s="4" t="n">
        <f aca="false">IF(OR(L122="",M122=""),"",IFERROR(IF($K122="%",M122-L122,M122/L122-1),""))</f>
        <v>0.07</v>
      </c>
      <c r="O122" s="5" t="str">
        <f aca="false">IF(OR(L122="",M122=""),"",IF($F122="Maior Melhor",IF(M122&gt;=L122,"Sim","Não"),IF(M122&lt;=L122,"Sim","Não")))</f>
        <v>Sim</v>
      </c>
      <c r="P122" s="3" t="n">
        <v>0.87</v>
      </c>
      <c r="Q122" s="3" t="n">
        <v>0.95</v>
      </c>
      <c r="R122" s="4" t="n">
        <f aca="false">IF(OR(P122="",Q122=""),"",IFERROR(IF($K122="%",Q122-P122,Q122/P122-1),""))</f>
        <v>0.08</v>
      </c>
      <c r="S122" s="5" t="str">
        <f aca="false">IF(OR(P122="",Q122=""),"",IF($F122="Maior Melhor",IF(Q122&gt;=P122,"Sim","Não"),IF(Q122&lt;=P122,"Sim","Não")))</f>
        <v>Sim</v>
      </c>
      <c r="T122" s="3" t="n">
        <v>0.87</v>
      </c>
      <c r="U122" s="3" t="n">
        <v>0.91</v>
      </c>
      <c r="V122" s="4" t="n">
        <f aca="false">IF(OR(T122="",U122=""),"",IFERROR(IF($K122="%",U122-T122,U122/T122-1),""))</f>
        <v>0.04</v>
      </c>
      <c r="W122" s="5" t="str">
        <f aca="false">IF(OR(T122="",U122=""),"",IF($F122="Maior Melhor",IF(U122&gt;=T122,"Sim","Não"),IF(U122&lt;=T122,"Sim","Não")))</f>
        <v>Sim</v>
      </c>
      <c r="X122" s="3" t="n">
        <v>0.87</v>
      </c>
      <c r="Y122" s="3" t="n">
        <v>0.9</v>
      </c>
      <c r="Z122" s="4" t="n">
        <f aca="false">IF(OR(X122="",Y122=""),"",IFERROR(IF($K122="%",Y122-X122,Y122/X122-1),""))</f>
        <v>0.03</v>
      </c>
      <c r="AA122" s="5" t="str">
        <f aca="false">IF(OR(X122="",Y122=""),"",IF($F122="Maior Melhor",IF(Y122&gt;=X122,"Sim","Não"),IF(Y122&lt;=X122,"Sim","Não")))</f>
        <v>Sim</v>
      </c>
      <c r="AB122" s="3" t="n">
        <v>0.87</v>
      </c>
      <c r="AC122" s="3" t="n">
        <v>0.93</v>
      </c>
      <c r="AD122" s="4" t="n">
        <f aca="false">IF(OR(AB122="",AC122=""),"",IFERROR(IF($K122="%",AC122-AB122,AC122/AB122-1),""))</f>
        <v>0.0600000000000001</v>
      </c>
      <c r="AE122" s="5" t="str">
        <f aca="false">IF(OR(AB122="",AC122=""),"",IF($F122="Maior Melhor",IF(AC122&gt;=AB122,"Sim","Não"),IF(AC122&lt;=AB122,"Sim","Não")))</f>
        <v>Sim</v>
      </c>
      <c r="AF122" s="3" t="n">
        <v>0.875</v>
      </c>
      <c r="AG122" s="3" t="n">
        <v>0.864</v>
      </c>
      <c r="AH122" s="4" t="n">
        <f aca="false">IF(OR(AF122="",AG122=""),"",IFERROR(IF($K122="%",AG122-AF122,AG122/AF122-1),""))</f>
        <v>-0.011</v>
      </c>
      <c r="AI122" s="5" t="str">
        <f aca="false">IF(OR(AF122="",AG122=""),"",IF($F122="Maior Melhor",IF(AG122&gt;=AF122,"Sim","Não"),IF(AG122&lt;=AF122,"Sim","Não")))</f>
        <v>Não</v>
      </c>
      <c r="AJ122" s="3" t="n">
        <v>0.875</v>
      </c>
      <c r="AK122" s="3" t="n">
        <v>0.913</v>
      </c>
      <c r="AL122" s="4" t="n">
        <f aca="false">IF(OR(AJ122="",AK122=""),"",IFERROR(IF($K122="%",AK122-AJ122,AK122/AJ122-1),""))</f>
        <v>0.038</v>
      </c>
      <c r="AM122" s="5" t="str">
        <f aca="false">IF(OR(AJ122="",AK122=""),"",IF($F122="Maior Melhor",IF(AK122&gt;=AJ122,"Sim","Não"),IF(AK122&lt;=AJ122,"Sim","Não")))</f>
        <v>Sim</v>
      </c>
      <c r="AN122" s="3" t="n">
        <v>0.875</v>
      </c>
      <c r="AO122" s="3" t="n">
        <v>0.845</v>
      </c>
      <c r="AP122" s="4" t="n">
        <f aca="false">IF(OR(AN122="",AO122=""),"",IFERROR(IF($K122="%",AO122-AN122,AO122/AN122-1),""))</f>
        <v>-0.03</v>
      </c>
      <c r="AQ122" s="5" t="str">
        <f aca="false">IF(OR(AN122="",AO122=""),"",IF($F122="Maior Melhor",IF(AO122&gt;=AN122,"Sim","Não"),IF(AO122&lt;=AN122,"Sim","Não")))</f>
        <v>Não</v>
      </c>
      <c r="AR122" s="3" t="n">
        <v>0.875</v>
      </c>
      <c r="AS122" s="3" t="n">
        <v>0.891</v>
      </c>
      <c r="AT122" s="4" t="n">
        <f aca="false">IF(OR(AR122="",AS122=""),"",IFERROR(IF($K122="%",AS122-AR122,AS122/AR122-1),""))</f>
        <v>0.016</v>
      </c>
      <c r="AU122" s="5" t="str">
        <f aca="false">IF(OR(AR122="",AS122=""),"",IF($F122="Maior Melhor",IF(AS122&gt;=AR122,"Sim","Não"),IF(AS122&lt;=AR122,"Sim","Não")))</f>
        <v>Sim</v>
      </c>
      <c r="AV122" s="3" t="n">
        <v>0.875</v>
      </c>
      <c r="AW122" s="3" t="n">
        <v>0.854</v>
      </c>
      <c r="AX122" s="4" t="n">
        <f aca="false">IF(OR(AV122="",AW122=""),"",IFERROR(IF($K122="%",AW122-AV122,AW122/AV122-1),""))</f>
        <v>-0.021</v>
      </c>
      <c r="AY122" s="5" t="str">
        <f aca="false">IF(OR(AV122="",AW122=""),"",IF($F122="Maior Melhor",IF(AW122&gt;=AV122,"Sim","Não"),IF(AW122&lt;=AV122,"Sim","Não")))</f>
        <v>Não</v>
      </c>
      <c r="AZ122" s="3" t="n">
        <v>0.875</v>
      </c>
      <c r="BA122" s="3" t="n">
        <v>0.885</v>
      </c>
      <c r="BB122" s="4" t="n">
        <f aca="false">IF(OR(AZ122="",BA122=""),"",IFERROR(IF($K122="%",BA122-AZ122,BA122/AZ122-1),""))</f>
        <v>0.01</v>
      </c>
      <c r="BC122" s="5" t="str">
        <f aca="false">IF(OR(AZ122="",BA122=""),"",IF($F122="Maior Melhor",IF(BA122&gt;=AZ122,"Sim","Não"),IF(BA122&lt;=AZ122,"Sim","Não")))</f>
        <v>Sim</v>
      </c>
      <c r="BD122" s="3" t="n">
        <v>0.8747</v>
      </c>
      <c r="BE122" s="3" t="n">
        <v>0.8651</v>
      </c>
      <c r="BF122" s="4" t="n">
        <f aca="false">IF(OR(BD122="",BE122=""),"",IFERROR(IF($K122="%",BE122-BD122,BE122/BD122-1),""))</f>
        <v>-0.00960000000000005</v>
      </c>
      <c r="BG122" s="5" t="str">
        <f aca="false">IF(OR(BD122="",BE122=""),"",IF($F122="Maior Melhor",IF(BE122&gt;=BD122,"Sim","Não"),IF(BE122&lt;=BD122,"Sim","Não")))</f>
        <v>Não</v>
      </c>
      <c r="BH122" s="3" t="n">
        <v>0.8747</v>
      </c>
      <c r="BI122" s="3" t="n">
        <v>0.8817</v>
      </c>
      <c r="BJ122" s="4" t="n">
        <f aca="false">IF(OR(BH122="",BI122=""),"",IFERROR(IF($K122="%",BI122-BH122,BI122/BH122-1),""))</f>
        <v>0.00700000000000001</v>
      </c>
      <c r="BK122" s="5" t="str">
        <f aca="false">IF(OR(BH122="",BI122=""),"",IF($F122="Maior Melhor",IF(BI122&gt;=BH122,"Sim","Não"),IF(BI122&lt;=BH122,"Sim","Não")))</f>
        <v>Sim</v>
      </c>
      <c r="BL122" s="6"/>
      <c r="BM122" s="6"/>
      <c r="BN122" s="4" t="str">
        <f aca="false">IF(OR(BL122="",BM122=""),"",IFERROR(IF($K122="%",BM122-BL122,BM122/BL122-1),""))</f>
        <v/>
      </c>
      <c r="BO122" s="5" t="str">
        <f aca="false">IF(OR(BL122="",BM122=""),"",IF($F122="Maior Melhor",IF(BM122&gt;=BL122,"Sim","Não"),IF(BM122&lt;=BL122,"Sim","Não")))</f>
        <v/>
      </c>
      <c r="BP122" s="6"/>
      <c r="BQ122" s="6"/>
      <c r="BR122" s="4" t="str">
        <f aca="false">IF(OR(BP122="",BQ122=""),"",IFERROR(IF($K122="%",BQ122-BP122,BQ122/BP122-1),""))</f>
        <v/>
      </c>
      <c r="BS122" s="5" t="str">
        <f aca="false">IF(OR(BP122="",BQ122=""),"",IF($F122="Maior Melhor",IF(BQ122&gt;=BP122,"Sim","Não"),IF(BQ122&lt;=BP122,"Sim","Não")))</f>
        <v/>
      </c>
      <c r="BT122" s="6"/>
      <c r="BU122" s="6"/>
      <c r="BV122" s="4" t="str">
        <f aca="false">IF(OR(BT122="",BU122=""),"",IFERROR(IF($K122="%",BU122-BT122,BU122/BT122-1),""))</f>
        <v/>
      </c>
      <c r="BW122" s="5" t="str">
        <f aca="false">IF(OR(BT122="",BU122=""),"",IF($F122="Maior Melhor",IF(BU122&gt;=BT122,"Sim","Não"),IF(BU122&lt;=BT122,"Sim","Não")))</f>
        <v/>
      </c>
      <c r="BX122" s="6"/>
      <c r="BY122" s="6"/>
      <c r="BZ122" s="4" t="str">
        <f aca="false">IF(OR(BX122="",BY122=""),"",IFERROR(IF($K122="%",BY122-BX122,BY122/BX122-1),""))</f>
        <v/>
      </c>
      <c r="CA122" s="5" t="str">
        <f aca="false">IF(OR(BX122="",BY122=""),"",IF($F122="Maior Melhor",IF(BY122&gt;=BX122,"Sim","Não"),IF(BY122&lt;=BX122,"Sim","Não")))</f>
        <v/>
      </c>
      <c r="CB122" s="6"/>
      <c r="CC122" s="6"/>
      <c r="CD122" s="4" t="str">
        <f aca="false">IF(OR(CB122="",CC122=""),"",IFERROR(IF($K122="%",CC122-CB122,CC122/CB122-1),""))</f>
        <v/>
      </c>
      <c r="CE122" s="5" t="str">
        <f aca="false">IF(OR(CB122="",CC122=""),"",IF($F122="Maior Melhor",IF(CC122&gt;=CB122,"Sim","Não"),IF(CC122&lt;=CB122,"Sim","Não")))</f>
        <v/>
      </c>
      <c r="CF122" s="6"/>
      <c r="CG122" s="6"/>
      <c r="CH122" s="4" t="str">
        <f aca="false">IF(OR(CF122="",CG122=""),"",IFERROR(IF($K122="%",CG122-CF122,CG122/CF122-1),""))</f>
        <v/>
      </c>
      <c r="CI122" s="5" t="str">
        <f aca="false">IF(OR(CF122="",CG122=""),"",IF($F122="Maior Melhor",IF(CG122&gt;=CF122,"Sim","Não"),IF(CG122&lt;=CF122,"Sim","Não")))</f>
        <v/>
      </c>
      <c r="CJ122" s="6"/>
      <c r="CK122" s="6"/>
      <c r="CL122" s="4" t="str">
        <f aca="false">IF(OR(CJ122="",CK122=""),"",IFERROR(IF($K122="%",CK122-CJ122,CK122/CJ122-1),""))</f>
        <v/>
      </c>
      <c r="CM122" s="5" t="str">
        <f aca="false">IF(OR(CJ122="",CK122=""),"",IF($F122="Maior Melhor",IF(CK122&gt;=CJ122,"Sim","Não"),IF(CK122&lt;=CJ122,"Sim","Não")))</f>
        <v/>
      </c>
      <c r="CN122" s="6"/>
      <c r="CO122" s="6"/>
      <c r="CP122" s="4" t="str">
        <f aca="false">IF(OR(CN122="",CO122=""),"",IFERROR(IF($K122="%",CO122-CN122,CO122/CN122-1),""))</f>
        <v/>
      </c>
      <c r="CQ122" s="5" t="str">
        <f aca="false">IF(OR(CN122="",CO122=""),"",IF($F122="Maior Melhor",IF(CO122&gt;=CN122,"Sim","Não"),IF(CO122&lt;=CN122,"Sim","Não")))</f>
        <v/>
      </c>
      <c r="CR122" s="2" t="s">
        <v>105</v>
      </c>
    </row>
    <row r="123" customFormat="false" ht="15" hidden="false" customHeight="false" outlineLevel="0" collapsed="false">
      <c r="A123" s="2" t="s">
        <v>161</v>
      </c>
      <c r="B123" s="2" t="s">
        <v>97</v>
      </c>
      <c r="C123" s="2" t="s">
        <v>126</v>
      </c>
      <c r="D123" s="2" t="s">
        <v>162</v>
      </c>
      <c r="E123" s="2" t="str">
        <f aca="false">C123&amp;D123</f>
        <v>UTD LIVRAMENTO DE NOSSA SENHORACSAT - UTDs</v>
      </c>
      <c r="F123" s="2" t="s">
        <v>100</v>
      </c>
      <c r="G123" s="2" t="s">
        <v>163</v>
      </c>
      <c r="H123" s="2" t="s">
        <v>102</v>
      </c>
      <c r="I123" s="2" t="s">
        <v>103</v>
      </c>
      <c r="J123" s="2" t="n">
        <v>3</v>
      </c>
      <c r="K123" s="2" t="s">
        <v>104</v>
      </c>
      <c r="L123" s="3" t="n">
        <v>0.88</v>
      </c>
      <c r="M123" s="3" t="n">
        <v>0.9</v>
      </c>
      <c r="N123" s="4" t="n">
        <f aca="false">IF(OR(L123="",M123=""),"",IFERROR(IF($K123="%",M123-L123,M123/L123-1),""))</f>
        <v>0.02</v>
      </c>
      <c r="O123" s="5" t="str">
        <f aca="false">IF(OR(L123="",M123=""),"",IF($F123="Maior Melhor",IF(M123&gt;=L123,"Sim","Não"),IF(M123&lt;=L123,"Sim","Não")))</f>
        <v>Sim</v>
      </c>
      <c r="P123" s="3" t="n">
        <v>0.88</v>
      </c>
      <c r="Q123" s="3" t="n">
        <v>0.94</v>
      </c>
      <c r="R123" s="4" t="n">
        <f aca="false">IF(OR(P123="",Q123=""),"",IFERROR(IF($K123="%",Q123-P123,Q123/P123-1),""))</f>
        <v>0.0599999999999999</v>
      </c>
      <c r="S123" s="5" t="str">
        <f aca="false">IF(OR(P123="",Q123=""),"",IF($F123="Maior Melhor",IF(Q123&gt;=P123,"Sim","Não"),IF(Q123&lt;=P123,"Sim","Não")))</f>
        <v>Sim</v>
      </c>
      <c r="T123" s="3" t="n">
        <v>0.88</v>
      </c>
      <c r="U123" s="3" t="n">
        <v>0.83</v>
      </c>
      <c r="V123" s="4" t="n">
        <f aca="false">IF(OR(T123="",U123=""),"",IFERROR(IF($K123="%",U123-T123,U123/T123-1),""))</f>
        <v>-0.05</v>
      </c>
      <c r="W123" s="5" t="str">
        <f aca="false">IF(OR(T123="",U123=""),"",IF($F123="Maior Melhor",IF(U123&gt;=T123,"Sim","Não"),IF(U123&lt;=T123,"Sim","Não")))</f>
        <v>Não</v>
      </c>
      <c r="X123" s="3" t="n">
        <v>0.88</v>
      </c>
      <c r="Y123" s="3" t="n">
        <v>0.95</v>
      </c>
      <c r="Z123" s="4" t="n">
        <f aca="false">IF(OR(X123="",Y123=""),"",IFERROR(IF($K123="%",Y123-X123,Y123/X123-1),""))</f>
        <v>0.07</v>
      </c>
      <c r="AA123" s="5" t="str">
        <f aca="false">IF(OR(X123="",Y123=""),"",IF($F123="Maior Melhor",IF(Y123&gt;=X123,"Sim","Não"),IF(Y123&lt;=X123,"Sim","Não")))</f>
        <v>Sim</v>
      </c>
      <c r="AB123" s="3" t="n">
        <v>0.88</v>
      </c>
      <c r="AC123" s="3" t="n">
        <v>0.91</v>
      </c>
      <c r="AD123" s="4" t="n">
        <f aca="false">IF(OR(AB123="",AC123=""),"",IFERROR(IF($K123="%",AC123-AB123,AC123/AB123-1),""))</f>
        <v>0.03</v>
      </c>
      <c r="AE123" s="5" t="str">
        <f aca="false">IF(OR(AB123="",AC123=""),"",IF($F123="Maior Melhor",IF(AC123&gt;=AB123,"Sim","Não"),IF(AC123&lt;=AB123,"Sim","Não")))</f>
        <v>Sim</v>
      </c>
      <c r="AF123" s="3" t="n">
        <v>0.875</v>
      </c>
      <c r="AG123" s="3" t="n">
        <v>0.927</v>
      </c>
      <c r="AH123" s="4" t="n">
        <f aca="false">IF(OR(AF123="",AG123=""),"",IFERROR(IF($K123="%",AG123-AF123,AG123/AF123-1),""))</f>
        <v>0.052</v>
      </c>
      <c r="AI123" s="5" t="str">
        <f aca="false">IF(OR(AF123="",AG123=""),"",IF($F123="Maior Melhor",IF(AG123&gt;=AF123,"Sim","Não"),IF(AG123&lt;=AF123,"Sim","Não")))</f>
        <v>Sim</v>
      </c>
      <c r="AJ123" s="3" t="n">
        <v>0.875</v>
      </c>
      <c r="AK123" s="3" t="n">
        <v>0.911</v>
      </c>
      <c r="AL123" s="4" t="n">
        <f aca="false">IF(OR(AJ123="",AK123=""),"",IFERROR(IF($K123="%",AK123-AJ123,AK123/AJ123-1),""))</f>
        <v>0.036</v>
      </c>
      <c r="AM123" s="5" t="str">
        <f aca="false">IF(OR(AJ123="",AK123=""),"",IF($F123="Maior Melhor",IF(AK123&gt;=AJ123,"Sim","Não"),IF(AK123&lt;=AJ123,"Sim","Não")))</f>
        <v>Sim</v>
      </c>
      <c r="AN123" s="3" t="n">
        <v>0.875</v>
      </c>
      <c r="AO123" s="3" t="n">
        <v>0.913</v>
      </c>
      <c r="AP123" s="4" t="n">
        <f aca="false">IF(OR(AN123="",AO123=""),"",IFERROR(IF($K123="%",AO123-AN123,AO123/AN123-1),""))</f>
        <v>0.038</v>
      </c>
      <c r="AQ123" s="5" t="str">
        <f aca="false">IF(OR(AN123="",AO123=""),"",IF($F123="Maior Melhor",IF(AO123&gt;=AN123,"Sim","Não"),IF(AO123&lt;=AN123,"Sim","Não")))</f>
        <v>Sim</v>
      </c>
      <c r="AR123" s="3" t="n">
        <v>0.875</v>
      </c>
      <c r="AS123" s="3" t="n">
        <v>0.912</v>
      </c>
      <c r="AT123" s="4" t="n">
        <f aca="false">IF(OR(AR123="",AS123=""),"",IFERROR(IF($K123="%",AS123-AR123,AS123/AR123-1),""))</f>
        <v>0.037</v>
      </c>
      <c r="AU123" s="5" t="str">
        <f aca="false">IF(OR(AR123="",AS123=""),"",IF($F123="Maior Melhor",IF(AS123&gt;=AR123,"Sim","Não"),IF(AS123&lt;=AR123,"Sim","Não")))</f>
        <v>Sim</v>
      </c>
      <c r="AV123" s="3" t="n">
        <v>0.875</v>
      </c>
      <c r="AW123" s="3" t="n">
        <v>0.896</v>
      </c>
      <c r="AX123" s="4" t="n">
        <f aca="false">IF(OR(AV123="",AW123=""),"",IFERROR(IF($K123="%",AW123-AV123,AW123/AV123-1),""))</f>
        <v>0.021</v>
      </c>
      <c r="AY123" s="5" t="str">
        <f aca="false">IF(OR(AV123="",AW123=""),"",IF($F123="Maior Melhor",IF(AW123&gt;=AV123,"Sim","Não"),IF(AW123&lt;=AV123,"Sim","Não")))</f>
        <v>Sim</v>
      </c>
      <c r="AZ123" s="3" t="n">
        <v>0.875</v>
      </c>
      <c r="BA123" s="3" t="n">
        <v>0.909</v>
      </c>
      <c r="BB123" s="4" t="n">
        <f aca="false">IF(OR(AZ123="",BA123=""),"",IFERROR(IF($K123="%",BA123-AZ123,BA123/AZ123-1),""))</f>
        <v>0.034</v>
      </c>
      <c r="BC123" s="5" t="str">
        <f aca="false">IF(OR(AZ123="",BA123=""),"",IF($F123="Maior Melhor",IF(BA123&gt;=AZ123,"Sim","Não"),IF(BA123&lt;=AZ123,"Sim","Não")))</f>
        <v>Sim</v>
      </c>
      <c r="BD123" s="3" t="n">
        <v>0.8751</v>
      </c>
      <c r="BE123" s="3" t="n">
        <v>0.9605</v>
      </c>
      <c r="BF123" s="4" t="n">
        <f aca="false">IF(OR(BD123="",BE123=""),"",IFERROR(IF($K123="%",BE123-BD123,BE123/BD123-1),""))</f>
        <v>0.0854</v>
      </c>
      <c r="BG123" s="5" t="str">
        <f aca="false">IF(OR(BD123="",BE123=""),"",IF($F123="Maior Melhor",IF(BE123&gt;=BD123,"Sim","Não"),IF(BE123&lt;=BD123,"Sim","Não")))</f>
        <v>Sim</v>
      </c>
      <c r="BH123" s="3" t="n">
        <v>0.8751</v>
      </c>
      <c r="BI123" s="3" t="n">
        <v>0.9164</v>
      </c>
      <c r="BJ123" s="4" t="n">
        <f aca="false">IF(OR(BH123="",BI123=""),"",IFERROR(IF($K123="%",BI123-BH123,BI123/BH123-1),""))</f>
        <v>0.0413</v>
      </c>
      <c r="BK123" s="5" t="str">
        <f aca="false">IF(OR(BH123="",BI123=""),"",IF($F123="Maior Melhor",IF(BI123&gt;=BH123,"Sim","Não"),IF(BI123&lt;=BH123,"Sim","Não")))</f>
        <v>Sim</v>
      </c>
      <c r="BL123" s="6"/>
      <c r="BM123" s="6"/>
      <c r="BN123" s="4" t="str">
        <f aca="false">IF(OR(BL123="",BM123=""),"",IFERROR(IF($K123="%",BM123-BL123,BM123/BL123-1),""))</f>
        <v/>
      </c>
      <c r="BO123" s="5" t="str">
        <f aca="false">IF(OR(BL123="",BM123=""),"",IF($F123="Maior Melhor",IF(BM123&gt;=BL123,"Sim","Não"),IF(BM123&lt;=BL123,"Sim","Não")))</f>
        <v/>
      </c>
      <c r="BP123" s="6"/>
      <c r="BQ123" s="6"/>
      <c r="BR123" s="4" t="str">
        <f aca="false">IF(OR(BP123="",BQ123=""),"",IFERROR(IF($K123="%",BQ123-BP123,BQ123/BP123-1),""))</f>
        <v/>
      </c>
      <c r="BS123" s="5" t="str">
        <f aca="false">IF(OR(BP123="",BQ123=""),"",IF($F123="Maior Melhor",IF(BQ123&gt;=BP123,"Sim","Não"),IF(BQ123&lt;=BP123,"Sim","Não")))</f>
        <v/>
      </c>
      <c r="BT123" s="6"/>
      <c r="BU123" s="6"/>
      <c r="BV123" s="4" t="str">
        <f aca="false">IF(OR(BT123="",BU123=""),"",IFERROR(IF($K123="%",BU123-BT123,BU123/BT123-1),""))</f>
        <v/>
      </c>
      <c r="BW123" s="5" t="str">
        <f aca="false">IF(OR(BT123="",BU123=""),"",IF($F123="Maior Melhor",IF(BU123&gt;=BT123,"Sim","Não"),IF(BU123&lt;=BT123,"Sim","Não")))</f>
        <v/>
      </c>
      <c r="BX123" s="6"/>
      <c r="BY123" s="6"/>
      <c r="BZ123" s="4" t="str">
        <f aca="false">IF(OR(BX123="",BY123=""),"",IFERROR(IF($K123="%",BY123-BX123,BY123/BX123-1),""))</f>
        <v/>
      </c>
      <c r="CA123" s="5" t="str">
        <f aca="false">IF(OR(BX123="",BY123=""),"",IF($F123="Maior Melhor",IF(BY123&gt;=BX123,"Sim","Não"),IF(BY123&lt;=BX123,"Sim","Não")))</f>
        <v/>
      </c>
      <c r="CB123" s="6"/>
      <c r="CC123" s="6"/>
      <c r="CD123" s="4" t="str">
        <f aca="false">IF(OR(CB123="",CC123=""),"",IFERROR(IF($K123="%",CC123-CB123,CC123/CB123-1),""))</f>
        <v/>
      </c>
      <c r="CE123" s="5" t="str">
        <f aca="false">IF(OR(CB123="",CC123=""),"",IF($F123="Maior Melhor",IF(CC123&gt;=CB123,"Sim","Não"),IF(CC123&lt;=CB123,"Sim","Não")))</f>
        <v/>
      </c>
      <c r="CF123" s="6"/>
      <c r="CG123" s="6"/>
      <c r="CH123" s="4" t="str">
        <f aca="false">IF(OR(CF123="",CG123=""),"",IFERROR(IF($K123="%",CG123-CF123,CG123/CF123-1),""))</f>
        <v/>
      </c>
      <c r="CI123" s="5" t="str">
        <f aca="false">IF(OR(CF123="",CG123=""),"",IF($F123="Maior Melhor",IF(CG123&gt;=CF123,"Sim","Não"),IF(CG123&lt;=CF123,"Sim","Não")))</f>
        <v/>
      </c>
      <c r="CJ123" s="6"/>
      <c r="CK123" s="6"/>
      <c r="CL123" s="4" t="str">
        <f aca="false">IF(OR(CJ123="",CK123=""),"",IFERROR(IF($K123="%",CK123-CJ123,CK123/CJ123-1),""))</f>
        <v/>
      </c>
      <c r="CM123" s="5" t="str">
        <f aca="false">IF(OR(CJ123="",CK123=""),"",IF($F123="Maior Melhor",IF(CK123&gt;=CJ123,"Sim","Não"),IF(CK123&lt;=CJ123,"Sim","Não")))</f>
        <v/>
      </c>
      <c r="CN123" s="6"/>
      <c r="CO123" s="6"/>
      <c r="CP123" s="4" t="str">
        <f aca="false">IF(OR(CN123="",CO123=""),"",IFERROR(IF($K123="%",CO123-CN123,CO123/CN123-1),""))</f>
        <v/>
      </c>
      <c r="CQ123" s="5" t="str">
        <f aca="false">IF(OR(CN123="",CO123=""),"",IF($F123="Maior Melhor",IF(CO123&gt;=CN123,"Sim","Não"),IF(CO123&lt;=CN123,"Sim","Não")))</f>
        <v/>
      </c>
      <c r="CR123" s="2" t="s">
        <v>105</v>
      </c>
    </row>
    <row r="124" customFormat="false" ht="15" hidden="false" customHeight="false" outlineLevel="0" collapsed="false">
      <c r="A124" s="2" t="s">
        <v>161</v>
      </c>
      <c r="B124" s="2" t="s">
        <v>106</v>
      </c>
      <c r="C124" s="2" t="s">
        <v>127</v>
      </c>
      <c r="D124" s="2" t="s">
        <v>162</v>
      </c>
      <c r="E124" s="2" t="str">
        <f aca="false">C124&amp;D124</f>
        <v>UTD LUIS EDUARDO MAGALHAESCSAT - UTDs</v>
      </c>
      <c r="F124" s="2" t="s">
        <v>100</v>
      </c>
      <c r="G124" s="2" t="s">
        <v>163</v>
      </c>
      <c r="H124" s="2" t="s">
        <v>102</v>
      </c>
      <c r="I124" s="2" t="s">
        <v>103</v>
      </c>
      <c r="J124" s="2" t="n">
        <v>3</v>
      </c>
      <c r="K124" s="2" t="s">
        <v>104</v>
      </c>
      <c r="L124" s="3" t="n">
        <v>0.85</v>
      </c>
      <c r="M124" s="3" t="n">
        <v>0.86</v>
      </c>
      <c r="N124" s="4" t="n">
        <f aca="false">IF(OR(L124="",M124=""),"",IFERROR(IF($K124="%",M124-L124,M124/L124-1),""))</f>
        <v>0.01</v>
      </c>
      <c r="O124" s="5" t="str">
        <f aca="false">IF(OR(L124="",M124=""),"",IF($F124="Maior Melhor",IF(M124&gt;=L124,"Sim","Não"),IF(M124&lt;=L124,"Sim","Não")))</f>
        <v>Sim</v>
      </c>
      <c r="P124" s="3" t="n">
        <v>0.85</v>
      </c>
      <c r="Q124" s="3" t="n">
        <v>0.88</v>
      </c>
      <c r="R124" s="4" t="n">
        <f aca="false">IF(OR(P124="",Q124=""),"",IFERROR(IF($K124="%",Q124-P124,Q124/P124-1),""))</f>
        <v>0.03</v>
      </c>
      <c r="S124" s="5" t="str">
        <f aca="false">IF(OR(P124="",Q124=""),"",IF($F124="Maior Melhor",IF(Q124&gt;=P124,"Sim","Não"),IF(Q124&lt;=P124,"Sim","Não")))</f>
        <v>Sim</v>
      </c>
      <c r="T124" s="3" t="n">
        <v>0.85</v>
      </c>
      <c r="U124" s="3" t="n">
        <v>0.95</v>
      </c>
      <c r="V124" s="4" t="n">
        <f aca="false">IF(OR(T124="",U124=""),"",IFERROR(IF($K124="%",U124-T124,U124/T124-1),""))</f>
        <v>0.1</v>
      </c>
      <c r="W124" s="5" t="str">
        <f aca="false">IF(OR(T124="",U124=""),"",IF($F124="Maior Melhor",IF(U124&gt;=T124,"Sim","Não"),IF(U124&lt;=T124,"Sim","Não")))</f>
        <v>Sim</v>
      </c>
      <c r="X124" s="3" t="n">
        <v>0.85</v>
      </c>
      <c r="Y124" s="3" t="n">
        <v>0.83</v>
      </c>
      <c r="Z124" s="4" t="n">
        <f aca="false">IF(OR(X124="",Y124=""),"",IFERROR(IF($K124="%",Y124-X124,Y124/X124-1),""))</f>
        <v>-0.02</v>
      </c>
      <c r="AA124" s="5" t="str">
        <f aca="false">IF(OR(X124="",Y124=""),"",IF($F124="Maior Melhor",IF(Y124&gt;=X124,"Sim","Não"),IF(Y124&lt;=X124,"Sim","Não")))</f>
        <v>Não</v>
      </c>
      <c r="AB124" s="3" t="n">
        <v>0.85</v>
      </c>
      <c r="AC124" s="3" t="n">
        <v>0.88</v>
      </c>
      <c r="AD124" s="4" t="n">
        <f aca="false">IF(OR(AB124="",AC124=""),"",IFERROR(IF($K124="%",AC124-AB124,AC124/AB124-1),""))</f>
        <v>0.03</v>
      </c>
      <c r="AE124" s="5" t="str">
        <f aca="false">IF(OR(AB124="",AC124=""),"",IF($F124="Maior Melhor",IF(AC124&gt;=AB124,"Sim","Não"),IF(AC124&lt;=AB124,"Sim","Não")))</f>
        <v>Sim</v>
      </c>
      <c r="AF124" s="3" t="n">
        <v>0.853</v>
      </c>
      <c r="AG124" s="3" t="n">
        <v>0.782</v>
      </c>
      <c r="AH124" s="4" t="n">
        <f aca="false">IF(OR(AF124="",AG124=""),"",IFERROR(IF($K124="%",AG124-AF124,AG124/AF124-1),""))</f>
        <v>-0.071</v>
      </c>
      <c r="AI124" s="5" t="str">
        <f aca="false">IF(OR(AF124="",AG124=""),"",IF($F124="Maior Melhor",IF(AG124&gt;=AF124,"Sim","Não"),IF(AG124&lt;=AF124,"Sim","Não")))</f>
        <v>Não</v>
      </c>
      <c r="AJ124" s="3" t="n">
        <v>0.853</v>
      </c>
      <c r="AK124" s="3" t="n">
        <v>0.863</v>
      </c>
      <c r="AL124" s="4" t="n">
        <f aca="false">IF(OR(AJ124="",AK124=""),"",IFERROR(IF($K124="%",AK124-AJ124,AK124/AJ124-1),""))</f>
        <v>0.01</v>
      </c>
      <c r="AM124" s="5" t="str">
        <f aca="false">IF(OR(AJ124="",AK124=""),"",IF($F124="Maior Melhor",IF(AK124&gt;=AJ124,"Sim","Não"),IF(AK124&lt;=AJ124,"Sim","Não")))</f>
        <v>Sim</v>
      </c>
      <c r="AN124" s="3" t="n">
        <v>0.853</v>
      </c>
      <c r="AO124" s="3" t="n">
        <v>0.866</v>
      </c>
      <c r="AP124" s="4" t="n">
        <f aca="false">IF(OR(AN124="",AO124=""),"",IFERROR(IF($K124="%",AO124-AN124,AO124/AN124-1),""))</f>
        <v>0.013</v>
      </c>
      <c r="AQ124" s="5" t="str">
        <f aca="false">IF(OR(AN124="",AO124=""),"",IF($F124="Maior Melhor",IF(AO124&gt;=AN124,"Sim","Não"),IF(AO124&lt;=AN124,"Sim","Não")))</f>
        <v>Sim</v>
      </c>
      <c r="AR124" s="3" t="n">
        <v>0.853</v>
      </c>
      <c r="AS124" s="3" t="n">
        <v>0.864</v>
      </c>
      <c r="AT124" s="4" t="n">
        <f aca="false">IF(OR(AR124="",AS124=""),"",IFERROR(IF($K124="%",AS124-AR124,AS124/AR124-1),""))</f>
        <v>0.011</v>
      </c>
      <c r="AU124" s="5" t="str">
        <f aca="false">IF(OR(AR124="",AS124=""),"",IF($F124="Maior Melhor",IF(AS124&gt;=AR124,"Sim","Não"),IF(AS124&lt;=AR124,"Sim","Não")))</f>
        <v>Sim</v>
      </c>
      <c r="AV124" s="3" t="n">
        <v>0.853</v>
      </c>
      <c r="AW124" s="3" t="n">
        <v>0.861</v>
      </c>
      <c r="AX124" s="4" t="n">
        <f aca="false">IF(OR(AV124="",AW124=""),"",IFERROR(IF($K124="%",AW124-AV124,AW124/AV124-1),""))</f>
        <v>0.00800000000000001</v>
      </c>
      <c r="AY124" s="5" t="str">
        <f aca="false">IF(OR(AV124="",AW124=""),"",IF($F124="Maior Melhor",IF(AW124&gt;=AV124,"Sim","Não"),IF(AW124&lt;=AV124,"Sim","Não")))</f>
        <v>Sim</v>
      </c>
      <c r="AZ124" s="3" t="n">
        <v>0.853</v>
      </c>
      <c r="BA124" s="3" t="n">
        <v>0.863</v>
      </c>
      <c r="BB124" s="4" t="n">
        <f aca="false">IF(OR(AZ124="",BA124=""),"",IFERROR(IF($K124="%",BA124-AZ124,BA124/AZ124-1),""))</f>
        <v>0.01</v>
      </c>
      <c r="BC124" s="5" t="str">
        <f aca="false">IF(OR(AZ124="",BA124=""),"",IF($F124="Maior Melhor",IF(BA124&gt;=AZ124,"Sim","Não"),IF(BA124&lt;=AZ124,"Sim","Não")))</f>
        <v>Sim</v>
      </c>
      <c r="BD124" s="3" t="n">
        <v>0.853</v>
      </c>
      <c r="BE124" s="3" t="n">
        <v>0.8374</v>
      </c>
      <c r="BF124" s="4" t="n">
        <f aca="false">IF(OR(BD124="",BE124=""),"",IFERROR(IF($K124="%",BE124-BD124,BE124/BD124-1),""))</f>
        <v>-0.0155999999999999</v>
      </c>
      <c r="BG124" s="5" t="str">
        <f aca="false">IF(OR(BD124="",BE124=""),"",IF($F124="Maior Melhor",IF(BE124&gt;=BD124,"Sim","Não"),IF(BE124&lt;=BD124,"Sim","Não")))</f>
        <v>Não</v>
      </c>
      <c r="BH124" s="3" t="n">
        <v>0.853</v>
      </c>
      <c r="BI124" s="3" t="n">
        <v>0.8597</v>
      </c>
      <c r="BJ124" s="4" t="n">
        <f aca="false">IF(OR(BH124="",BI124=""),"",IFERROR(IF($K124="%",BI124-BH124,BI124/BH124-1),""))</f>
        <v>0.00670000000000004</v>
      </c>
      <c r="BK124" s="5" t="str">
        <f aca="false">IF(OR(BH124="",BI124=""),"",IF($F124="Maior Melhor",IF(BI124&gt;=BH124,"Sim","Não"),IF(BI124&lt;=BH124,"Sim","Não")))</f>
        <v>Sim</v>
      </c>
      <c r="BL124" s="6"/>
      <c r="BM124" s="6"/>
      <c r="BN124" s="4" t="str">
        <f aca="false">IF(OR(BL124="",BM124=""),"",IFERROR(IF($K124="%",BM124-BL124,BM124/BL124-1),""))</f>
        <v/>
      </c>
      <c r="BO124" s="5" t="str">
        <f aca="false">IF(OR(BL124="",BM124=""),"",IF($F124="Maior Melhor",IF(BM124&gt;=BL124,"Sim","Não"),IF(BM124&lt;=BL124,"Sim","Não")))</f>
        <v/>
      </c>
      <c r="BP124" s="6"/>
      <c r="BQ124" s="6"/>
      <c r="BR124" s="4" t="str">
        <f aca="false">IF(OR(BP124="",BQ124=""),"",IFERROR(IF($K124="%",BQ124-BP124,BQ124/BP124-1),""))</f>
        <v/>
      </c>
      <c r="BS124" s="5" t="str">
        <f aca="false">IF(OR(BP124="",BQ124=""),"",IF($F124="Maior Melhor",IF(BQ124&gt;=BP124,"Sim","Não"),IF(BQ124&lt;=BP124,"Sim","Não")))</f>
        <v/>
      </c>
      <c r="BT124" s="6"/>
      <c r="BU124" s="6"/>
      <c r="BV124" s="4" t="str">
        <f aca="false">IF(OR(BT124="",BU124=""),"",IFERROR(IF($K124="%",BU124-BT124,BU124/BT124-1),""))</f>
        <v/>
      </c>
      <c r="BW124" s="5" t="str">
        <f aca="false">IF(OR(BT124="",BU124=""),"",IF($F124="Maior Melhor",IF(BU124&gt;=BT124,"Sim","Não"),IF(BU124&lt;=BT124,"Sim","Não")))</f>
        <v/>
      </c>
      <c r="BX124" s="6"/>
      <c r="BY124" s="6"/>
      <c r="BZ124" s="4" t="str">
        <f aca="false">IF(OR(BX124="",BY124=""),"",IFERROR(IF($K124="%",BY124-BX124,BY124/BX124-1),""))</f>
        <v/>
      </c>
      <c r="CA124" s="5" t="str">
        <f aca="false">IF(OR(BX124="",BY124=""),"",IF($F124="Maior Melhor",IF(BY124&gt;=BX124,"Sim","Não"),IF(BY124&lt;=BX124,"Sim","Não")))</f>
        <v/>
      </c>
      <c r="CB124" s="6"/>
      <c r="CC124" s="6"/>
      <c r="CD124" s="4" t="str">
        <f aca="false">IF(OR(CB124="",CC124=""),"",IFERROR(IF($K124="%",CC124-CB124,CC124/CB124-1),""))</f>
        <v/>
      </c>
      <c r="CE124" s="5" t="str">
        <f aca="false">IF(OR(CB124="",CC124=""),"",IF($F124="Maior Melhor",IF(CC124&gt;=CB124,"Sim","Não"),IF(CC124&lt;=CB124,"Sim","Não")))</f>
        <v/>
      </c>
      <c r="CF124" s="6"/>
      <c r="CG124" s="6"/>
      <c r="CH124" s="4" t="str">
        <f aca="false">IF(OR(CF124="",CG124=""),"",IFERROR(IF($K124="%",CG124-CF124,CG124/CF124-1),""))</f>
        <v/>
      </c>
      <c r="CI124" s="5" t="str">
        <f aca="false">IF(OR(CF124="",CG124=""),"",IF($F124="Maior Melhor",IF(CG124&gt;=CF124,"Sim","Não"),IF(CG124&lt;=CF124,"Sim","Não")))</f>
        <v/>
      </c>
      <c r="CJ124" s="6"/>
      <c r="CK124" s="6"/>
      <c r="CL124" s="4" t="str">
        <f aca="false">IF(OR(CJ124="",CK124=""),"",IFERROR(IF($K124="%",CK124-CJ124,CK124/CJ124-1),""))</f>
        <v/>
      </c>
      <c r="CM124" s="5" t="str">
        <f aca="false">IF(OR(CJ124="",CK124=""),"",IF($F124="Maior Melhor",IF(CK124&gt;=CJ124,"Sim","Não"),IF(CK124&lt;=CJ124,"Sim","Não")))</f>
        <v/>
      </c>
      <c r="CN124" s="6"/>
      <c r="CO124" s="6"/>
      <c r="CP124" s="4" t="str">
        <f aca="false">IF(OR(CN124="",CO124=""),"",IFERROR(IF($K124="%",CO124-CN124,CO124/CN124-1),""))</f>
        <v/>
      </c>
      <c r="CQ124" s="5" t="str">
        <f aca="false">IF(OR(CN124="",CO124=""),"",IF($F124="Maior Melhor",IF(CO124&gt;=CN124,"Sim","Não"),IF(CO124&lt;=CN124,"Sim","Não")))</f>
        <v/>
      </c>
      <c r="CR124" s="2" t="s">
        <v>105</v>
      </c>
    </row>
    <row r="125" customFormat="false" ht="15" hidden="false" customHeight="false" outlineLevel="0" collapsed="false">
      <c r="A125" s="2" t="s">
        <v>161</v>
      </c>
      <c r="B125" s="2" t="s">
        <v>106</v>
      </c>
      <c r="C125" s="2" t="s">
        <v>128</v>
      </c>
      <c r="D125" s="2" t="s">
        <v>162</v>
      </c>
      <c r="E125" s="2" t="str">
        <f aca="false">C125&amp;D125</f>
        <v>UTD SANTA MARIA DA VITORIACSAT - UTDs</v>
      </c>
      <c r="F125" s="2" t="s">
        <v>100</v>
      </c>
      <c r="G125" s="2" t="s">
        <v>163</v>
      </c>
      <c r="H125" s="2" t="s">
        <v>102</v>
      </c>
      <c r="I125" s="2" t="s">
        <v>103</v>
      </c>
      <c r="J125" s="2" t="n">
        <v>3</v>
      </c>
      <c r="K125" s="2" t="s">
        <v>104</v>
      </c>
      <c r="L125" s="3" t="n">
        <v>0.89</v>
      </c>
      <c r="M125" s="3" t="n">
        <v>0.93</v>
      </c>
      <c r="N125" s="4" t="n">
        <f aca="false">IF(OR(L125="",M125=""),"",IFERROR(IF($K125="%",M125-L125,M125/L125-1),""))</f>
        <v>0.04</v>
      </c>
      <c r="O125" s="5" t="str">
        <f aca="false">IF(OR(L125="",M125=""),"",IF($F125="Maior Melhor",IF(M125&gt;=L125,"Sim","Não"),IF(M125&lt;=L125,"Sim","Não")))</f>
        <v>Sim</v>
      </c>
      <c r="P125" s="3" t="n">
        <v>0.89</v>
      </c>
      <c r="Q125" s="3" t="n">
        <v>0.9</v>
      </c>
      <c r="R125" s="4" t="n">
        <f aca="false">IF(OR(P125="",Q125=""),"",IFERROR(IF($K125="%",Q125-P125,Q125/P125-1),""))</f>
        <v>0.01</v>
      </c>
      <c r="S125" s="5" t="str">
        <f aca="false">IF(OR(P125="",Q125=""),"",IF($F125="Maior Melhor",IF(Q125&gt;=P125,"Sim","Não"),IF(Q125&lt;=P125,"Sim","Não")))</f>
        <v>Sim</v>
      </c>
      <c r="T125" s="3" t="n">
        <v>0.89</v>
      </c>
      <c r="U125" s="3" t="n">
        <v>0.85</v>
      </c>
      <c r="V125" s="4" t="n">
        <f aca="false">IF(OR(T125="",U125=""),"",IFERROR(IF($K125="%",U125-T125,U125/T125-1),""))</f>
        <v>-0.04</v>
      </c>
      <c r="W125" s="5" t="str">
        <f aca="false">IF(OR(T125="",U125=""),"",IF($F125="Maior Melhor",IF(U125&gt;=T125,"Sim","Não"),IF(U125&lt;=T125,"Sim","Não")))</f>
        <v>Não</v>
      </c>
      <c r="X125" s="3" t="n">
        <v>0.89</v>
      </c>
      <c r="Y125" s="3" t="n">
        <v>0.77</v>
      </c>
      <c r="Z125" s="4" t="n">
        <f aca="false">IF(OR(X125="",Y125=""),"",IFERROR(IF($K125="%",Y125-X125,Y125/X125-1),""))</f>
        <v>-0.12</v>
      </c>
      <c r="AA125" s="5" t="str">
        <f aca="false">IF(OR(X125="",Y125=""),"",IF($F125="Maior Melhor",IF(Y125&gt;=X125,"Sim","Não"),IF(Y125&lt;=X125,"Sim","Não")))</f>
        <v>Não</v>
      </c>
      <c r="AB125" s="3" t="n">
        <v>0.89</v>
      </c>
      <c r="AC125" s="3" t="n">
        <v>0.86</v>
      </c>
      <c r="AD125" s="4" t="n">
        <f aca="false">IF(OR(AB125="",AC125=""),"",IFERROR(IF($K125="%",AC125-AB125,AC125/AB125-1),""))</f>
        <v>-0.03</v>
      </c>
      <c r="AE125" s="5" t="str">
        <f aca="false">IF(OR(AB125="",AC125=""),"",IF($F125="Maior Melhor",IF(AC125&gt;=AB125,"Sim","Não"),IF(AC125&lt;=AB125,"Sim","Não")))</f>
        <v>Não</v>
      </c>
      <c r="AF125" s="3" t="n">
        <v>0.887</v>
      </c>
      <c r="AG125" s="3" t="n">
        <v>0.926</v>
      </c>
      <c r="AH125" s="4" t="n">
        <f aca="false">IF(OR(AF125="",AG125=""),"",IFERROR(IF($K125="%",AG125-AF125,AG125/AF125-1),""))</f>
        <v>0.039</v>
      </c>
      <c r="AI125" s="5" t="str">
        <f aca="false">IF(OR(AF125="",AG125=""),"",IF($F125="Maior Melhor",IF(AG125&gt;=AF125,"Sim","Não"),IF(AG125&lt;=AF125,"Sim","Não")))</f>
        <v>Sim</v>
      </c>
      <c r="AJ125" s="3" t="n">
        <v>0.887</v>
      </c>
      <c r="AK125" s="3" t="n">
        <v>0.872</v>
      </c>
      <c r="AL125" s="4" t="n">
        <f aca="false">IF(OR(AJ125="",AK125=""),"",IFERROR(IF($K125="%",AK125-AJ125,AK125/AJ125-1),""))</f>
        <v>-0.015</v>
      </c>
      <c r="AM125" s="5" t="str">
        <f aca="false">IF(OR(AJ125="",AK125=""),"",IF($F125="Maior Melhor",IF(AK125&gt;=AJ125,"Sim","Não"),IF(AK125&lt;=AJ125,"Sim","Não")))</f>
        <v>Não</v>
      </c>
      <c r="AN125" s="3" t="n">
        <v>0.887</v>
      </c>
      <c r="AO125" s="3" t="n">
        <v>0.907</v>
      </c>
      <c r="AP125" s="4" t="n">
        <f aca="false">IF(OR(AN125="",AO125=""),"",IFERROR(IF($K125="%",AO125-AN125,AO125/AN125-1),""))</f>
        <v>0.02</v>
      </c>
      <c r="AQ125" s="5" t="str">
        <f aca="false">IF(OR(AN125="",AO125=""),"",IF($F125="Maior Melhor",IF(AO125&gt;=AN125,"Sim","Não"),IF(AO125&lt;=AN125,"Sim","Não")))</f>
        <v>Sim</v>
      </c>
      <c r="AR125" s="3" t="n">
        <v>0.887</v>
      </c>
      <c r="AS125" s="3" t="n">
        <v>0.887</v>
      </c>
      <c r="AT125" s="4" t="n">
        <f aca="false">IF(OR(AR125="",AS125=""),"",IFERROR(IF($K125="%",AS125-AR125,AS125/AR125-1),""))</f>
        <v>0</v>
      </c>
      <c r="AU125" s="5" t="str">
        <f aca="false">IF(OR(AR125="",AS125=""),"",IF($F125="Maior Melhor",IF(AS125&gt;=AR125,"Sim","Não"),IF(AS125&lt;=AR125,"Sim","Não")))</f>
        <v>Sim</v>
      </c>
      <c r="AV125" s="3" t="n">
        <v>0.887</v>
      </c>
      <c r="AW125" s="3" t="n">
        <v>0.862</v>
      </c>
      <c r="AX125" s="4" t="n">
        <f aca="false">IF(OR(AV125="",AW125=""),"",IFERROR(IF($K125="%",AW125-AV125,AW125/AV125-1),""))</f>
        <v>-0.025</v>
      </c>
      <c r="AY125" s="5" t="str">
        <f aca="false">IF(OR(AV125="",AW125=""),"",IF($F125="Maior Melhor",IF(AW125&gt;=AV125,"Sim","Não"),IF(AW125&lt;=AV125,"Sim","Não")))</f>
        <v>Não</v>
      </c>
      <c r="AZ125" s="3" t="n">
        <v>0.887</v>
      </c>
      <c r="BA125" s="3" t="n">
        <v>0.882</v>
      </c>
      <c r="BB125" s="4" t="n">
        <f aca="false">IF(OR(AZ125="",BA125=""),"",IFERROR(IF($K125="%",BA125-AZ125,BA125/AZ125-1),""))</f>
        <v>-0.005</v>
      </c>
      <c r="BC125" s="5" t="str">
        <f aca="false">IF(OR(AZ125="",BA125=""),"",IF($F125="Maior Melhor",IF(BA125&gt;=AZ125,"Sim","Não"),IF(BA125&lt;=AZ125,"Sim","Não")))</f>
        <v>Não</v>
      </c>
      <c r="BD125" s="3" t="n">
        <v>0.887</v>
      </c>
      <c r="BE125" s="3" t="n">
        <v>0.8966</v>
      </c>
      <c r="BF125" s="4" t="n">
        <f aca="false">IF(OR(BD125="",BE125=""),"",IFERROR(IF($K125="%",BE125-BD125,BE125/BD125-1),""))</f>
        <v>0.00959999999999994</v>
      </c>
      <c r="BG125" s="5" t="str">
        <f aca="false">IF(OR(BD125="",BE125=""),"",IF($F125="Maior Melhor",IF(BE125&gt;=BD125,"Sim","Não"),IF(BE125&lt;=BD125,"Sim","Não")))</f>
        <v>Sim</v>
      </c>
      <c r="BH125" s="3" t="n">
        <v>0.887</v>
      </c>
      <c r="BI125" s="3" t="n">
        <v>0.8839</v>
      </c>
      <c r="BJ125" s="4" t="n">
        <f aca="false">IF(OR(BH125="",BI125=""),"",IFERROR(IF($K125="%",BI125-BH125,BI125/BH125-1),""))</f>
        <v>-0.00309999999999999</v>
      </c>
      <c r="BK125" s="5" t="str">
        <f aca="false">IF(OR(BH125="",BI125=""),"",IF($F125="Maior Melhor",IF(BI125&gt;=BH125,"Sim","Não"),IF(BI125&lt;=BH125,"Sim","Não")))</f>
        <v>Não</v>
      </c>
      <c r="BL125" s="6"/>
      <c r="BM125" s="6"/>
      <c r="BN125" s="4" t="str">
        <f aca="false">IF(OR(BL125="",BM125=""),"",IFERROR(IF($K125="%",BM125-BL125,BM125/BL125-1),""))</f>
        <v/>
      </c>
      <c r="BO125" s="5" t="str">
        <f aca="false">IF(OR(BL125="",BM125=""),"",IF($F125="Maior Melhor",IF(BM125&gt;=BL125,"Sim","Não"),IF(BM125&lt;=BL125,"Sim","Não")))</f>
        <v/>
      </c>
      <c r="BP125" s="6"/>
      <c r="BQ125" s="6"/>
      <c r="BR125" s="4" t="str">
        <f aca="false">IF(OR(BP125="",BQ125=""),"",IFERROR(IF($K125="%",BQ125-BP125,BQ125/BP125-1),""))</f>
        <v/>
      </c>
      <c r="BS125" s="5" t="str">
        <f aca="false">IF(OR(BP125="",BQ125=""),"",IF($F125="Maior Melhor",IF(BQ125&gt;=BP125,"Sim","Não"),IF(BQ125&lt;=BP125,"Sim","Não")))</f>
        <v/>
      </c>
      <c r="BT125" s="6"/>
      <c r="BU125" s="6"/>
      <c r="BV125" s="4" t="str">
        <f aca="false">IF(OR(BT125="",BU125=""),"",IFERROR(IF($K125="%",BU125-BT125,BU125/BT125-1),""))</f>
        <v/>
      </c>
      <c r="BW125" s="5" t="str">
        <f aca="false">IF(OR(BT125="",BU125=""),"",IF($F125="Maior Melhor",IF(BU125&gt;=BT125,"Sim","Não"),IF(BU125&lt;=BT125,"Sim","Não")))</f>
        <v/>
      </c>
      <c r="BX125" s="6"/>
      <c r="BY125" s="6"/>
      <c r="BZ125" s="4" t="str">
        <f aca="false">IF(OR(BX125="",BY125=""),"",IFERROR(IF($K125="%",BY125-BX125,BY125/BX125-1),""))</f>
        <v/>
      </c>
      <c r="CA125" s="5" t="str">
        <f aca="false">IF(OR(BX125="",BY125=""),"",IF($F125="Maior Melhor",IF(BY125&gt;=BX125,"Sim","Não"),IF(BY125&lt;=BX125,"Sim","Não")))</f>
        <v/>
      </c>
      <c r="CB125" s="6"/>
      <c r="CC125" s="6"/>
      <c r="CD125" s="4" t="str">
        <f aca="false">IF(OR(CB125="",CC125=""),"",IFERROR(IF($K125="%",CC125-CB125,CC125/CB125-1),""))</f>
        <v/>
      </c>
      <c r="CE125" s="5" t="str">
        <f aca="false">IF(OR(CB125="",CC125=""),"",IF($F125="Maior Melhor",IF(CC125&gt;=CB125,"Sim","Não"),IF(CC125&lt;=CB125,"Sim","Não")))</f>
        <v/>
      </c>
      <c r="CF125" s="6"/>
      <c r="CG125" s="6"/>
      <c r="CH125" s="4" t="str">
        <f aca="false">IF(OR(CF125="",CG125=""),"",IFERROR(IF($K125="%",CG125-CF125,CG125/CF125-1),""))</f>
        <v/>
      </c>
      <c r="CI125" s="5" t="str">
        <f aca="false">IF(OR(CF125="",CG125=""),"",IF($F125="Maior Melhor",IF(CG125&gt;=CF125,"Sim","Não"),IF(CG125&lt;=CF125,"Sim","Não")))</f>
        <v/>
      </c>
      <c r="CJ125" s="6"/>
      <c r="CK125" s="6"/>
      <c r="CL125" s="4" t="str">
        <f aca="false">IF(OR(CJ125="",CK125=""),"",IFERROR(IF($K125="%",CK125-CJ125,CK125/CJ125-1),""))</f>
        <v/>
      </c>
      <c r="CM125" s="5" t="str">
        <f aca="false">IF(OR(CJ125="",CK125=""),"",IF($F125="Maior Melhor",IF(CK125&gt;=CJ125,"Sim","Não"),IF(CK125&lt;=CJ125,"Sim","Não")))</f>
        <v/>
      </c>
      <c r="CN125" s="6"/>
      <c r="CO125" s="6"/>
      <c r="CP125" s="4" t="str">
        <f aca="false">IF(OR(CN125="",CO125=""),"",IFERROR(IF($K125="%",CO125-CN125,CO125/CN125-1),""))</f>
        <v/>
      </c>
      <c r="CQ125" s="5" t="str">
        <f aca="false">IF(OR(CN125="",CO125=""),"",IF($F125="Maior Melhor",IF(CO125&gt;=CN125,"Sim","Não"),IF(CO125&lt;=CN125,"Sim","Não")))</f>
        <v/>
      </c>
      <c r="CR125" s="2" t="s">
        <v>165</v>
      </c>
    </row>
    <row r="126" customFormat="false" ht="15" hidden="false" customHeight="false" outlineLevel="0" collapsed="false">
      <c r="A126" s="2" t="s">
        <v>161</v>
      </c>
      <c r="B126" s="2" t="s">
        <v>97</v>
      </c>
      <c r="C126" s="2" t="s">
        <v>130</v>
      </c>
      <c r="D126" s="2" t="s">
        <v>162</v>
      </c>
      <c r="E126" s="2" t="str">
        <f aca="false">C126&amp;D126</f>
        <v>UTD SEABRACSAT - UTDs</v>
      </c>
      <c r="F126" s="2" t="s">
        <v>100</v>
      </c>
      <c r="G126" s="2" t="s">
        <v>163</v>
      </c>
      <c r="H126" s="2" t="s">
        <v>102</v>
      </c>
      <c r="I126" s="2" t="s">
        <v>103</v>
      </c>
      <c r="J126" s="2" t="n">
        <v>3</v>
      </c>
      <c r="K126" s="2" t="s">
        <v>104</v>
      </c>
      <c r="L126" s="3" t="n">
        <v>0.87</v>
      </c>
      <c r="M126" s="3" t="n">
        <v>0.93</v>
      </c>
      <c r="N126" s="4" t="n">
        <f aca="false">IF(OR(L126="",M126=""),"",IFERROR(IF($K126="%",M126-L126,M126/L126-1),""))</f>
        <v>0.0600000000000001</v>
      </c>
      <c r="O126" s="5" t="str">
        <f aca="false">IF(OR(L126="",M126=""),"",IF($F126="Maior Melhor",IF(M126&gt;=L126,"Sim","Não"),IF(M126&lt;=L126,"Sim","Não")))</f>
        <v>Sim</v>
      </c>
      <c r="P126" s="3" t="n">
        <v>0.87</v>
      </c>
      <c r="Q126" s="3" t="n">
        <v>0.76</v>
      </c>
      <c r="R126" s="4" t="n">
        <f aca="false">IF(OR(P126="",Q126=""),"",IFERROR(IF($K126="%",Q126-P126,Q126/P126-1),""))</f>
        <v>-0.11</v>
      </c>
      <c r="S126" s="5" t="str">
        <f aca="false">IF(OR(P126="",Q126=""),"",IF($F126="Maior Melhor",IF(Q126&gt;=P126,"Sim","Não"),IF(Q126&lt;=P126,"Sim","Não")))</f>
        <v>Não</v>
      </c>
      <c r="T126" s="3" t="n">
        <v>0.87</v>
      </c>
      <c r="U126" s="3" t="n">
        <v>0.89</v>
      </c>
      <c r="V126" s="4" t="n">
        <f aca="false">IF(OR(T126="",U126=""),"",IFERROR(IF($K126="%",U126-T126,U126/T126-1),""))</f>
        <v>0.02</v>
      </c>
      <c r="W126" s="5" t="str">
        <f aca="false">IF(OR(T126="",U126=""),"",IF($F126="Maior Melhor",IF(U126&gt;=T126,"Sim","Não"),IF(U126&lt;=T126,"Sim","Não")))</f>
        <v>Sim</v>
      </c>
      <c r="X126" s="3" t="n">
        <v>0.87</v>
      </c>
      <c r="Y126" s="3" t="n">
        <v>0.84</v>
      </c>
      <c r="Z126" s="4" t="n">
        <f aca="false">IF(OR(X126="",Y126=""),"",IFERROR(IF($K126="%",Y126-X126,Y126/X126-1),""))</f>
        <v>-0.03</v>
      </c>
      <c r="AA126" s="5" t="str">
        <f aca="false">IF(OR(X126="",Y126=""),"",IF($F126="Maior Melhor",IF(Y126&gt;=X126,"Sim","Não"),IF(Y126&lt;=X126,"Sim","Não")))</f>
        <v>Não</v>
      </c>
      <c r="AB126" s="3" t="n">
        <v>0.87</v>
      </c>
      <c r="AC126" s="3" t="n">
        <v>0.84</v>
      </c>
      <c r="AD126" s="4" t="n">
        <f aca="false">IF(OR(AB126="",AC126=""),"",IFERROR(IF($K126="%",AC126-AB126,AC126/AB126-1),""))</f>
        <v>-0.03</v>
      </c>
      <c r="AE126" s="5" t="str">
        <f aca="false">IF(OR(AB126="",AC126=""),"",IF($F126="Maior Melhor",IF(AC126&gt;=AB126,"Sim","Não"),IF(AC126&lt;=AB126,"Sim","Não")))</f>
        <v>Não</v>
      </c>
      <c r="AF126" s="3" t="n">
        <v>0.865</v>
      </c>
      <c r="AG126" s="3" t="n">
        <v>0.903</v>
      </c>
      <c r="AH126" s="4" t="n">
        <f aca="false">IF(OR(AF126="",AG126=""),"",IFERROR(IF($K126="%",AG126-AF126,AG126/AF126-1),""))</f>
        <v>0.038</v>
      </c>
      <c r="AI126" s="5" t="str">
        <f aca="false">IF(OR(AF126="",AG126=""),"",IF($F126="Maior Melhor",IF(AG126&gt;=AF126,"Sim","Não"),IF(AG126&lt;=AF126,"Sim","Não")))</f>
        <v>Sim</v>
      </c>
      <c r="AJ126" s="3" t="n">
        <v>0.865</v>
      </c>
      <c r="AK126" s="3" t="n">
        <v>0.856</v>
      </c>
      <c r="AL126" s="4" t="n">
        <f aca="false">IF(OR(AJ126="",AK126=""),"",IFERROR(IF($K126="%",AK126-AJ126,AK126/AJ126-1),""))</f>
        <v>-0.00900000000000001</v>
      </c>
      <c r="AM126" s="5" t="str">
        <f aca="false">IF(OR(AJ126="",AK126=""),"",IF($F126="Maior Melhor",IF(AK126&gt;=AJ126,"Sim","Não"),IF(AK126&lt;=AJ126,"Sim","Não")))</f>
        <v>Não</v>
      </c>
      <c r="AN126" s="3" t="n">
        <v>0.865</v>
      </c>
      <c r="AO126" s="3" t="n">
        <v>0.788</v>
      </c>
      <c r="AP126" s="4" t="n">
        <f aca="false">IF(OR(AN126="",AO126=""),"",IFERROR(IF($K126="%",AO126-AN126,AO126/AN126-1),""))</f>
        <v>-0.077</v>
      </c>
      <c r="AQ126" s="5" t="str">
        <f aca="false">IF(OR(AN126="",AO126=""),"",IF($F126="Maior Melhor",IF(AO126&gt;=AN126,"Sim","Não"),IF(AO126&lt;=AN126,"Sim","Não")))</f>
        <v>Não</v>
      </c>
      <c r="AR126" s="3" t="n">
        <v>0.865</v>
      </c>
      <c r="AS126" s="3" t="n">
        <v>0.829</v>
      </c>
      <c r="AT126" s="4" t="n">
        <f aca="false">IF(OR(AR126="",AS126=""),"",IFERROR(IF($K126="%",AS126-AR126,AS126/AR126-1),""))</f>
        <v>-0.036</v>
      </c>
      <c r="AU126" s="5" t="str">
        <f aca="false">IF(OR(AR126="",AS126=""),"",IF($F126="Maior Melhor",IF(AS126&gt;=AR126,"Sim","Não"),IF(AS126&lt;=AR126,"Sim","Não")))</f>
        <v>Não</v>
      </c>
      <c r="AV126" s="3" t="n">
        <v>0.865</v>
      </c>
      <c r="AW126" s="3" t="n">
        <v>0.786</v>
      </c>
      <c r="AX126" s="4" t="n">
        <f aca="false">IF(OR(AV126="",AW126=""),"",IFERROR(IF($K126="%",AW126-AV126,AW126/AV126-1),""))</f>
        <v>-0.079</v>
      </c>
      <c r="AY126" s="5" t="str">
        <f aca="false">IF(OR(AV126="",AW126=""),"",IF($F126="Maior Melhor",IF(AW126&gt;=AV126,"Sim","Não"),IF(AW126&lt;=AV126,"Sim","Não")))</f>
        <v>Não</v>
      </c>
      <c r="AZ126" s="3" t="n">
        <v>0.865</v>
      </c>
      <c r="BA126" s="3" t="n">
        <v>0.818</v>
      </c>
      <c r="BB126" s="4" t="n">
        <f aca="false">IF(OR(AZ126="",BA126=""),"",IFERROR(IF($K126="%",BA126-AZ126,BA126/AZ126-1),""))</f>
        <v>-0.047</v>
      </c>
      <c r="BC126" s="5" t="str">
        <f aca="false">IF(OR(AZ126="",BA126=""),"",IF($F126="Maior Melhor",IF(BA126&gt;=AZ126,"Sim","Não"),IF(BA126&lt;=AZ126,"Sim","Não")))</f>
        <v>Não</v>
      </c>
      <c r="BD126" s="3" t="n">
        <v>0.8652</v>
      </c>
      <c r="BE126" s="3" t="n">
        <v>0.8714</v>
      </c>
      <c r="BF126" s="4" t="n">
        <f aca="false">IF(OR(BD126="",BE126=""),"",IFERROR(IF($K126="%",BE126-BD126,BE126/BD126-1),""))</f>
        <v>0.00619999999999998</v>
      </c>
      <c r="BG126" s="5" t="str">
        <f aca="false">IF(OR(BD126="",BE126=""),"",IF($F126="Maior Melhor",IF(BE126&gt;=BD126,"Sim","Não"),IF(BE126&lt;=BD126,"Sim","Não")))</f>
        <v>Sim</v>
      </c>
      <c r="BH126" s="3" t="n">
        <v>0.8652</v>
      </c>
      <c r="BI126" s="3" t="n">
        <v>0.8276</v>
      </c>
      <c r="BJ126" s="4" t="n">
        <f aca="false">IF(OR(BH126="",BI126=""),"",IFERROR(IF($K126="%",BI126-BH126,BI126/BH126-1),""))</f>
        <v>-0.0376</v>
      </c>
      <c r="BK126" s="5" t="str">
        <f aca="false">IF(OR(BH126="",BI126=""),"",IF($F126="Maior Melhor",IF(BI126&gt;=BH126,"Sim","Não"),IF(BI126&lt;=BH126,"Sim","Não")))</f>
        <v>Não</v>
      </c>
      <c r="BL126" s="6"/>
      <c r="BM126" s="6"/>
      <c r="BN126" s="4" t="str">
        <f aca="false">IF(OR(BL126="",BM126=""),"",IFERROR(IF($K126="%",BM126-BL126,BM126/BL126-1),""))</f>
        <v/>
      </c>
      <c r="BO126" s="5" t="str">
        <f aca="false">IF(OR(BL126="",BM126=""),"",IF($F126="Maior Melhor",IF(BM126&gt;=BL126,"Sim","Não"),IF(BM126&lt;=BL126,"Sim","Não")))</f>
        <v/>
      </c>
      <c r="BP126" s="6"/>
      <c r="BQ126" s="6"/>
      <c r="BR126" s="4" t="str">
        <f aca="false">IF(OR(BP126="",BQ126=""),"",IFERROR(IF($K126="%",BQ126-BP126,BQ126/BP126-1),""))</f>
        <v/>
      </c>
      <c r="BS126" s="5" t="str">
        <f aca="false">IF(OR(BP126="",BQ126=""),"",IF($F126="Maior Melhor",IF(BQ126&gt;=BP126,"Sim","Não"),IF(BQ126&lt;=BP126,"Sim","Não")))</f>
        <v/>
      </c>
      <c r="BT126" s="6"/>
      <c r="BU126" s="6"/>
      <c r="BV126" s="4" t="str">
        <f aca="false">IF(OR(BT126="",BU126=""),"",IFERROR(IF($K126="%",BU126-BT126,BU126/BT126-1),""))</f>
        <v/>
      </c>
      <c r="BW126" s="5" t="str">
        <f aca="false">IF(OR(BT126="",BU126=""),"",IF($F126="Maior Melhor",IF(BU126&gt;=BT126,"Sim","Não"),IF(BU126&lt;=BT126,"Sim","Não")))</f>
        <v/>
      </c>
      <c r="BX126" s="6"/>
      <c r="BY126" s="6"/>
      <c r="BZ126" s="4" t="str">
        <f aca="false">IF(OR(BX126="",BY126=""),"",IFERROR(IF($K126="%",BY126-BX126,BY126/BX126-1),""))</f>
        <v/>
      </c>
      <c r="CA126" s="5" t="str">
        <f aca="false">IF(OR(BX126="",BY126=""),"",IF($F126="Maior Melhor",IF(BY126&gt;=BX126,"Sim","Não"),IF(BY126&lt;=BX126,"Sim","Não")))</f>
        <v/>
      </c>
      <c r="CB126" s="6"/>
      <c r="CC126" s="6"/>
      <c r="CD126" s="4" t="str">
        <f aca="false">IF(OR(CB126="",CC126=""),"",IFERROR(IF($K126="%",CC126-CB126,CC126/CB126-1),""))</f>
        <v/>
      </c>
      <c r="CE126" s="5" t="str">
        <f aca="false">IF(OR(CB126="",CC126=""),"",IF($F126="Maior Melhor",IF(CC126&gt;=CB126,"Sim","Não"),IF(CC126&lt;=CB126,"Sim","Não")))</f>
        <v/>
      </c>
      <c r="CF126" s="6"/>
      <c r="CG126" s="6"/>
      <c r="CH126" s="4" t="str">
        <f aca="false">IF(OR(CF126="",CG126=""),"",IFERROR(IF($K126="%",CG126-CF126,CG126/CF126-1),""))</f>
        <v/>
      </c>
      <c r="CI126" s="5" t="str">
        <f aca="false">IF(OR(CF126="",CG126=""),"",IF($F126="Maior Melhor",IF(CG126&gt;=CF126,"Sim","Não"),IF(CG126&lt;=CF126,"Sim","Não")))</f>
        <v/>
      </c>
      <c r="CJ126" s="6"/>
      <c r="CK126" s="6"/>
      <c r="CL126" s="4" t="str">
        <f aca="false">IF(OR(CJ126="",CK126=""),"",IFERROR(IF($K126="%",CK126-CJ126,CK126/CJ126-1),""))</f>
        <v/>
      </c>
      <c r="CM126" s="5" t="str">
        <f aca="false">IF(OR(CJ126="",CK126=""),"",IF($F126="Maior Melhor",IF(CK126&gt;=CJ126,"Sim","Não"),IF(CK126&lt;=CJ126,"Sim","Não")))</f>
        <v/>
      </c>
      <c r="CN126" s="6"/>
      <c r="CO126" s="6"/>
      <c r="CP126" s="4" t="str">
        <f aca="false">IF(OR(CN126="",CO126=""),"",IFERROR(IF($K126="%",CO126-CN126,CO126/CN126-1),""))</f>
        <v/>
      </c>
      <c r="CQ126" s="5" t="str">
        <f aca="false">IF(OR(CN126="",CO126=""),"",IF($F126="Maior Melhor",IF(CO126&gt;=CN126,"Sim","Não"),IF(CO126&lt;=CN126,"Sim","Não")))</f>
        <v/>
      </c>
      <c r="CR126" s="2" t="s">
        <v>105</v>
      </c>
    </row>
    <row r="127" customFormat="false" ht="15" hidden="false" customHeight="false" outlineLevel="0" collapsed="false">
      <c r="A127" s="2" t="s">
        <v>161</v>
      </c>
      <c r="B127" s="2" t="s">
        <v>108</v>
      </c>
      <c r="C127" s="2" t="s">
        <v>131</v>
      </c>
      <c r="D127" s="2" t="s">
        <v>162</v>
      </c>
      <c r="E127" s="2" t="str">
        <f aca="false">C127&amp;D127</f>
        <v>UTD VITORIA DA CONQUISTACSAT - UTDs</v>
      </c>
      <c r="F127" s="2" t="s">
        <v>100</v>
      </c>
      <c r="G127" s="2" t="s">
        <v>163</v>
      </c>
      <c r="H127" s="2" t="s">
        <v>102</v>
      </c>
      <c r="I127" s="2" t="s">
        <v>103</v>
      </c>
      <c r="J127" s="2" t="n">
        <v>3</v>
      </c>
      <c r="K127" s="2" t="s">
        <v>104</v>
      </c>
      <c r="L127" s="3" t="n">
        <v>0.88</v>
      </c>
      <c r="M127" s="3" t="n">
        <v>0.92</v>
      </c>
      <c r="N127" s="4" t="n">
        <f aca="false">IF(OR(L127="",M127=""),"",IFERROR(IF($K127="%",M127-L127,M127/L127-1),""))</f>
        <v>0.04</v>
      </c>
      <c r="O127" s="5" t="str">
        <f aca="false">IF(OR(L127="",M127=""),"",IF($F127="Maior Melhor",IF(M127&gt;=L127,"Sim","Não"),IF(M127&lt;=L127,"Sim","Não")))</f>
        <v>Sim</v>
      </c>
      <c r="P127" s="3" t="n">
        <v>0.88</v>
      </c>
      <c r="Q127" s="3" t="n">
        <v>0.9</v>
      </c>
      <c r="R127" s="4" t="n">
        <f aca="false">IF(OR(P127="",Q127=""),"",IFERROR(IF($K127="%",Q127-P127,Q127/P127-1),""))</f>
        <v>0.02</v>
      </c>
      <c r="S127" s="5" t="str">
        <f aca="false">IF(OR(P127="",Q127=""),"",IF($F127="Maior Melhor",IF(Q127&gt;=P127,"Sim","Não"),IF(Q127&lt;=P127,"Sim","Não")))</f>
        <v>Sim</v>
      </c>
      <c r="T127" s="3" t="n">
        <v>0.88</v>
      </c>
      <c r="U127" s="3" t="n">
        <v>0.93</v>
      </c>
      <c r="V127" s="4" t="n">
        <f aca="false">IF(OR(T127="",U127=""),"",IFERROR(IF($K127="%",U127-T127,U127/T127-1),""))</f>
        <v>0.05</v>
      </c>
      <c r="W127" s="5" t="str">
        <f aca="false">IF(OR(T127="",U127=""),"",IF($F127="Maior Melhor",IF(U127&gt;=T127,"Sim","Não"),IF(U127&lt;=T127,"Sim","Não")))</f>
        <v>Sim</v>
      </c>
      <c r="X127" s="3" t="n">
        <v>0.88</v>
      </c>
      <c r="Y127" s="3" t="n">
        <v>0.9</v>
      </c>
      <c r="Z127" s="4" t="n">
        <f aca="false">IF(OR(X127="",Y127=""),"",IFERROR(IF($K127="%",Y127-X127,Y127/X127-1),""))</f>
        <v>0.02</v>
      </c>
      <c r="AA127" s="5" t="str">
        <f aca="false">IF(OR(X127="",Y127=""),"",IF($F127="Maior Melhor",IF(Y127&gt;=X127,"Sim","Não"),IF(Y127&lt;=X127,"Sim","Não")))</f>
        <v>Sim</v>
      </c>
      <c r="AB127" s="3" t="n">
        <v>0.88</v>
      </c>
      <c r="AC127" s="3" t="n">
        <v>0.91</v>
      </c>
      <c r="AD127" s="4" t="n">
        <f aca="false">IF(OR(AB127="",AC127=""),"",IFERROR(IF($K127="%",AC127-AB127,AC127/AB127-1),""))</f>
        <v>0.03</v>
      </c>
      <c r="AE127" s="5" t="str">
        <f aca="false">IF(OR(AB127="",AC127=""),"",IF($F127="Maior Melhor",IF(AC127&gt;=AB127,"Sim","Não"),IF(AC127&lt;=AB127,"Sim","Não")))</f>
        <v>Sim</v>
      </c>
      <c r="AF127" s="3" t="n">
        <v>0.879</v>
      </c>
      <c r="AG127" s="3" t="n">
        <v>0.865</v>
      </c>
      <c r="AH127" s="4" t="n">
        <f aca="false">IF(OR(AF127="",AG127=""),"",IFERROR(IF($K127="%",AG127-AF127,AG127/AF127-1),""))</f>
        <v>-0.014</v>
      </c>
      <c r="AI127" s="5" t="str">
        <f aca="false">IF(OR(AF127="",AG127=""),"",IF($F127="Maior Melhor",IF(AG127&gt;=AF127,"Sim","Não"),IF(AG127&lt;=AF127,"Sim","Não")))</f>
        <v>Não</v>
      </c>
      <c r="AJ127" s="3" t="n">
        <v>0.879</v>
      </c>
      <c r="AK127" s="3" t="n">
        <v>0.905</v>
      </c>
      <c r="AL127" s="4" t="n">
        <f aca="false">IF(OR(AJ127="",AK127=""),"",IFERROR(IF($K127="%",AK127-AJ127,AK127/AJ127-1),""))</f>
        <v>0.026</v>
      </c>
      <c r="AM127" s="5" t="str">
        <f aca="false">IF(OR(AJ127="",AK127=""),"",IF($F127="Maior Melhor",IF(AK127&gt;=AJ127,"Sim","Não"),IF(AK127&lt;=AJ127,"Sim","Não")))</f>
        <v>Sim</v>
      </c>
      <c r="AN127" s="3" t="n">
        <v>0.879</v>
      </c>
      <c r="AO127" s="3" t="n">
        <v>0.866</v>
      </c>
      <c r="AP127" s="4" t="n">
        <f aca="false">IF(OR(AN127="",AO127=""),"",IFERROR(IF($K127="%",AO127-AN127,AO127/AN127-1),""))</f>
        <v>-0.013</v>
      </c>
      <c r="AQ127" s="5" t="str">
        <f aca="false">IF(OR(AN127="",AO127=""),"",IF($F127="Maior Melhor",IF(AO127&gt;=AN127,"Sim","Não"),IF(AO127&lt;=AN127,"Sim","Não")))</f>
        <v>Não</v>
      </c>
      <c r="AR127" s="3" t="n">
        <v>0.879</v>
      </c>
      <c r="AS127" s="3" t="n">
        <v>0.892</v>
      </c>
      <c r="AT127" s="4" t="n">
        <f aca="false">IF(OR(AR127="",AS127=""),"",IFERROR(IF($K127="%",AS127-AR127,AS127/AR127-1),""))</f>
        <v>0.013</v>
      </c>
      <c r="AU127" s="5" t="str">
        <f aca="false">IF(OR(AR127="",AS127=""),"",IF($F127="Maior Melhor",IF(AS127&gt;=AR127,"Sim","Não"),IF(AS127&lt;=AR127,"Sim","Não")))</f>
        <v>Sim</v>
      </c>
      <c r="AV127" s="3" t="n">
        <v>0.879</v>
      </c>
      <c r="AW127" s="3" t="n">
        <v>0.867</v>
      </c>
      <c r="AX127" s="4" t="n">
        <f aca="false">IF(OR(AV127="",AW127=""),"",IFERROR(IF($K127="%",AW127-AV127,AW127/AV127-1),""))</f>
        <v>-0.012</v>
      </c>
      <c r="AY127" s="5" t="str">
        <f aca="false">IF(OR(AV127="",AW127=""),"",IF($F127="Maior Melhor",IF(AW127&gt;=AV127,"Sim","Não"),IF(AW127&lt;=AV127,"Sim","Não")))</f>
        <v>Não</v>
      </c>
      <c r="AZ127" s="3" t="n">
        <v>0.879</v>
      </c>
      <c r="BA127" s="3" t="n">
        <v>0.888</v>
      </c>
      <c r="BB127" s="4" t="n">
        <f aca="false">IF(OR(AZ127="",BA127=""),"",IFERROR(IF($K127="%",BA127-AZ127,BA127/AZ127-1),""))</f>
        <v>0.00900000000000001</v>
      </c>
      <c r="BC127" s="5" t="str">
        <f aca="false">IF(OR(AZ127="",BA127=""),"",IF($F127="Maior Melhor",IF(BA127&gt;=AZ127,"Sim","Não"),IF(BA127&lt;=AZ127,"Sim","Não")))</f>
        <v>Sim</v>
      </c>
      <c r="BD127" s="3" t="n">
        <v>0.8795</v>
      </c>
      <c r="BE127" s="3" t="n">
        <v>0.8441</v>
      </c>
      <c r="BF127" s="4" t="n">
        <f aca="false">IF(OR(BD127="",BE127=""),"",IFERROR(IF($K127="%",BE127-BD127,BE127/BD127-1),""))</f>
        <v>-0.0354</v>
      </c>
      <c r="BG127" s="5" t="str">
        <f aca="false">IF(OR(BD127="",BE127=""),"",IF($F127="Maior Melhor",IF(BE127&gt;=BD127,"Sim","Não"),IF(BE127&lt;=BD127,"Sim","Não")))</f>
        <v>Não</v>
      </c>
      <c r="BH127" s="3" t="n">
        <v>0.8795</v>
      </c>
      <c r="BI127" s="3" t="n">
        <v>0.8814</v>
      </c>
      <c r="BJ127" s="4" t="n">
        <f aca="false">IF(OR(BH127="",BI127=""),"",IFERROR(IF($K127="%",BI127-BH127,BI127/BH127-1),""))</f>
        <v>0.00190000000000001</v>
      </c>
      <c r="BK127" s="5" t="str">
        <f aca="false">IF(OR(BH127="",BI127=""),"",IF($F127="Maior Melhor",IF(BI127&gt;=BH127,"Sim","Não"),IF(BI127&lt;=BH127,"Sim","Não")))</f>
        <v>Sim</v>
      </c>
      <c r="BL127" s="6"/>
      <c r="BM127" s="6"/>
      <c r="BN127" s="4" t="str">
        <f aca="false">IF(OR(BL127="",BM127=""),"",IFERROR(IF($K127="%",BM127-BL127,BM127/BL127-1),""))</f>
        <v/>
      </c>
      <c r="BO127" s="5" t="str">
        <f aca="false">IF(OR(BL127="",BM127=""),"",IF($F127="Maior Melhor",IF(BM127&gt;=BL127,"Sim","Não"),IF(BM127&lt;=BL127,"Sim","Não")))</f>
        <v/>
      </c>
      <c r="BP127" s="6"/>
      <c r="BQ127" s="6"/>
      <c r="BR127" s="4" t="str">
        <f aca="false">IF(OR(BP127="",BQ127=""),"",IFERROR(IF($K127="%",BQ127-BP127,BQ127/BP127-1),""))</f>
        <v/>
      </c>
      <c r="BS127" s="5" t="str">
        <f aca="false">IF(OR(BP127="",BQ127=""),"",IF($F127="Maior Melhor",IF(BQ127&gt;=BP127,"Sim","Não"),IF(BQ127&lt;=BP127,"Sim","Não")))</f>
        <v/>
      </c>
      <c r="BT127" s="6"/>
      <c r="BU127" s="6"/>
      <c r="BV127" s="4" t="str">
        <f aca="false">IF(OR(BT127="",BU127=""),"",IFERROR(IF($K127="%",BU127-BT127,BU127/BT127-1),""))</f>
        <v/>
      </c>
      <c r="BW127" s="5" t="str">
        <f aca="false">IF(OR(BT127="",BU127=""),"",IF($F127="Maior Melhor",IF(BU127&gt;=BT127,"Sim","Não"),IF(BU127&lt;=BT127,"Sim","Não")))</f>
        <v/>
      </c>
      <c r="BX127" s="6"/>
      <c r="BY127" s="6"/>
      <c r="BZ127" s="4" t="str">
        <f aca="false">IF(OR(BX127="",BY127=""),"",IFERROR(IF($K127="%",BY127-BX127,BY127/BX127-1),""))</f>
        <v/>
      </c>
      <c r="CA127" s="5" t="str">
        <f aca="false">IF(OR(BX127="",BY127=""),"",IF($F127="Maior Melhor",IF(BY127&gt;=BX127,"Sim","Não"),IF(BY127&lt;=BX127,"Sim","Não")))</f>
        <v/>
      </c>
      <c r="CB127" s="6"/>
      <c r="CC127" s="6"/>
      <c r="CD127" s="4" t="str">
        <f aca="false">IF(OR(CB127="",CC127=""),"",IFERROR(IF($K127="%",CC127-CB127,CC127/CB127-1),""))</f>
        <v/>
      </c>
      <c r="CE127" s="5" t="str">
        <f aca="false">IF(OR(CB127="",CC127=""),"",IF($F127="Maior Melhor",IF(CC127&gt;=CB127,"Sim","Não"),IF(CC127&lt;=CB127,"Sim","Não")))</f>
        <v/>
      </c>
      <c r="CF127" s="6"/>
      <c r="CG127" s="6"/>
      <c r="CH127" s="4" t="str">
        <f aca="false">IF(OR(CF127="",CG127=""),"",IFERROR(IF($K127="%",CG127-CF127,CG127/CF127-1),""))</f>
        <v/>
      </c>
      <c r="CI127" s="5" t="str">
        <f aca="false">IF(OR(CF127="",CG127=""),"",IF($F127="Maior Melhor",IF(CG127&gt;=CF127,"Sim","Não"),IF(CG127&lt;=CF127,"Sim","Não")))</f>
        <v/>
      </c>
      <c r="CJ127" s="6"/>
      <c r="CK127" s="6"/>
      <c r="CL127" s="4" t="str">
        <f aca="false">IF(OR(CJ127="",CK127=""),"",IFERROR(IF($K127="%",CK127-CJ127,CK127/CJ127-1),""))</f>
        <v/>
      </c>
      <c r="CM127" s="5" t="str">
        <f aca="false">IF(OR(CJ127="",CK127=""),"",IF($F127="Maior Melhor",IF(CK127&gt;=CJ127,"Sim","Não"),IF(CK127&lt;=CJ127,"Sim","Não")))</f>
        <v/>
      </c>
      <c r="CN127" s="6"/>
      <c r="CO127" s="6"/>
      <c r="CP127" s="4" t="str">
        <f aca="false">IF(OR(CN127="",CO127=""),"",IFERROR(IF($K127="%",CO127-CN127,CO127/CN127-1),""))</f>
        <v/>
      </c>
      <c r="CQ127" s="5" t="str">
        <f aca="false">IF(OR(CN127="",CO127=""),"",IF($F127="Maior Melhor",IF(CO127&gt;=CN127,"Sim","Não"),IF(CO127&lt;=CN127,"Sim","Não")))</f>
        <v/>
      </c>
      <c r="CR127" s="2" t="s">
        <v>105</v>
      </c>
    </row>
    <row r="128" customFormat="false" ht="15" hidden="false" customHeight="false" outlineLevel="0" collapsed="false">
      <c r="A128" s="2" t="s">
        <v>144</v>
      </c>
      <c r="B128" s="2" t="s">
        <v>97</v>
      </c>
      <c r="C128" s="2" t="s">
        <v>98</v>
      </c>
      <c r="D128" s="2" t="s">
        <v>166</v>
      </c>
      <c r="E128" s="2" t="str">
        <f aca="false">C128&amp;D128</f>
        <v>Gerência Centro OesteDesvio de Telemetria</v>
      </c>
      <c r="F128" s="2" t="s">
        <v>167</v>
      </c>
      <c r="G128" s="2" t="s">
        <v>168</v>
      </c>
      <c r="H128" s="2" t="s">
        <v>102</v>
      </c>
      <c r="I128" s="2" t="s">
        <v>169</v>
      </c>
      <c r="J128" s="2" t="n">
        <v>2</v>
      </c>
      <c r="K128" s="2" t="s">
        <v>147</v>
      </c>
      <c r="L128" s="7" t="n">
        <v>42</v>
      </c>
      <c r="M128" s="7" t="n">
        <v>18</v>
      </c>
      <c r="N128" s="4" t="n">
        <f aca="false">IF(OR(L128="",M128=""),"",IFERROR(IF($K128="%",M128-L128,M128/L128-1),""))</f>
        <v>-0.571428571428571</v>
      </c>
      <c r="O128" s="5" t="str">
        <f aca="false">IF(OR(L128="",M128=""),"",IF($F128="Maior Melhor",IF(M128&gt;=L128,"Sim","Não"),IF(M128&lt;=L128,"Sim","Não")))</f>
        <v>Sim</v>
      </c>
      <c r="P128" s="7" t="n">
        <v>42</v>
      </c>
      <c r="Q128" s="7" t="n">
        <v>26</v>
      </c>
      <c r="R128" s="4" t="n">
        <f aca="false">IF(OR(P128="",Q128=""),"",IFERROR(IF($K128="%",Q128-P128,Q128/P128-1),""))</f>
        <v>-0.380952380952381</v>
      </c>
      <c r="S128" s="5" t="str">
        <f aca="false">IF(OR(P128="",Q128=""),"",IF($F128="Maior Melhor",IF(Q128&gt;=P128,"Sim","Não"),IF(Q128&lt;=P128,"Sim","Não")))</f>
        <v>Sim</v>
      </c>
      <c r="T128" s="7" t="n">
        <v>42</v>
      </c>
      <c r="U128" s="7" t="n">
        <v>28</v>
      </c>
      <c r="V128" s="4" t="n">
        <f aca="false">IF(OR(T128="",U128=""),"",IFERROR(IF($K128="%",U128-T128,U128/T128-1),""))</f>
        <v>-0.333333333333333</v>
      </c>
      <c r="W128" s="5" t="str">
        <f aca="false">IF(OR(T128="",U128=""),"",IF($F128="Maior Melhor",IF(U128&gt;=T128,"Sim","Não"),IF(U128&lt;=T128,"Sim","Não")))</f>
        <v>Sim</v>
      </c>
      <c r="X128" s="7"/>
      <c r="Y128" s="7"/>
      <c r="Z128" s="4" t="str">
        <f aca="false">IF(OR(X128="",Y128=""),"",IFERROR(IF($K128="%",Y128-X128,Y128/X128-1),""))</f>
        <v/>
      </c>
      <c r="AA128" s="5" t="str">
        <f aca="false">IF(OR(X128="",Y128=""),"",IF($F128="Maior Melhor",IF(Y128&gt;=X128,"Sim","Não"),IF(Y128&lt;=X128,"Sim","Não")))</f>
        <v/>
      </c>
      <c r="AB128" s="7"/>
      <c r="AC128" s="7"/>
      <c r="AD128" s="4" t="str">
        <f aca="false">IF(OR(AB128="",AC128=""),"",IFERROR(IF($K128="%",AC128-AB128,AC128/AB128-1),""))</f>
        <v/>
      </c>
      <c r="AE128" s="5" t="str">
        <f aca="false">IF(OR(AB128="",AC128=""),"",IF($F128="Maior Melhor",IF(AC128&gt;=AB128,"Sim","Não"),IF(AC128&lt;=AB128,"Sim","Não")))</f>
        <v/>
      </c>
      <c r="AF128" s="7"/>
      <c r="AG128" s="7"/>
      <c r="AH128" s="4" t="str">
        <f aca="false">IF(OR(AF128="",AG128=""),"",IFERROR(IF($K128="%",AG128-AF128,AG128/AF128-1),""))</f>
        <v/>
      </c>
      <c r="AI128" s="5" t="str">
        <f aca="false">IF(OR(AF128="",AG128=""),"",IF($F128="Maior Melhor",IF(AG128&gt;=AF128,"Sim","Não"),IF(AG128&lt;=AF128,"Sim","Não")))</f>
        <v/>
      </c>
      <c r="AJ128" s="7"/>
      <c r="AK128" s="7"/>
      <c r="AL128" s="4" t="str">
        <f aca="false">IF(OR(AJ128="",AK128=""),"",IFERROR(IF($K128="%",AK128-AJ128,AK128/AJ128-1),""))</f>
        <v/>
      </c>
      <c r="AM128" s="5" t="str">
        <f aca="false">IF(OR(AJ128="",AK128=""),"",IF($F128="Maior Melhor",IF(AK128&gt;=AJ128,"Sim","Não"),IF(AK128&lt;=AJ128,"Sim","Não")))</f>
        <v/>
      </c>
      <c r="AN128" s="7"/>
      <c r="AO128" s="7"/>
      <c r="AP128" s="4" t="str">
        <f aca="false">IF(OR(AN128="",AO128=""),"",IFERROR(IF($K128="%",AO128-AN128,AO128/AN128-1),""))</f>
        <v/>
      </c>
      <c r="AQ128" s="5" t="str">
        <f aca="false">IF(OR(AN128="",AO128=""),"",IF($F128="Maior Melhor",IF(AO128&gt;=AN128,"Sim","Não"),IF(AO128&lt;=AN128,"Sim","Não")))</f>
        <v/>
      </c>
      <c r="AR128" s="7"/>
      <c r="AS128" s="7"/>
      <c r="AT128" s="4" t="str">
        <f aca="false">IF(OR(AR128="",AS128=""),"",IFERROR(IF($K128="%",AS128-AR128,AS128/AR128-1),""))</f>
        <v/>
      </c>
      <c r="AU128" s="5" t="str">
        <f aca="false">IF(OR(AR128="",AS128=""),"",IF($F128="Maior Melhor",IF(AS128&gt;=AR128,"Sim","Não"),IF(AS128&lt;=AR128,"Sim","Não")))</f>
        <v/>
      </c>
      <c r="AV128" s="7"/>
      <c r="AW128" s="7"/>
      <c r="AX128" s="4" t="str">
        <f aca="false">IF(OR(AV128="",AW128=""),"",IFERROR(IF($K128="%",AW128-AV128,AW128/AV128-1),""))</f>
        <v/>
      </c>
      <c r="AY128" s="5" t="str">
        <f aca="false">IF(OR(AV128="",AW128=""),"",IF($F128="Maior Melhor",IF(AW128&gt;=AV128,"Sim","Não"),IF(AW128&lt;=AV128,"Sim","Não")))</f>
        <v/>
      </c>
      <c r="AZ128" s="7"/>
      <c r="BA128" s="7"/>
      <c r="BB128" s="4" t="str">
        <f aca="false">IF(OR(AZ128="",BA128=""),"",IFERROR(IF($K128="%",BA128-AZ128,BA128/AZ128-1),""))</f>
        <v/>
      </c>
      <c r="BC128" s="5" t="str">
        <f aca="false">IF(OR(AZ128="",BA128=""),"",IF($F128="Maior Melhor",IF(BA128&gt;=AZ128,"Sim","Não"),IF(BA128&lt;=AZ128,"Sim","Não")))</f>
        <v/>
      </c>
      <c r="BD128" s="7"/>
      <c r="BE128" s="7"/>
      <c r="BF128" s="4" t="str">
        <f aca="false">IF(OR(BD128="",BE128=""),"",IFERROR(IF($K128="%",BE128-BD128,BE128/BD128-1),""))</f>
        <v/>
      </c>
      <c r="BG128" s="5" t="str">
        <f aca="false">IF(OR(BD128="",BE128=""),"",IF($F128="Maior Melhor",IF(BE128&gt;=BD128,"Sim","Não"),IF(BE128&lt;=BD128,"Sim","Não")))</f>
        <v/>
      </c>
      <c r="BH128" s="7"/>
      <c r="BI128" s="7"/>
      <c r="BJ128" s="4" t="str">
        <f aca="false">IF(OR(BH128="",BI128=""),"",IFERROR(IF($K128="%",BI128-BH128,BI128/BH128-1),""))</f>
        <v/>
      </c>
      <c r="BK128" s="5" t="str">
        <f aca="false">IF(OR(BH128="",BI128=""),"",IF($F128="Maior Melhor",IF(BI128&gt;=BH128,"Sim","Não"),IF(BI128&lt;=BH128,"Sim","Não")))</f>
        <v/>
      </c>
      <c r="BL128" s="8"/>
      <c r="BM128" s="8"/>
      <c r="BN128" s="4" t="str">
        <f aca="false">IF(OR(BL128="",BM128=""),"",IFERROR(IF($K128="%",BM128-BL128,BM128/BL128-1),""))</f>
        <v/>
      </c>
      <c r="BO128" s="5" t="str">
        <f aca="false">IF(OR(BL128="",BM128=""),"",IF($F128="Maior Melhor",IF(BM128&gt;=BL128,"Sim","Não"),IF(BM128&lt;=BL128,"Sim","Não")))</f>
        <v/>
      </c>
      <c r="BP128" s="8"/>
      <c r="BQ128" s="8"/>
      <c r="BR128" s="4" t="str">
        <f aca="false">IF(OR(BP128="",BQ128=""),"",IFERROR(IF($K128="%",BQ128-BP128,BQ128/BP128-1),""))</f>
        <v/>
      </c>
      <c r="BS128" s="5" t="str">
        <f aca="false">IF(OR(BP128="",BQ128=""),"",IF($F128="Maior Melhor",IF(BQ128&gt;=BP128,"Sim","Não"),IF(BQ128&lt;=BP128,"Sim","Não")))</f>
        <v/>
      </c>
      <c r="BT128" s="8"/>
      <c r="BU128" s="8"/>
      <c r="BV128" s="4" t="str">
        <f aca="false">IF(OR(BT128="",BU128=""),"",IFERROR(IF($K128="%",BU128-BT128,BU128/BT128-1),""))</f>
        <v/>
      </c>
      <c r="BW128" s="5" t="str">
        <f aca="false">IF(OR(BT128="",BU128=""),"",IF($F128="Maior Melhor",IF(BU128&gt;=BT128,"Sim","Não"),IF(BU128&lt;=BT128,"Sim","Não")))</f>
        <v/>
      </c>
      <c r="BX128" s="8"/>
      <c r="BY128" s="8"/>
      <c r="BZ128" s="4" t="str">
        <f aca="false">IF(OR(BX128="",BY128=""),"",IFERROR(IF($K128="%",BY128-BX128,BY128/BX128-1),""))</f>
        <v/>
      </c>
      <c r="CA128" s="5" t="str">
        <f aca="false">IF(OR(BX128="",BY128=""),"",IF($F128="Maior Melhor",IF(BY128&gt;=BX128,"Sim","Não"),IF(BY128&lt;=BX128,"Sim","Não")))</f>
        <v/>
      </c>
      <c r="CB128" s="8"/>
      <c r="CC128" s="8"/>
      <c r="CD128" s="4" t="str">
        <f aca="false">IF(OR(CB128="",CC128=""),"",IFERROR(IF($K128="%",CC128-CB128,CC128/CB128-1),""))</f>
        <v/>
      </c>
      <c r="CE128" s="5" t="str">
        <f aca="false">IF(OR(CB128="",CC128=""),"",IF($F128="Maior Melhor",IF(CC128&gt;=CB128,"Sim","Não"),IF(CC128&lt;=CB128,"Sim","Não")))</f>
        <v/>
      </c>
      <c r="CF128" s="8"/>
      <c r="CG128" s="8"/>
      <c r="CH128" s="4" t="str">
        <f aca="false">IF(OR(CF128="",CG128=""),"",IFERROR(IF($K128="%",CG128-CF128,CG128/CF128-1),""))</f>
        <v/>
      </c>
      <c r="CI128" s="5" t="str">
        <f aca="false">IF(OR(CF128="",CG128=""),"",IF($F128="Maior Melhor",IF(CG128&gt;=CF128,"Sim","Não"),IF(CG128&lt;=CF128,"Sim","Não")))</f>
        <v/>
      </c>
      <c r="CJ128" s="8"/>
      <c r="CK128" s="8"/>
      <c r="CL128" s="4" t="str">
        <f aca="false">IF(OR(CJ128="",CK128=""),"",IFERROR(IF($K128="%",CK128-CJ128,CK128/CJ128-1),""))</f>
        <v/>
      </c>
      <c r="CM128" s="5" t="str">
        <f aca="false">IF(OR(CJ128="",CK128=""),"",IF($F128="Maior Melhor",IF(CK128&gt;=CJ128,"Sim","Não"),IF(CK128&lt;=CJ128,"Sim","Não")))</f>
        <v/>
      </c>
      <c r="CN128" s="8"/>
      <c r="CO128" s="8"/>
      <c r="CP128" s="4" t="str">
        <f aca="false">IF(OR(CN128="",CO128=""),"",IFERROR(IF($K128="%",CO128-CN128,CO128/CN128-1),""))</f>
        <v/>
      </c>
      <c r="CQ128" s="5" t="str">
        <f aca="false">IF(OR(CN128="",CO128=""),"",IF($F128="Maior Melhor",IF(CO128&gt;=CN128,"Sim","Não"),IF(CO128&lt;=CN128,"Sim","Não")))</f>
        <v/>
      </c>
      <c r="CR128" s="2" t="s">
        <v>105</v>
      </c>
    </row>
    <row r="129" customFormat="false" ht="15" hidden="false" customHeight="false" outlineLevel="0" collapsed="false">
      <c r="A129" s="2" t="s">
        <v>144</v>
      </c>
      <c r="B129" s="2" t="s">
        <v>106</v>
      </c>
      <c r="C129" s="2" t="s">
        <v>107</v>
      </c>
      <c r="D129" s="2" t="s">
        <v>166</v>
      </c>
      <c r="E129" s="2" t="str">
        <f aca="false">C129&amp;D129</f>
        <v>Gerência OesteDesvio de Telemetria</v>
      </c>
      <c r="F129" s="2" t="s">
        <v>167</v>
      </c>
      <c r="G129" s="2" t="s">
        <v>168</v>
      </c>
      <c r="H129" s="2" t="s">
        <v>102</v>
      </c>
      <c r="I129" s="2" t="s">
        <v>169</v>
      </c>
      <c r="J129" s="2" t="n">
        <v>2</v>
      </c>
      <c r="K129" s="2" t="s">
        <v>147</v>
      </c>
      <c r="L129" s="7" t="n">
        <v>43</v>
      </c>
      <c r="M129" s="7" t="n">
        <v>262</v>
      </c>
      <c r="N129" s="4" t="n">
        <f aca="false">IF(OR(L129="",M129=""),"",IFERROR(IF($K129="%",M129-L129,M129/L129-1),""))</f>
        <v>5.09302325581395</v>
      </c>
      <c r="O129" s="5" t="str">
        <f aca="false">IF(OR(L129="",M129=""),"",IF($F129="Maior Melhor",IF(M129&gt;=L129,"Sim","Não"),IF(M129&lt;=L129,"Sim","Não")))</f>
        <v>Não</v>
      </c>
      <c r="P129" s="7" t="n">
        <v>43</v>
      </c>
      <c r="Q129" s="7" t="n">
        <v>133</v>
      </c>
      <c r="R129" s="4" t="n">
        <f aca="false">IF(OR(P129="",Q129=""),"",IFERROR(IF($K129="%",Q129-P129,Q129/P129-1),""))</f>
        <v>2.09302325581395</v>
      </c>
      <c r="S129" s="5" t="str">
        <f aca="false">IF(OR(P129="",Q129=""),"",IF($F129="Maior Melhor",IF(Q129&gt;=P129,"Sim","Não"),IF(Q129&lt;=P129,"Sim","Não")))</f>
        <v>Não</v>
      </c>
      <c r="T129" s="7" t="n">
        <v>43</v>
      </c>
      <c r="U129" s="7" t="n">
        <v>147</v>
      </c>
      <c r="V129" s="4" t="n">
        <f aca="false">IF(OR(T129="",U129=""),"",IFERROR(IF($K129="%",U129-T129,U129/T129-1),""))</f>
        <v>2.41860465116279</v>
      </c>
      <c r="W129" s="5" t="str">
        <f aca="false">IF(OR(T129="",U129=""),"",IF($F129="Maior Melhor",IF(U129&gt;=T129,"Sim","Não"),IF(U129&lt;=T129,"Sim","Não")))</f>
        <v>Não</v>
      </c>
      <c r="X129" s="7"/>
      <c r="Y129" s="7"/>
      <c r="Z129" s="4" t="str">
        <f aca="false">IF(OR(X129="",Y129=""),"",IFERROR(IF($K129="%",Y129-X129,Y129/X129-1),""))</f>
        <v/>
      </c>
      <c r="AA129" s="5" t="str">
        <f aca="false">IF(OR(X129="",Y129=""),"",IF($F129="Maior Melhor",IF(Y129&gt;=X129,"Sim","Não"),IF(Y129&lt;=X129,"Sim","Não")))</f>
        <v/>
      </c>
      <c r="AB129" s="7"/>
      <c r="AC129" s="7"/>
      <c r="AD129" s="4" t="str">
        <f aca="false">IF(OR(AB129="",AC129=""),"",IFERROR(IF($K129="%",AC129-AB129,AC129/AB129-1),""))</f>
        <v/>
      </c>
      <c r="AE129" s="5" t="str">
        <f aca="false">IF(OR(AB129="",AC129=""),"",IF($F129="Maior Melhor",IF(AC129&gt;=AB129,"Sim","Não"),IF(AC129&lt;=AB129,"Sim","Não")))</f>
        <v/>
      </c>
      <c r="AF129" s="7"/>
      <c r="AG129" s="7"/>
      <c r="AH129" s="4" t="str">
        <f aca="false">IF(OR(AF129="",AG129=""),"",IFERROR(IF($K129="%",AG129-AF129,AG129/AF129-1),""))</f>
        <v/>
      </c>
      <c r="AI129" s="5" t="str">
        <f aca="false">IF(OR(AF129="",AG129=""),"",IF($F129="Maior Melhor",IF(AG129&gt;=AF129,"Sim","Não"),IF(AG129&lt;=AF129,"Sim","Não")))</f>
        <v/>
      </c>
      <c r="AJ129" s="7"/>
      <c r="AK129" s="7"/>
      <c r="AL129" s="4" t="str">
        <f aca="false">IF(OR(AJ129="",AK129=""),"",IFERROR(IF($K129="%",AK129-AJ129,AK129/AJ129-1),""))</f>
        <v/>
      </c>
      <c r="AM129" s="5" t="str">
        <f aca="false">IF(OR(AJ129="",AK129=""),"",IF($F129="Maior Melhor",IF(AK129&gt;=AJ129,"Sim","Não"),IF(AK129&lt;=AJ129,"Sim","Não")))</f>
        <v/>
      </c>
      <c r="AN129" s="7"/>
      <c r="AO129" s="7"/>
      <c r="AP129" s="4" t="str">
        <f aca="false">IF(OR(AN129="",AO129=""),"",IFERROR(IF($K129="%",AO129-AN129,AO129/AN129-1),""))</f>
        <v/>
      </c>
      <c r="AQ129" s="5" t="str">
        <f aca="false">IF(OR(AN129="",AO129=""),"",IF($F129="Maior Melhor",IF(AO129&gt;=AN129,"Sim","Não"),IF(AO129&lt;=AN129,"Sim","Não")))</f>
        <v/>
      </c>
      <c r="AR129" s="7"/>
      <c r="AS129" s="7"/>
      <c r="AT129" s="4" t="str">
        <f aca="false">IF(OR(AR129="",AS129=""),"",IFERROR(IF($K129="%",AS129-AR129,AS129/AR129-1),""))</f>
        <v/>
      </c>
      <c r="AU129" s="5" t="str">
        <f aca="false">IF(OR(AR129="",AS129=""),"",IF($F129="Maior Melhor",IF(AS129&gt;=AR129,"Sim","Não"),IF(AS129&lt;=AR129,"Sim","Não")))</f>
        <v/>
      </c>
      <c r="AV129" s="7"/>
      <c r="AW129" s="7"/>
      <c r="AX129" s="4" t="str">
        <f aca="false">IF(OR(AV129="",AW129=""),"",IFERROR(IF($K129="%",AW129-AV129,AW129/AV129-1),""))</f>
        <v/>
      </c>
      <c r="AY129" s="5" t="str">
        <f aca="false">IF(OR(AV129="",AW129=""),"",IF($F129="Maior Melhor",IF(AW129&gt;=AV129,"Sim","Não"),IF(AW129&lt;=AV129,"Sim","Não")))</f>
        <v/>
      </c>
      <c r="AZ129" s="7"/>
      <c r="BA129" s="7"/>
      <c r="BB129" s="4" t="str">
        <f aca="false">IF(OR(AZ129="",BA129=""),"",IFERROR(IF($K129="%",BA129-AZ129,BA129/AZ129-1),""))</f>
        <v/>
      </c>
      <c r="BC129" s="5" t="str">
        <f aca="false">IF(OR(AZ129="",BA129=""),"",IF($F129="Maior Melhor",IF(BA129&gt;=AZ129,"Sim","Não"),IF(BA129&lt;=AZ129,"Sim","Não")))</f>
        <v/>
      </c>
      <c r="BD129" s="7"/>
      <c r="BE129" s="7"/>
      <c r="BF129" s="4" t="str">
        <f aca="false">IF(OR(BD129="",BE129=""),"",IFERROR(IF($K129="%",BE129-BD129,BE129/BD129-1),""))</f>
        <v/>
      </c>
      <c r="BG129" s="5" t="str">
        <f aca="false">IF(OR(BD129="",BE129=""),"",IF($F129="Maior Melhor",IF(BE129&gt;=BD129,"Sim","Não"),IF(BE129&lt;=BD129,"Sim","Não")))</f>
        <v/>
      </c>
      <c r="BH129" s="7"/>
      <c r="BI129" s="7"/>
      <c r="BJ129" s="4" t="str">
        <f aca="false">IF(OR(BH129="",BI129=""),"",IFERROR(IF($K129="%",BI129-BH129,BI129/BH129-1),""))</f>
        <v/>
      </c>
      <c r="BK129" s="5" t="str">
        <f aca="false">IF(OR(BH129="",BI129=""),"",IF($F129="Maior Melhor",IF(BI129&gt;=BH129,"Sim","Não"),IF(BI129&lt;=BH129,"Sim","Não")))</f>
        <v/>
      </c>
      <c r="BL129" s="8"/>
      <c r="BM129" s="8"/>
      <c r="BN129" s="4" t="str">
        <f aca="false">IF(OR(BL129="",BM129=""),"",IFERROR(IF($K129="%",BM129-BL129,BM129/BL129-1),""))</f>
        <v/>
      </c>
      <c r="BO129" s="5" t="str">
        <f aca="false">IF(OR(BL129="",BM129=""),"",IF($F129="Maior Melhor",IF(BM129&gt;=BL129,"Sim","Não"),IF(BM129&lt;=BL129,"Sim","Não")))</f>
        <v/>
      </c>
      <c r="BP129" s="8"/>
      <c r="BQ129" s="8"/>
      <c r="BR129" s="4" t="str">
        <f aca="false">IF(OR(BP129="",BQ129=""),"",IFERROR(IF($K129="%",BQ129-BP129,BQ129/BP129-1),""))</f>
        <v/>
      </c>
      <c r="BS129" s="5" t="str">
        <f aca="false">IF(OR(BP129="",BQ129=""),"",IF($F129="Maior Melhor",IF(BQ129&gt;=BP129,"Sim","Não"),IF(BQ129&lt;=BP129,"Sim","Não")))</f>
        <v/>
      </c>
      <c r="BT129" s="8"/>
      <c r="BU129" s="8"/>
      <c r="BV129" s="4" t="str">
        <f aca="false">IF(OR(BT129="",BU129=""),"",IFERROR(IF($K129="%",BU129-BT129,BU129/BT129-1),""))</f>
        <v/>
      </c>
      <c r="BW129" s="5" t="str">
        <f aca="false">IF(OR(BT129="",BU129=""),"",IF($F129="Maior Melhor",IF(BU129&gt;=BT129,"Sim","Não"),IF(BU129&lt;=BT129,"Sim","Não")))</f>
        <v/>
      </c>
      <c r="BX129" s="8"/>
      <c r="BY129" s="8"/>
      <c r="BZ129" s="4" t="str">
        <f aca="false">IF(OR(BX129="",BY129=""),"",IFERROR(IF($K129="%",BY129-BX129,BY129/BX129-1),""))</f>
        <v/>
      </c>
      <c r="CA129" s="5" t="str">
        <f aca="false">IF(OR(BX129="",BY129=""),"",IF($F129="Maior Melhor",IF(BY129&gt;=BX129,"Sim","Não"),IF(BY129&lt;=BX129,"Sim","Não")))</f>
        <v/>
      </c>
      <c r="CB129" s="8"/>
      <c r="CC129" s="8"/>
      <c r="CD129" s="4" t="str">
        <f aca="false">IF(OR(CB129="",CC129=""),"",IFERROR(IF($K129="%",CC129-CB129,CC129/CB129-1),""))</f>
        <v/>
      </c>
      <c r="CE129" s="5" t="str">
        <f aca="false">IF(OR(CB129="",CC129=""),"",IF($F129="Maior Melhor",IF(CC129&gt;=CB129,"Sim","Não"),IF(CC129&lt;=CB129,"Sim","Não")))</f>
        <v/>
      </c>
      <c r="CF129" s="8"/>
      <c r="CG129" s="8"/>
      <c r="CH129" s="4" t="str">
        <f aca="false">IF(OR(CF129="",CG129=""),"",IFERROR(IF($K129="%",CG129-CF129,CG129/CF129-1),""))</f>
        <v/>
      </c>
      <c r="CI129" s="5" t="str">
        <f aca="false">IF(OR(CF129="",CG129=""),"",IF($F129="Maior Melhor",IF(CG129&gt;=CF129,"Sim","Não"),IF(CG129&lt;=CF129,"Sim","Não")))</f>
        <v/>
      </c>
      <c r="CJ129" s="8"/>
      <c r="CK129" s="8"/>
      <c r="CL129" s="4" t="str">
        <f aca="false">IF(OR(CJ129="",CK129=""),"",IFERROR(IF($K129="%",CK129-CJ129,CK129/CJ129-1),""))</f>
        <v/>
      </c>
      <c r="CM129" s="5" t="str">
        <f aca="false">IF(OR(CJ129="",CK129=""),"",IF($F129="Maior Melhor",IF(CK129&gt;=CJ129,"Sim","Não"),IF(CK129&lt;=CJ129,"Sim","Não")))</f>
        <v/>
      </c>
      <c r="CN129" s="8"/>
      <c r="CO129" s="8"/>
      <c r="CP129" s="4" t="str">
        <f aca="false">IF(OR(CN129="",CO129=""),"",IFERROR(IF($K129="%",CO129-CN129,CO129/CN129-1),""))</f>
        <v/>
      </c>
      <c r="CQ129" s="5" t="str">
        <f aca="false">IF(OR(CN129="",CO129=""),"",IF($F129="Maior Melhor",IF(CO129&gt;=CN129,"Sim","Não"),IF(CO129&lt;=CN129,"Sim","Não")))</f>
        <v/>
      </c>
      <c r="CR129" s="2" t="s">
        <v>105</v>
      </c>
    </row>
    <row r="130" customFormat="false" ht="15" hidden="false" customHeight="false" outlineLevel="0" collapsed="false">
      <c r="A130" s="2" t="s">
        <v>144</v>
      </c>
      <c r="B130" s="2" t="s">
        <v>108</v>
      </c>
      <c r="C130" s="2" t="s">
        <v>109</v>
      </c>
      <c r="D130" s="2" t="s">
        <v>166</v>
      </c>
      <c r="E130" s="2" t="str">
        <f aca="false">C130&amp;D130</f>
        <v>Gerência SudoesteDesvio de Telemetria</v>
      </c>
      <c r="F130" s="2" t="s">
        <v>167</v>
      </c>
      <c r="G130" s="2" t="s">
        <v>168</v>
      </c>
      <c r="H130" s="2" t="s">
        <v>102</v>
      </c>
      <c r="I130" s="2" t="s">
        <v>169</v>
      </c>
      <c r="J130" s="2" t="n">
        <v>2</v>
      </c>
      <c r="K130" s="2" t="s">
        <v>147</v>
      </c>
      <c r="L130" s="7" t="n">
        <v>43</v>
      </c>
      <c r="M130" s="7" t="n">
        <v>234</v>
      </c>
      <c r="N130" s="4" t="n">
        <f aca="false">IF(OR(L130="",M130=""),"",IFERROR(IF($K130="%",M130-L130,M130/L130-1),""))</f>
        <v>4.44186046511628</v>
      </c>
      <c r="O130" s="5" t="str">
        <f aca="false">IF(OR(L130="",M130=""),"",IF($F130="Maior Melhor",IF(M130&gt;=L130,"Sim","Não"),IF(M130&lt;=L130,"Sim","Não")))</f>
        <v>Não</v>
      </c>
      <c r="P130" s="7" t="n">
        <v>43</v>
      </c>
      <c r="Q130" s="7" t="n">
        <v>198</v>
      </c>
      <c r="R130" s="4" t="n">
        <f aca="false">IF(OR(P130="",Q130=""),"",IFERROR(IF($K130="%",Q130-P130,Q130/P130-1),""))</f>
        <v>3.6046511627907</v>
      </c>
      <c r="S130" s="5" t="str">
        <f aca="false">IF(OR(P130="",Q130=""),"",IF($F130="Maior Melhor",IF(Q130&gt;=P130,"Sim","Não"),IF(Q130&lt;=P130,"Sim","Não")))</f>
        <v>Não</v>
      </c>
      <c r="T130" s="7" t="n">
        <v>43</v>
      </c>
      <c r="U130" s="7" t="n">
        <v>143</v>
      </c>
      <c r="V130" s="4" t="n">
        <f aca="false">IF(OR(T130="",U130=""),"",IFERROR(IF($K130="%",U130-T130,U130/T130-1),""))</f>
        <v>2.32558139534884</v>
      </c>
      <c r="W130" s="5" t="str">
        <f aca="false">IF(OR(T130="",U130=""),"",IF($F130="Maior Melhor",IF(U130&gt;=T130,"Sim","Não"),IF(U130&lt;=T130,"Sim","Não")))</f>
        <v>Não</v>
      </c>
      <c r="X130" s="7"/>
      <c r="Y130" s="7"/>
      <c r="Z130" s="4" t="str">
        <f aca="false">IF(OR(X130="",Y130=""),"",IFERROR(IF($K130="%",Y130-X130,Y130/X130-1),""))</f>
        <v/>
      </c>
      <c r="AA130" s="5" t="str">
        <f aca="false">IF(OR(X130="",Y130=""),"",IF($F130="Maior Melhor",IF(Y130&gt;=X130,"Sim","Não"),IF(Y130&lt;=X130,"Sim","Não")))</f>
        <v/>
      </c>
      <c r="AB130" s="7"/>
      <c r="AC130" s="7"/>
      <c r="AD130" s="4" t="str">
        <f aca="false">IF(OR(AB130="",AC130=""),"",IFERROR(IF($K130="%",AC130-AB130,AC130/AB130-1),""))</f>
        <v/>
      </c>
      <c r="AE130" s="5" t="str">
        <f aca="false">IF(OR(AB130="",AC130=""),"",IF($F130="Maior Melhor",IF(AC130&gt;=AB130,"Sim","Não"),IF(AC130&lt;=AB130,"Sim","Não")))</f>
        <v/>
      </c>
      <c r="AF130" s="7"/>
      <c r="AG130" s="7"/>
      <c r="AH130" s="4" t="str">
        <f aca="false">IF(OR(AF130="",AG130=""),"",IFERROR(IF($K130="%",AG130-AF130,AG130/AF130-1),""))</f>
        <v/>
      </c>
      <c r="AI130" s="5" t="str">
        <f aca="false">IF(OR(AF130="",AG130=""),"",IF($F130="Maior Melhor",IF(AG130&gt;=AF130,"Sim","Não"),IF(AG130&lt;=AF130,"Sim","Não")))</f>
        <v/>
      </c>
      <c r="AJ130" s="7"/>
      <c r="AK130" s="7"/>
      <c r="AL130" s="4" t="str">
        <f aca="false">IF(OR(AJ130="",AK130=""),"",IFERROR(IF($K130="%",AK130-AJ130,AK130/AJ130-1),""))</f>
        <v/>
      </c>
      <c r="AM130" s="5" t="str">
        <f aca="false">IF(OR(AJ130="",AK130=""),"",IF($F130="Maior Melhor",IF(AK130&gt;=AJ130,"Sim","Não"),IF(AK130&lt;=AJ130,"Sim","Não")))</f>
        <v/>
      </c>
      <c r="AN130" s="7"/>
      <c r="AO130" s="7"/>
      <c r="AP130" s="4" t="str">
        <f aca="false">IF(OR(AN130="",AO130=""),"",IFERROR(IF($K130="%",AO130-AN130,AO130/AN130-1),""))</f>
        <v/>
      </c>
      <c r="AQ130" s="5" t="str">
        <f aca="false">IF(OR(AN130="",AO130=""),"",IF($F130="Maior Melhor",IF(AO130&gt;=AN130,"Sim","Não"),IF(AO130&lt;=AN130,"Sim","Não")))</f>
        <v/>
      </c>
      <c r="AR130" s="7"/>
      <c r="AS130" s="7"/>
      <c r="AT130" s="4" t="str">
        <f aca="false">IF(OR(AR130="",AS130=""),"",IFERROR(IF($K130="%",AS130-AR130,AS130/AR130-1),""))</f>
        <v/>
      </c>
      <c r="AU130" s="5" t="str">
        <f aca="false">IF(OR(AR130="",AS130=""),"",IF($F130="Maior Melhor",IF(AS130&gt;=AR130,"Sim","Não"),IF(AS130&lt;=AR130,"Sim","Não")))</f>
        <v/>
      </c>
      <c r="AV130" s="7"/>
      <c r="AW130" s="7"/>
      <c r="AX130" s="4" t="str">
        <f aca="false">IF(OR(AV130="",AW130=""),"",IFERROR(IF($K130="%",AW130-AV130,AW130/AV130-1),""))</f>
        <v/>
      </c>
      <c r="AY130" s="5" t="str">
        <f aca="false">IF(OR(AV130="",AW130=""),"",IF($F130="Maior Melhor",IF(AW130&gt;=AV130,"Sim","Não"),IF(AW130&lt;=AV130,"Sim","Não")))</f>
        <v/>
      </c>
      <c r="AZ130" s="7"/>
      <c r="BA130" s="7"/>
      <c r="BB130" s="4" t="str">
        <f aca="false">IF(OR(AZ130="",BA130=""),"",IFERROR(IF($K130="%",BA130-AZ130,BA130/AZ130-1),""))</f>
        <v/>
      </c>
      <c r="BC130" s="5" t="str">
        <f aca="false">IF(OR(AZ130="",BA130=""),"",IF($F130="Maior Melhor",IF(BA130&gt;=AZ130,"Sim","Não"),IF(BA130&lt;=AZ130,"Sim","Não")))</f>
        <v/>
      </c>
      <c r="BD130" s="7"/>
      <c r="BE130" s="7"/>
      <c r="BF130" s="4" t="str">
        <f aca="false">IF(OR(BD130="",BE130=""),"",IFERROR(IF($K130="%",BE130-BD130,BE130/BD130-1),""))</f>
        <v/>
      </c>
      <c r="BG130" s="5" t="str">
        <f aca="false">IF(OR(BD130="",BE130=""),"",IF($F130="Maior Melhor",IF(BE130&gt;=BD130,"Sim","Não"),IF(BE130&lt;=BD130,"Sim","Não")))</f>
        <v/>
      </c>
      <c r="BH130" s="7"/>
      <c r="BI130" s="7"/>
      <c r="BJ130" s="4" t="str">
        <f aca="false">IF(OR(BH130="",BI130=""),"",IFERROR(IF($K130="%",BI130-BH130,BI130/BH130-1),""))</f>
        <v/>
      </c>
      <c r="BK130" s="5" t="str">
        <f aca="false">IF(OR(BH130="",BI130=""),"",IF($F130="Maior Melhor",IF(BI130&gt;=BH130,"Sim","Não"),IF(BI130&lt;=BH130,"Sim","Não")))</f>
        <v/>
      </c>
      <c r="BL130" s="8"/>
      <c r="BM130" s="8"/>
      <c r="BN130" s="4" t="str">
        <f aca="false">IF(OR(BL130="",BM130=""),"",IFERROR(IF($K130="%",BM130-BL130,BM130/BL130-1),""))</f>
        <v/>
      </c>
      <c r="BO130" s="5" t="str">
        <f aca="false">IF(OR(BL130="",BM130=""),"",IF($F130="Maior Melhor",IF(BM130&gt;=BL130,"Sim","Não"),IF(BM130&lt;=BL130,"Sim","Não")))</f>
        <v/>
      </c>
      <c r="BP130" s="8"/>
      <c r="BQ130" s="8"/>
      <c r="BR130" s="4" t="str">
        <f aca="false">IF(OR(BP130="",BQ130=""),"",IFERROR(IF($K130="%",BQ130-BP130,BQ130/BP130-1),""))</f>
        <v/>
      </c>
      <c r="BS130" s="5" t="str">
        <f aca="false">IF(OR(BP130="",BQ130=""),"",IF($F130="Maior Melhor",IF(BQ130&gt;=BP130,"Sim","Não"),IF(BQ130&lt;=BP130,"Sim","Não")))</f>
        <v/>
      </c>
      <c r="BT130" s="8"/>
      <c r="BU130" s="8"/>
      <c r="BV130" s="4" t="str">
        <f aca="false">IF(OR(BT130="",BU130=""),"",IFERROR(IF($K130="%",BU130-BT130,BU130/BT130-1),""))</f>
        <v/>
      </c>
      <c r="BW130" s="5" t="str">
        <f aca="false">IF(OR(BT130="",BU130=""),"",IF($F130="Maior Melhor",IF(BU130&gt;=BT130,"Sim","Não"),IF(BU130&lt;=BT130,"Sim","Não")))</f>
        <v/>
      </c>
      <c r="BX130" s="8"/>
      <c r="BY130" s="8"/>
      <c r="BZ130" s="4" t="str">
        <f aca="false">IF(OR(BX130="",BY130=""),"",IFERROR(IF($K130="%",BY130-BX130,BY130/BX130-1),""))</f>
        <v/>
      </c>
      <c r="CA130" s="5" t="str">
        <f aca="false">IF(OR(BX130="",BY130=""),"",IF($F130="Maior Melhor",IF(BY130&gt;=BX130,"Sim","Não"),IF(BY130&lt;=BX130,"Sim","Não")))</f>
        <v/>
      </c>
      <c r="CB130" s="8"/>
      <c r="CC130" s="8"/>
      <c r="CD130" s="4" t="str">
        <f aca="false">IF(OR(CB130="",CC130=""),"",IFERROR(IF($K130="%",CC130-CB130,CC130/CB130-1),""))</f>
        <v/>
      </c>
      <c r="CE130" s="5" t="str">
        <f aca="false">IF(OR(CB130="",CC130=""),"",IF($F130="Maior Melhor",IF(CC130&gt;=CB130,"Sim","Não"),IF(CC130&lt;=CB130,"Sim","Não")))</f>
        <v/>
      </c>
      <c r="CF130" s="8"/>
      <c r="CG130" s="8"/>
      <c r="CH130" s="4" t="str">
        <f aca="false">IF(OR(CF130="",CG130=""),"",IFERROR(IF($K130="%",CG130-CF130,CG130/CF130-1),""))</f>
        <v/>
      </c>
      <c r="CI130" s="5" t="str">
        <f aca="false">IF(OR(CF130="",CG130=""),"",IF($F130="Maior Melhor",IF(CG130&gt;=CF130,"Sim","Não"),IF(CG130&lt;=CF130,"Sim","Não")))</f>
        <v/>
      </c>
      <c r="CJ130" s="8"/>
      <c r="CK130" s="8"/>
      <c r="CL130" s="4" t="str">
        <f aca="false">IF(OR(CJ130="",CK130=""),"",IFERROR(IF($K130="%",CK130-CJ130,CK130/CJ130-1),""))</f>
        <v/>
      </c>
      <c r="CM130" s="5" t="str">
        <f aca="false">IF(OR(CJ130="",CK130=""),"",IF($F130="Maior Melhor",IF(CK130&gt;=CJ130,"Sim","Não"),IF(CK130&lt;=CJ130,"Sim","Não")))</f>
        <v/>
      </c>
      <c r="CN130" s="8"/>
      <c r="CO130" s="8"/>
      <c r="CP130" s="4" t="str">
        <f aca="false">IF(OR(CN130="",CO130=""),"",IFERROR(IF($K130="%",CO130-CN130,CO130/CN130-1),""))</f>
        <v/>
      </c>
      <c r="CQ130" s="5" t="str">
        <f aca="false">IF(OR(CN130="",CO130=""),"",IF($F130="Maior Melhor",IF(CO130&gt;=CN130,"Sim","Não"),IF(CO130&lt;=CN130,"Sim","Não")))</f>
        <v/>
      </c>
      <c r="CR130" s="2" t="s">
        <v>105</v>
      </c>
    </row>
    <row r="131" customFormat="false" ht="15" hidden="false" customHeight="false" outlineLevel="0" collapsed="false">
      <c r="A131" s="2" t="s">
        <v>144</v>
      </c>
      <c r="B131" s="2" t="s">
        <v>110</v>
      </c>
      <c r="C131" s="2" t="s">
        <v>110</v>
      </c>
      <c r="D131" s="2" t="s">
        <v>166</v>
      </c>
      <c r="E131" s="2" t="str">
        <f aca="false">C131&amp;D131</f>
        <v>Sup OesteDesvio de Telemetria</v>
      </c>
      <c r="F131" s="2" t="s">
        <v>167</v>
      </c>
      <c r="G131" s="2" t="s">
        <v>168</v>
      </c>
      <c r="H131" s="2" t="s">
        <v>102</v>
      </c>
      <c r="I131" s="2" t="s">
        <v>169</v>
      </c>
      <c r="J131" s="2" t="n">
        <v>2</v>
      </c>
      <c r="K131" s="2" t="s">
        <v>147</v>
      </c>
      <c r="L131" s="7" t="n">
        <v>128</v>
      </c>
      <c r="M131" s="7" t="n">
        <v>514</v>
      </c>
      <c r="N131" s="4" t="n">
        <f aca="false">IF(OR(L131="",M131=""),"",IFERROR(IF($K131="%",M131-L131,M131/L131-1),""))</f>
        <v>3.015625</v>
      </c>
      <c r="O131" s="5" t="str">
        <f aca="false">IF(OR(L131="",M131=""),"",IF($F131="Maior Melhor",IF(M131&gt;=L131,"Sim","Não"),IF(M131&lt;=L131,"Sim","Não")))</f>
        <v>Não</v>
      </c>
      <c r="P131" s="7" t="n">
        <v>128</v>
      </c>
      <c r="Q131" s="7" t="n">
        <v>357</v>
      </c>
      <c r="R131" s="4" t="n">
        <f aca="false">IF(OR(P131="",Q131=""),"",IFERROR(IF($K131="%",Q131-P131,Q131/P131-1),""))</f>
        <v>1.7890625</v>
      </c>
      <c r="S131" s="5" t="str">
        <f aca="false">IF(OR(P131="",Q131=""),"",IF($F131="Maior Melhor",IF(Q131&gt;=P131,"Sim","Não"),IF(Q131&lt;=P131,"Sim","Não")))</f>
        <v>Não</v>
      </c>
      <c r="T131" s="7" t="n">
        <v>128</v>
      </c>
      <c r="U131" s="7" t="n">
        <v>318</v>
      </c>
      <c r="V131" s="4" t="n">
        <f aca="false">IF(OR(T131="",U131=""),"",IFERROR(IF($K131="%",U131-T131,U131/T131-1),""))</f>
        <v>1.484375</v>
      </c>
      <c r="W131" s="5" t="str">
        <f aca="false">IF(OR(T131="",U131=""),"",IF($F131="Maior Melhor",IF(U131&gt;=T131,"Sim","Não"),IF(U131&lt;=T131,"Sim","Não")))</f>
        <v>Não</v>
      </c>
      <c r="X131" s="7"/>
      <c r="Y131" s="7"/>
      <c r="Z131" s="4" t="str">
        <f aca="false">IF(OR(X131="",Y131=""),"",IFERROR(IF($K131="%",Y131-X131,Y131/X131-1),""))</f>
        <v/>
      </c>
      <c r="AA131" s="5" t="str">
        <f aca="false">IF(OR(X131="",Y131=""),"",IF($F131="Maior Melhor",IF(Y131&gt;=X131,"Sim","Não"),IF(Y131&lt;=X131,"Sim","Não")))</f>
        <v/>
      </c>
      <c r="AB131" s="7"/>
      <c r="AC131" s="7"/>
      <c r="AD131" s="4" t="str">
        <f aca="false">IF(OR(AB131="",AC131=""),"",IFERROR(IF($K131="%",AC131-AB131,AC131/AB131-1),""))</f>
        <v/>
      </c>
      <c r="AE131" s="5" t="str">
        <f aca="false">IF(OR(AB131="",AC131=""),"",IF($F131="Maior Melhor",IF(AC131&gt;=AB131,"Sim","Não"),IF(AC131&lt;=AB131,"Sim","Não")))</f>
        <v/>
      </c>
      <c r="AF131" s="7"/>
      <c r="AG131" s="7"/>
      <c r="AH131" s="4" t="str">
        <f aca="false">IF(OR(AF131="",AG131=""),"",IFERROR(IF($K131="%",AG131-AF131,AG131/AF131-1),""))</f>
        <v/>
      </c>
      <c r="AI131" s="5" t="str">
        <f aca="false">IF(OR(AF131="",AG131=""),"",IF($F131="Maior Melhor",IF(AG131&gt;=AF131,"Sim","Não"),IF(AG131&lt;=AF131,"Sim","Não")))</f>
        <v/>
      </c>
      <c r="AJ131" s="7"/>
      <c r="AK131" s="7"/>
      <c r="AL131" s="4" t="str">
        <f aca="false">IF(OR(AJ131="",AK131=""),"",IFERROR(IF($K131="%",AK131-AJ131,AK131/AJ131-1),""))</f>
        <v/>
      </c>
      <c r="AM131" s="5" t="str">
        <f aca="false">IF(OR(AJ131="",AK131=""),"",IF($F131="Maior Melhor",IF(AK131&gt;=AJ131,"Sim","Não"),IF(AK131&lt;=AJ131,"Sim","Não")))</f>
        <v/>
      </c>
      <c r="AN131" s="7"/>
      <c r="AO131" s="7"/>
      <c r="AP131" s="4" t="str">
        <f aca="false">IF(OR(AN131="",AO131=""),"",IFERROR(IF($K131="%",AO131-AN131,AO131/AN131-1),""))</f>
        <v/>
      </c>
      <c r="AQ131" s="5" t="str">
        <f aca="false">IF(OR(AN131="",AO131=""),"",IF($F131="Maior Melhor",IF(AO131&gt;=AN131,"Sim","Não"),IF(AO131&lt;=AN131,"Sim","Não")))</f>
        <v/>
      </c>
      <c r="AR131" s="7"/>
      <c r="AS131" s="7"/>
      <c r="AT131" s="4" t="str">
        <f aca="false">IF(OR(AR131="",AS131=""),"",IFERROR(IF($K131="%",AS131-AR131,AS131/AR131-1),""))</f>
        <v/>
      </c>
      <c r="AU131" s="5" t="str">
        <f aca="false">IF(OR(AR131="",AS131=""),"",IF($F131="Maior Melhor",IF(AS131&gt;=AR131,"Sim","Não"),IF(AS131&lt;=AR131,"Sim","Não")))</f>
        <v/>
      </c>
      <c r="AV131" s="7"/>
      <c r="AW131" s="7"/>
      <c r="AX131" s="4" t="str">
        <f aca="false">IF(OR(AV131="",AW131=""),"",IFERROR(IF($K131="%",AW131-AV131,AW131/AV131-1),""))</f>
        <v/>
      </c>
      <c r="AY131" s="5" t="str">
        <f aca="false">IF(OR(AV131="",AW131=""),"",IF($F131="Maior Melhor",IF(AW131&gt;=AV131,"Sim","Não"),IF(AW131&lt;=AV131,"Sim","Não")))</f>
        <v/>
      </c>
      <c r="AZ131" s="7"/>
      <c r="BA131" s="7"/>
      <c r="BB131" s="4" t="str">
        <f aca="false">IF(OR(AZ131="",BA131=""),"",IFERROR(IF($K131="%",BA131-AZ131,BA131/AZ131-1),""))</f>
        <v/>
      </c>
      <c r="BC131" s="5" t="str">
        <f aca="false">IF(OR(AZ131="",BA131=""),"",IF($F131="Maior Melhor",IF(BA131&gt;=AZ131,"Sim","Não"),IF(BA131&lt;=AZ131,"Sim","Não")))</f>
        <v/>
      </c>
      <c r="BD131" s="7"/>
      <c r="BE131" s="7"/>
      <c r="BF131" s="4" t="str">
        <f aca="false">IF(OR(BD131="",BE131=""),"",IFERROR(IF($K131="%",BE131-BD131,BE131/BD131-1),""))</f>
        <v/>
      </c>
      <c r="BG131" s="5" t="str">
        <f aca="false">IF(OR(BD131="",BE131=""),"",IF($F131="Maior Melhor",IF(BE131&gt;=BD131,"Sim","Não"),IF(BE131&lt;=BD131,"Sim","Não")))</f>
        <v/>
      </c>
      <c r="BH131" s="7"/>
      <c r="BI131" s="7"/>
      <c r="BJ131" s="4" t="str">
        <f aca="false">IF(OR(BH131="",BI131=""),"",IFERROR(IF($K131="%",BI131-BH131,BI131/BH131-1),""))</f>
        <v/>
      </c>
      <c r="BK131" s="5" t="str">
        <f aca="false">IF(OR(BH131="",BI131=""),"",IF($F131="Maior Melhor",IF(BI131&gt;=BH131,"Sim","Não"),IF(BI131&lt;=BH131,"Sim","Não")))</f>
        <v/>
      </c>
      <c r="BL131" s="8"/>
      <c r="BM131" s="8"/>
      <c r="BN131" s="4" t="str">
        <f aca="false">IF(OR(BL131="",BM131=""),"",IFERROR(IF($K131="%",BM131-BL131,BM131/BL131-1),""))</f>
        <v/>
      </c>
      <c r="BO131" s="5" t="str">
        <f aca="false">IF(OR(BL131="",BM131=""),"",IF($F131="Maior Melhor",IF(BM131&gt;=BL131,"Sim","Não"),IF(BM131&lt;=BL131,"Sim","Não")))</f>
        <v/>
      </c>
      <c r="BP131" s="8"/>
      <c r="BQ131" s="8"/>
      <c r="BR131" s="4" t="str">
        <f aca="false">IF(OR(BP131="",BQ131=""),"",IFERROR(IF($K131="%",BQ131-BP131,BQ131/BP131-1),""))</f>
        <v/>
      </c>
      <c r="BS131" s="5" t="str">
        <f aca="false">IF(OR(BP131="",BQ131=""),"",IF($F131="Maior Melhor",IF(BQ131&gt;=BP131,"Sim","Não"),IF(BQ131&lt;=BP131,"Sim","Não")))</f>
        <v/>
      </c>
      <c r="BT131" s="8"/>
      <c r="BU131" s="8"/>
      <c r="BV131" s="4" t="str">
        <f aca="false">IF(OR(BT131="",BU131=""),"",IFERROR(IF($K131="%",BU131-BT131,BU131/BT131-1),""))</f>
        <v/>
      </c>
      <c r="BW131" s="5" t="str">
        <f aca="false">IF(OR(BT131="",BU131=""),"",IF($F131="Maior Melhor",IF(BU131&gt;=BT131,"Sim","Não"),IF(BU131&lt;=BT131,"Sim","Não")))</f>
        <v/>
      </c>
      <c r="BX131" s="8"/>
      <c r="BY131" s="8"/>
      <c r="BZ131" s="4" t="str">
        <f aca="false">IF(OR(BX131="",BY131=""),"",IFERROR(IF($K131="%",BY131-BX131,BY131/BX131-1),""))</f>
        <v/>
      </c>
      <c r="CA131" s="5" t="str">
        <f aca="false">IF(OR(BX131="",BY131=""),"",IF($F131="Maior Melhor",IF(BY131&gt;=BX131,"Sim","Não"),IF(BY131&lt;=BX131,"Sim","Não")))</f>
        <v/>
      </c>
      <c r="CB131" s="8"/>
      <c r="CC131" s="8"/>
      <c r="CD131" s="4" t="str">
        <f aca="false">IF(OR(CB131="",CC131=""),"",IFERROR(IF($K131="%",CC131-CB131,CC131/CB131-1),""))</f>
        <v/>
      </c>
      <c r="CE131" s="5" t="str">
        <f aca="false">IF(OR(CB131="",CC131=""),"",IF($F131="Maior Melhor",IF(CC131&gt;=CB131,"Sim","Não"),IF(CC131&lt;=CB131,"Sim","Não")))</f>
        <v/>
      </c>
      <c r="CF131" s="8"/>
      <c r="CG131" s="8"/>
      <c r="CH131" s="4" t="str">
        <f aca="false">IF(OR(CF131="",CG131=""),"",IFERROR(IF($K131="%",CG131-CF131,CG131/CF131-1),""))</f>
        <v/>
      </c>
      <c r="CI131" s="5" t="str">
        <f aca="false">IF(OR(CF131="",CG131=""),"",IF($F131="Maior Melhor",IF(CG131&gt;=CF131,"Sim","Não"),IF(CG131&lt;=CF131,"Sim","Não")))</f>
        <v/>
      </c>
      <c r="CJ131" s="8"/>
      <c r="CK131" s="8"/>
      <c r="CL131" s="4" t="str">
        <f aca="false">IF(OR(CJ131="",CK131=""),"",IFERROR(IF($K131="%",CK131-CJ131,CK131/CJ131-1),""))</f>
        <v/>
      </c>
      <c r="CM131" s="5" t="str">
        <f aca="false">IF(OR(CJ131="",CK131=""),"",IF($F131="Maior Melhor",IF(CK131&gt;=CJ131,"Sim","Não"),IF(CK131&lt;=CJ131,"Sim","Não")))</f>
        <v/>
      </c>
      <c r="CN131" s="8"/>
      <c r="CO131" s="8"/>
      <c r="CP131" s="4" t="str">
        <f aca="false">IF(OR(CN131="",CO131=""),"",IFERROR(IF($K131="%",CO131-CN131,CO131/CN131-1),""))</f>
        <v/>
      </c>
      <c r="CQ131" s="5" t="str">
        <f aca="false">IF(OR(CN131="",CO131=""),"",IF($F131="Maior Melhor",IF(CO131&gt;=CN131,"Sim","Não"),IF(CO131&lt;=CN131,"Sim","Não")))</f>
        <v/>
      </c>
      <c r="CR131" s="2" t="s">
        <v>105</v>
      </c>
    </row>
    <row r="132" customFormat="false" ht="15" hidden="false" customHeight="false" outlineLevel="0" collapsed="false">
      <c r="A132" s="2" t="s">
        <v>144</v>
      </c>
      <c r="B132" s="2" t="s">
        <v>106</v>
      </c>
      <c r="C132" s="2" t="s">
        <v>111</v>
      </c>
      <c r="D132" s="2" t="s">
        <v>166</v>
      </c>
      <c r="E132" s="2" t="str">
        <f aca="false">C132&amp;D132</f>
        <v>UTD BARREIRASDesvio de Telemetria</v>
      </c>
      <c r="F132" s="2" t="s">
        <v>167</v>
      </c>
      <c r="G132" s="2" t="s">
        <v>168</v>
      </c>
      <c r="H132" s="2" t="s">
        <v>102</v>
      </c>
      <c r="I132" s="2" t="s">
        <v>169</v>
      </c>
      <c r="J132" s="2" t="n">
        <v>2</v>
      </c>
      <c r="K132" s="2" t="s">
        <v>147</v>
      </c>
      <c r="L132" s="7" t="n">
        <v>9</v>
      </c>
      <c r="M132" s="7" t="n">
        <v>9</v>
      </c>
      <c r="N132" s="4" t="n">
        <f aca="false">IF(OR(L132="",M132=""),"",IFERROR(IF($K132="%",M132-L132,M132/L132-1),""))</f>
        <v>0</v>
      </c>
      <c r="O132" s="5" t="str">
        <f aca="false">IF(OR(L132="",M132=""),"",IF($F132="Maior Melhor",IF(M132&gt;=L132,"Sim","Não"),IF(M132&lt;=L132,"Sim","Não")))</f>
        <v>Sim</v>
      </c>
      <c r="P132" s="7" t="n">
        <v>9</v>
      </c>
      <c r="Q132" s="7" t="n">
        <v>3</v>
      </c>
      <c r="R132" s="4" t="n">
        <f aca="false">IF(OR(P132="",Q132=""),"",IFERROR(IF($K132="%",Q132-P132,Q132/P132-1),""))</f>
        <v>-0.666666666666667</v>
      </c>
      <c r="S132" s="5" t="str">
        <f aca="false">IF(OR(P132="",Q132=""),"",IF($F132="Maior Melhor",IF(Q132&gt;=P132,"Sim","Não"),IF(Q132&lt;=P132,"Sim","Não")))</f>
        <v>Sim</v>
      </c>
      <c r="T132" s="7" t="n">
        <v>9</v>
      </c>
      <c r="U132" s="7" t="n">
        <v>14</v>
      </c>
      <c r="V132" s="4" t="n">
        <f aca="false">IF(OR(T132="",U132=""),"",IFERROR(IF($K132="%",U132-T132,U132/T132-1),""))</f>
        <v>0.555555555555556</v>
      </c>
      <c r="W132" s="5" t="str">
        <f aca="false">IF(OR(T132="",U132=""),"",IF($F132="Maior Melhor",IF(U132&gt;=T132,"Sim","Não"),IF(U132&lt;=T132,"Sim","Não")))</f>
        <v>Não</v>
      </c>
      <c r="X132" s="7"/>
      <c r="Y132" s="7"/>
      <c r="Z132" s="4" t="str">
        <f aca="false">IF(OR(X132="",Y132=""),"",IFERROR(IF($K132="%",Y132-X132,Y132/X132-1),""))</f>
        <v/>
      </c>
      <c r="AA132" s="5" t="str">
        <f aca="false">IF(OR(X132="",Y132=""),"",IF($F132="Maior Melhor",IF(Y132&gt;=X132,"Sim","Não"),IF(Y132&lt;=X132,"Sim","Não")))</f>
        <v/>
      </c>
      <c r="AB132" s="7"/>
      <c r="AC132" s="7"/>
      <c r="AD132" s="4" t="str">
        <f aca="false">IF(OR(AB132="",AC132=""),"",IFERROR(IF($K132="%",AC132-AB132,AC132/AB132-1),""))</f>
        <v/>
      </c>
      <c r="AE132" s="5" t="str">
        <f aca="false">IF(OR(AB132="",AC132=""),"",IF($F132="Maior Melhor",IF(AC132&gt;=AB132,"Sim","Não"),IF(AC132&lt;=AB132,"Sim","Não")))</f>
        <v/>
      </c>
      <c r="AF132" s="7"/>
      <c r="AG132" s="7"/>
      <c r="AH132" s="4" t="str">
        <f aca="false">IF(OR(AF132="",AG132=""),"",IFERROR(IF($K132="%",AG132-AF132,AG132/AF132-1),""))</f>
        <v/>
      </c>
      <c r="AI132" s="5" t="str">
        <f aca="false">IF(OR(AF132="",AG132=""),"",IF($F132="Maior Melhor",IF(AG132&gt;=AF132,"Sim","Não"),IF(AG132&lt;=AF132,"Sim","Não")))</f>
        <v/>
      </c>
      <c r="AJ132" s="7"/>
      <c r="AK132" s="7"/>
      <c r="AL132" s="4" t="str">
        <f aca="false">IF(OR(AJ132="",AK132=""),"",IFERROR(IF($K132="%",AK132-AJ132,AK132/AJ132-1),""))</f>
        <v/>
      </c>
      <c r="AM132" s="5" t="str">
        <f aca="false">IF(OR(AJ132="",AK132=""),"",IF($F132="Maior Melhor",IF(AK132&gt;=AJ132,"Sim","Não"),IF(AK132&lt;=AJ132,"Sim","Não")))</f>
        <v/>
      </c>
      <c r="AN132" s="7"/>
      <c r="AO132" s="7"/>
      <c r="AP132" s="4" t="str">
        <f aca="false">IF(OR(AN132="",AO132=""),"",IFERROR(IF($K132="%",AO132-AN132,AO132/AN132-1),""))</f>
        <v/>
      </c>
      <c r="AQ132" s="5" t="str">
        <f aca="false">IF(OR(AN132="",AO132=""),"",IF($F132="Maior Melhor",IF(AO132&gt;=AN132,"Sim","Não"),IF(AO132&lt;=AN132,"Sim","Não")))</f>
        <v/>
      </c>
      <c r="AR132" s="7"/>
      <c r="AS132" s="7"/>
      <c r="AT132" s="4" t="str">
        <f aca="false">IF(OR(AR132="",AS132=""),"",IFERROR(IF($K132="%",AS132-AR132,AS132/AR132-1),""))</f>
        <v/>
      </c>
      <c r="AU132" s="5" t="str">
        <f aca="false">IF(OR(AR132="",AS132=""),"",IF($F132="Maior Melhor",IF(AS132&gt;=AR132,"Sim","Não"),IF(AS132&lt;=AR132,"Sim","Não")))</f>
        <v/>
      </c>
      <c r="AV132" s="7"/>
      <c r="AW132" s="7"/>
      <c r="AX132" s="4" t="str">
        <f aca="false">IF(OR(AV132="",AW132=""),"",IFERROR(IF($K132="%",AW132-AV132,AW132/AV132-1),""))</f>
        <v/>
      </c>
      <c r="AY132" s="5" t="str">
        <f aca="false">IF(OR(AV132="",AW132=""),"",IF($F132="Maior Melhor",IF(AW132&gt;=AV132,"Sim","Não"),IF(AW132&lt;=AV132,"Sim","Não")))</f>
        <v/>
      </c>
      <c r="AZ132" s="7"/>
      <c r="BA132" s="7"/>
      <c r="BB132" s="4" t="str">
        <f aca="false">IF(OR(AZ132="",BA132=""),"",IFERROR(IF($K132="%",BA132-AZ132,BA132/AZ132-1),""))</f>
        <v/>
      </c>
      <c r="BC132" s="5" t="str">
        <f aca="false">IF(OR(AZ132="",BA132=""),"",IF($F132="Maior Melhor",IF(BA132&gt;=AZ132,"Sim","Não"),IF(BA132&lt;=AZ132,"Sim","Não")))</f>
        <v/>
      </c>
      <c r="BD132" s="7"/>
      <c r="BE132" s="7"/>
      <c r="BF132" s="4" t="str">
        <f aca="false">IF(OR(BD132="",BE132=""),"",IFERROR(IF($K132="%",BE132-BD132,BE132/BD132-1),""))</f>
        <v/>
      </c>
      <c r="BG132" s="5" t="str">
        <f aca="false">IF(OR(BD132="",BE132=""),"",IF($F132="Maior Melhor",IF(BE132&gt;=BD132,"Sim","Não"),IF(BE132&lt;=BD132,"Sim","Não")))</f>
        <v/>
      </c>
      <c r="BH132" s="7"/>
      <c r="BI132" s="7"/>
      <c r="BJ132" s="4" t="str">
        <f aca="false">IF(OR(BH132="",BI132=""),"",IFERROR(IF($K132="%",BI132-BH132,BI132/BH132-1),""))</f>
        <v/>
      </c>
      <c r="BK132" s="5" t="str">
        <f aca="false">IF(OR(BH132="",BI132=""),"",IF($F132="Maior Melhor",IF(BI132&gt;=BH132,"Sim","Não"),IF(BI132&lt;=BH132,"Sim","Não")))</f>
        <v/>
      </c>
      <c r="BL132" s="8"/>
      <c r="BM132" s="8"/>
      <c r="BN132" s="4" t="str">
        <f aca="false">IF(OR(BL132="",BM132=""),"",IFERROR(IF($K132="%",BM132-BL132,BM132/BL132-1),""))</f>
        <v/>
      </c>
      <c r="BO132" s="5" t="str">
        <f aca="false">IF(OR(BL132="",BM132=""),"",IF($F132="Maior Melhor",IF(BM132&gt;=BL132,"Sim","Não"),IF(BM132&lt;=BL132,"Sim","Não")))</f>
        <v/>
      </c>
      <c r="BP132" s="8"/>
      <c r="BQ132" s="8"/>
      <c r="BR132" s="4" t="str">
        <f aca="false">IF(OR(BP132="",BQ132=""),"",IFERROR(IF($K132="%",BQ132-BP132,BQ132/BP132-1),""))</f>
        <v/>
      </c>
      <c r="BS132" s="5" t="str">
        <f aca="false">IF(OR(BP132="",BQ132=""),"",IF($F132="Maior Melhor",IF(BQ132&gt;=BP132,"Sim","Não"),IF(BQ132&lt;=BP132,"Sim","Não")))</f>
        <v/>
      </c>
      <c r="BT132" s="8"/>
      <c r="BU132" s="8"/>
      <c r="BV132" s="4" t="str">
        <f aca="false">IF(OR(BT132="",BU132=""),"",IFERROR(IF($K132="%",BU132-BT132,BU132/BT132-1),""))</f>
        <v/>
      </c>
      <c r="BW132" s="5" t="str">
        <f aca="false">IF(OR(BT132="",BU132=""),"",IF($F132="Maior Melhor",IF(BU132&gt;=BT132,"Sim","Não"),IF(BU132&lt;=BT132,"Sim","Não")))</f>
        <v/>
      </c>
      <c r="BX132" s="8"/>
      <c r="BY132" s="8"/>
      <c r="BZ132" s="4" t="str">
        <f aca="false">IF(OR(BX132="",BY132=""),"",IFERROR(IF($K132="%",BY132-BX132,BY132/BX132-1),""))</f>
        <v/>
      </c>
      <c r="CA132" s="5" t="str">
        <f aca="false">IF(OR(BX132="",BY132=""),"",IF($F132="Maior Melhor",IF(BY132&gt;=BX132,"Sim","Não"),IF(BY132&lt;=BX132,"Sim","Não")))</f>
        <v/>
      </c>
      <c r="CB132" s="8"/>
      <c r="CC132" s="8"/>
      <c r="CD132" s="4" t="str">
        <f aca="false">IF(OR(CB132="",CC132=""),"",IFERROR(IF($K132="%",CC132-CB132,CC132/CB132-1),""))</f>
        <v/>
      </c>
      <c r="CE132" s="5" t="str">
        <f aca="false">IF(OR(CB132="",CC132=""),"",IF($F132="Maior Melhor",IF(CC132&gt;=CB132,"Sim","Não"),IF(CC132&lt;=CB132,"Sim","Não")))</f>
        <v/>
      </c>
      <c r="CF132" s="8"/>
      <c r="CG132" s="8"/>
      <c r="CH132" s="4" t="str">
        <f aca="false">IF(OR(CF132="",CG132=""),"",IFERROR(IF($K132="%",CG132-CF132,CG132/CF132-1),""))</f>
        <v/>
      </c>
      <c r="CI132" s="5" t="str">
        <f aca="false">IF(OR(CF132="",CG132=""),"",IF($F132="Maior Melhor",IF(CG132&gt;=CF132,"Sim","Não"),IF(CG132&lt;=CF132,"Sim","Não")))</f>
        <v/>
      </c>
      <c r="CJ132" s="8"/>
      <c r="CK132" s="8"/>
      <c r="CL132" s="4" t="str">
        <f aca="false">IF(OR(CJ132="",CK132=""),"",IFERROR(IF($K132="%",CK132-CJ132,CK132/CJ132-1),""))</f>
        <v/>
      </c>
      <c r="CM132" s="5" t="str">
        <f aca="false">IF(OR(CJ132="",CK132=""),"",IF($F132="Maior Melhor",IF(CK132&gt;=CJ132,"Sim","Não"),IF(CK132&lt;=CJ132,"Sim","Não")))</f>
        <v/>
      </c>
      <c r="CN132" s="8"/>
      <c r="CO132" s="8"/>
      <c r="CP132" s="4" t="str">
        <f aca="false">IF(OR(CN132="",CO132=""),"",IFERROR(IF($K132="%",CO132-CN132,CO132/CN132-1),""))</f>
        <v/>
      </c>
      <c r="CQ132" s="5" t="str">
        <f aca="false">IF(OR(CN132="",CO132=""),"",IF($F132="Maior Melhor",IF(CO132&gt;=CN132,"Sim","Não"),IF(CO132&lt;=CN132,"Sim","Não")))</f>
        <v/>
      </c>
      <c r="CR132" s="2" t="s">
        <v>148</v>
      </c>
    </row>
    <row r="133" customFormat="false" ht="15" hidden="false" customHeight="false" outlineLevel="0" collapsed="false">
      <c r="A133" s="2" t="s">
        <v>144</v>
      </c>
      <c r="B133" s="2" t="s">
        <v>106</v>
      </c>
      <c r="C133" s="2" t="s">
        <v>113</v>
      </c>
      <c r="D133" s="2" t="s">
        <v>166</v>
      </c>
      <c r="E133" s="2" t="str">
        <f aca="false">C133&amp;D133</f>
        <v>UTD BOM JESUS DA LAPADesvio de Telemetria</v>
      </c>
      <c r="F133" s="2" t="s">
        <v>167</v>
      </c>
      <c r="G133" s="2" t="s">
        <v>168</v>
      </c>
      <c r="H133" s="2" t="s">
        <v>102</v>
      </c>
      <c r="I133" s="2" t="s">
        <v>169</v>
      </c>
      <c r="J133" s="2" t="n">
        <v>2</v>
      </c>
      <c r="K133" s="2" t="s">
        <v>147</v>
      </c>
      <c r="L133" s="7" t="n">
        <v>9</v>
      </c>
      <c r="M133" s="7" t="n">
        <v>81</v>
      </c>
      <c r="N133" s="4" t="n">
        <f aca="false">IF(OR(L133="",M133=""),"",IFERROR(IF($K133="%",M133-L133,M133/L133-1),""))</f>
        <v>8</v>
      </c>
      <c r="O133" s="5" t="str">
        <f aca="false">IF(OR(L133="",M133=""),"",IF($F133="Maior Melhor",IF(M133&gt;=L133,"Sim","Não"),IF(M133&lt;=L133,"Sim","Não")))</f>
        <v>Não</v>
      </c>
      <c r="P133" s="7" t="n">
        <v>9</v>
      </c>
      <c r="Q133" s="7" t="n">
        <v>14</v>
      </c>
      <c r="R133" s="4" t="n">
        <f aca="false">IF(OR(P133="",Q133=""),"",IFERROR(IF($K133="%",Q133-P133,Q133/P133-1),""))</f>
        <v>0.555555555555556</v>
      </c>
      <c r="S133" s="5" t="str">
        <f aca="false">IF(OR(P133="",Q133=""),"",IF($F133="Maior Melhor",IF(Q133&gt;=P133,"Sim","Não"),IF(Q133&lt;=P133,"Sim","Não")))</f>
        <v>Não</v>
      </c>
      <c r="T133" s="7" t="n">
        <v>9</v>
      </c>
      <c r="U133" s="7" t="n">
        <v>28</v>
      </c>
      <c r="V133" s="4" t="n">
        <f aca="false">IF(OR(T133="",U133=""),"",IFERROR(IF($K133="%",U133-T133,U133/T133-1),""))</f>
        <v>2.11111111111111</v>
      </c>
      <c r="W133" s="5" t="str">
        <f aca="false">IF(OR(T133="",U133=""),"",IF($F133="Maior Melhor",IF(U133&gt;=T133,"Sim","Não"),IF(U133&lt;=T133,"Sim","Não")))</f>
        <v>Não</v>
      </c>
      <c r="X133" s="7"/>
      <c r="Y133" s="7"/>
      <c r="Z133" s="4" t="str">
        <f aca="false">IF(OR(X133="",Y133=""),"",IFERROR(IF($K133="%",Y133-X133,Y133/X133-1),""))</f>
        <v/>
      </c>
      <c r="AA133" s="5" t="str">
        <f aca="false">IF(OR(X133="",Y133=""),"",IF($F133="Maior Melhor",IF(Y133&gt;=X133,"Sim","Não"),IF(Y133&lt;=X133,"Sim","Não")))</f>
        <v/>
      </c>
      <c r="AB133" s="7"/>
      <c r="AC133" s="7"/>
      <c r="AD133" s="4" t="str">
        <f aca="false">IF(OR(AB133="",AC133=""),"",IFERROR(IF($K133="%",AC133-AB133,AC133/AB133-1),""))</f>
        <v/>
      </c>
      <c r="AE133" s="5" t="str">
        <f aca="false">IF(OR(AB133="",AC133=""),"",IF($F133="Maior Melhor",IF(AC133&gt;=AB133,"Sim","Não"),IF(AC133&lt;=AB133,"Sim","Não")))</f>
        <v/>
      </c>
      <c r="AF133" s="7"/>
      <c r="AG133" s="7"/>
      <c r="AH133" s="4" t="str">
        <f aca="false">IF(OR(AF133="",AG133=""),"",IFERROR(IF($K133="%",AG133-AF133,AG133/AF133-1),""))</f>
        <v/>
      </c>
      <c r="AI133" s="5" t="str">
        <f aca="false">IF(OR(AF133="",AG133=""),"",IF($F133="Maior Melhor",IF(AG133&gt;=AF133,"Sim","Não"),IF(AG133&lt;=AF133,"Sim","Não")))</f>
        <v/>
      </c>
      <c r="AJ133" s="7"/>
      <c r="AK133" s="7"/>
      <c r="AL133" s="4" t="str">
        <f aca="false">IF(OR(AJ133="",AK133=""),"",IFERROR(IF($K133="%",AK133-AJ133,AK133/AJ133-1),""))</f>
        <v/>
      </c>
      <c r="AM133" s="5" t="str">
        <f aca="false">IF(OR(AJ133="",AK133=""),"",IF($F133="Maior Melhor",IF(AK133&gt;=AJ133,"Sim","Não"),IF(AK133&lt;=AJ133,"Sim","Não")))</f>
        <v/>
      </c>
      <c r="AN133" s="7"/>
      <c r="AO133" s="7"/>
      <c r="AP133" s="4" t="str">
        <f aca="false">IF(OR(AN133="",AO133=""),"",IFERROR(IF($K133="%",AO133-AN133,AO133/AN133-1),""))</f>
        <v/>
      </c>
      <c r="AQ133" s="5" t="str">
        <f aca="false">IF(OR(AN133="",AO133=""),"",IF($F133="Maior Melhor",IF(AO133&gt;=AN133,"Sim","Não"),IF(AO133&lt;=AN133,"Sim","Não")))</f>
        <v/>
      </c>
      <c r="AR133" s="7"/>
      <c r="AS133" s="7"/>
      <c r="AT133" s="4" t="str">
        <f aca="false">IF(OR(AR133="",AS133=""),"",IFERROR(IF($K133="%",AS133-AR133,AS133/AR133-1),""))</f>
        <v/>
      </c>
      <c r="AU133" s="5" t="str">
        <f aca="false">IF(OR(AR133="",AS133=""),"",IF($F133="Maior Melhor",IF(AS133&gt;=AR133,"Sim","Não"),IF(AS133&lt;=AR133,"Sim","Não")))</f>
        <v/>
      </c>
      <c r="AV133" s="7"/>
      <c r="AW133" s="7"/>
      <c r="AX133" s="4" t="str">
        <f aca="false">IF(OR(AV133="",AW133=""),"",IFERROR(IF($K133="%",AW133-AV133,AW133/AV133-1),""))</f>
        <v/>
      </c>
      <c r="AY133" s="5" t="str">
        <f aca="false">IF(OR(AV133="",AW133=""),"",IF($F133="Maior Melhor",IF(AW133&gt;=AV133,"Sim","Não"),IF(AW133&lt;=AV133,"Sim","Não")))</f>
        <v/>
      </c>
      <c r="AZ133" s="7"/>
      <c r="BA133" s="7"/>
      <c r="BB133" s="4" t="str">
        <f aca="false">IF(OR(AZ133="",BA133=""),"",IFERROR(IF($K133="%",BA133-AZ133,BA133/AZ133-1),""))</f>
        <v/>
      </c>
      <c r="BC133" s="5" t="str">
        <f aca="false">IF(OR(AZ133="",BA133=""),"",IF($F133="Maior Melhor",IF(BA133&gt;=AZ133,"Sim","Não"),IF(BA133&lt;=AZ133,"Sim","Não")))</f>
        <v/>
      </c>
      <c r="BD133" s="7"/>
      <c r="BE133" s="7"/>
      <c r="BF133" s="4" t="str">
        <f aca="false">IF(OR(BD133="",BE133=""),"",IFERROR(IF($K133="%",BE133-BD133,BE133/BD133-1),""))</f>
        <v/>
      </c>
      <c r="BG133" s="5" t="str">
        <f aca="false">IF(OR(BD133="",BE133=""),"",IF($F133="Maior Melhor",IF(BE133&gt;=BD133,"Sim","Não"),IF(BE133&lt;=BD133,"Sim","Não")))</f>
        <v/>
      </c>
      <c r="BH133" s="7"/>
      <c r="BI133" s="7"/>
      <c r="BJ133" s="4" t="str">
        <f aca="false">IF(OR(BH133="",BI133=""),"",IFERROR(IF($K133="%",BI133-BH133,BI133/BH133-1),""))</f>
        <v/>
      </c>
      <c r="BK133" s="5" t="str">
        <f aca="false">IF(OR(BH133="",BI133=""),"",IF($F133="Maior Melhor",IF(BI133&gt;=BH133,"Sim","Não"),IF(BI133&lt;=BH133,"Sim","Não")))</f>
        <v/>
      </c>
      <c r="BL133" s="8"/>
      <c r="BM133" s="8"/>
      <c r="BN133" s="4" t="str">
        <f aca="false">IF(OR(BL133="",BM133=""),"",IFERROR(IF($K133="%",BM133-BL133,BM133/BL133-1),""))</f>
        <v/>
      </c>
      <c r="BO133" s="5" t="str">
        <f aca="false">IF(OR(BL133="",BM133=""),"",IF($F133="Maior Melhor",IF(BM133&gt;=BL133,"Sim","Não"),IF(BM133&lt;=BL133,"Sim","Não")))</f>
        <v/>
      </c>
      <c r="BP133" s="8"/>
      <c r="BQ133" s="8"/>
      <c r="BR133" s="4" t="str">
        <f aca="false">IF(OR(BP133="",BQ133=""),"",IFERROR(IF($K133="%",BQ133-BP133,BQ133/BP133-1),""))</f>
        <v/>
      </c>
      <c r="BS133" s="5" t="str">
        <f aca="false">IF(OR(BP133="",BQ133=""),"",IF($F133="Maior Melhor",IF(BQ133&gt;=BP133,"Sim","Não"),IF(BQ133&lt;=BP133,"Sim","Não")))</f>
        <v/>
      </c>
      <c r="BT133" s="8"/>
      <c r="BU133" s="8"/>
      <c r="BV133" s="4" t="str">
        <f aca="false">IF(OR(BT133="",BU133=""),"",IFERROR(IF($K133="%",BU133-BT133,BU133/BT133-1),""))</f>
        <v/>
      </c>
      <c r="BW133" s="5" t="str">
        <f aca="false">IF(OR(BT133="",BU133=""),"",IF($F133="Maior Melhor",IF(BU133&gt;=BT133,"Sim","Não"),IF(BU133&lt;=BT133,"Sim","Não")))</f>
        <v/>
      </c>
      <c r="BX133" s="8"/>
      <c r="BY133" s="8"/>
      <c r="BZ133" s="4" t="str">
        <f aca="false">IF(OR(BX133="",BY133=""),"",IFERROR(IF($K133="%",BY133-BX133,BY133/BX133-1),""))</f>
        <v/>
      </c>
      <c r="CA133" s="5" t="str">
        <f aca="false">IF(OR(BX133="",BY133=""),"",IF($F133="Maior Melhor",IF(BY133&gt;=BX133,"Sim","Não"),IF(BY133&lt;=BX133,"Sim","Não")))</f>
        <v/>
      </c>
      <c r="CB133" s="8"/>
      <c r="CC133" s="8"/>
      <c r="CD133" s="4" t="str">
        <f aca="false">IF(OR(CB133="",CC133=""),"",IFERROR(IF($K133="%",CC133-CB133,CC133/CB133-1),""))</f>
        <v/>
      </c>
      <c r="CE133" s="5" t="str">
        <f aca="false">IF(OR(CB133="",CC133=""),"",IF($F133="Maior Melhor",IF(CC133&gt;=CB133,"Sim","Não"),IF(CC133&lt;=CB133,"Sim","Não")))</f>
        <v/>
      </c>
      <c r="CF133" s="8"/>
      <c r="CG133" s="8"/>
      <c r="CH133" s="4" t="str">
        <f aca="false">IF(OR(CF133="",CG133=""),"",IFERROR(IF($K133="%",CG133-CF133,CG133/CF133-1),""))</f>
        <v/>
      </c>
      <c r="CI133" s="5" t="str">
        <f aca="false">IF(OR(CF133="",CG133=""),"",IF($F133="Maior Melhor",IF(CG133&gt;=CF133,"Sim","Não"),IF(CG133&lt;=CF133,"Sim","Não")))</f>
        <v/>
      </c>
      <c r="CJ133" s="8"/>
      <c r="CK133" s="8"/>
      <c r="CL133" s="4" t="str">
        <f aca="false">IF(OR(CJ133="",CK133=""),"",IFERROR(IF($K133="%",CK133-CJ133,CK133/CJ133-1),""))</f>
        <v/>
      </c>
      <c r="CM133" s="5" t="str">
        <f aca="false">IF(OR(CJ133="",CK133=""),"",IF($F133="Maior Melhor",IF(CK133&gt;=CJ133,"Sim","Não"),IF(CK133&lt;=CJ133,"Sim","Não")))</f>
        <v/>
      </c>
      <c r="CN133" s="8"/>
      <c r="CO133" s="8"/>
      <c r="CP133" s="4" t="str">
        <f aca="false">IF(OR(CN133="",CO133=""),"",IFERROR(IF($K133="%",CO133-CN133,CO133/CN133-1),""))</f>
        <v/>
      </c>
      <c r="CQ133" s="5" t="str">
        <f aca="false">IF(OR(CN133="",CO133=""),"",IF($F133="Maior Melhor",IF(CO133&gt;=CN133,"Sim","Não"),IF(CO133&lt;=CN133,"Sim","Não")))</f>
        <v/>
      </c>
      <c r="CR133" s="2" t="s">
        <v>154</v>
      </c>
    </row>
    <row r="134" customFormat="false" ht="15" hidden="false" customHeight="false" outlineLevel="0" collapsed="false">
      <c r="A134" s="2" t="s">
        <v>144</v>
      </c>
      <c r="B134" s="2" t="s">
        <v>108</v>
      </c>
      <c r="C134" s="2" t="s">
        <v>115</v>
      </c>
      <c r="D134" s="2" t="s">
        <v>166</v>
      </c>
      <c r="E134" s="2" t="str">
        <f aca="false">C134&amp;D134</f>
        <v>UTD BRUMADODesvio de Telemetria</v>
      </c>
      <c r="F134" s="2" t="s">
        <v>167</v>
      </c>
      <c r="G134" s="2" t="s">
        <v>168</v>
      </c>
      <c r="H134" s="2" t="s">
        <v>102</v>
      </c>
      <c r="I134" s="2" t="s">
        <v>169</v>
      </c>
      <c r="J134" s="2" t="n">
        <v>2</v>
      </c>
      <c r="K134" s="2" t="s">
        <v>147</v>
      </c>
      <c r="L134" s="7" t="n">
        <v>9</v>
      </c>
      <c r="M134" s="7" t="n">
        <v>44</v>
      </c>
      <c r="N134" s="4" t="n">
        <f aca="false">IF(OR(L134="",M134=""),"",IFERROR(IF($K134="%",M134-L134,M134/L134-1),""))</f>
        <v>3.88888888888889</v>
      </c>
      <c r="O134" s="5" t="str">
        <f aca="false">IF(OR(L134="",M134=""),"",IF($F134="Maior Melhor",IF(M134&gt;=L134,"Sim","Não"),IF(M134&lt;=L134,"Sim","Não")))</f>
        <v>Não</v>
      </c>
      <c r="P134" s="7" t="n">
        <v>9</v>
      </c>
      <c r="Q134" s="7" t="n">
        <v>45</v>
      </c>
      <c r="R134" s="4" t="n">
        <f aca="false">IF(OR(P134="",Q134=""),"",IFERROR(IF($K134="%",Q134-P134,Q134/P134-1),""))</f>
        <v>4</v>
      </c>
      <c r="S134" s="5" t="str">
        <f aca="false">IF(OR(P134="",Q134=""),"",IF($F134="Maior Melhor",IF(Q134&gt;=P134,"Sim","Não"),IF(Q134&lt;=P134,"Sim","Não")))</f>
        <v>Não</v>
      </c>
      <c r="T134" s="7" t="n">
        <v>9</v>
      </c>
      <c r="U134" s="7" t="n">
        <v>12</v>
      </c>
      <c r="V134" s="4" t="n">
        <f aca="false">IF(OR(T134="",U134=""),"",IFERROR(IF($K134="%",U134-T134,U134/T134-1),""))</f>
        <v>0.333333333333333</v>
      </c>
      <c r="W134" s="5" t="str">
        <f aca="false">IF(OR(T134="",U134=""),"",IF($F134="Maior Melhor",IF(U134&gt;=T134,"Sim","Não"),IF(U134&lt;=T134,"Sim","Não")))</f>
        <v>Não</v>
      </c>
      <c r="X134" s="7"/>
      <c r="Y134" s="7"/>
      <c r="Z134" s="4" t="str">
        <f aca="false">IF(OR(X134="",Y134=""),"",IFERROR(IF($K134="%",Y134-X134,Y134/X134-1),""))</f>
        <v/>
      </c>
      <c r="AA134" s="5" t="str">
        <f aca="false">IF(OR(X134="",Y134=""),"",IF($F134="Maior Melhor",IF(Y134&gt;=X134,"Sim","Não"),IF(Y134&lt;=X134,"Sim","Não")))</f>
        <v/>
      </c>
      <c r="AB134" s="7"/>
      <c r="AC134" s="7"/>
      <c r="AD134" s="4" t="str">
        <f aca="false">IF(OR(AB134="",AC134=""),"",IFERROR(IF($K134="%",AC134-AB134,AC134/AB134-1),""))</f>
        <v/>
      </c>
      <c r="AE134" s="5" t="str">
        <f aca="false">IF(OR(AB134="",AC134=""),"",IF($F134="Maior Melhor",IF(AC134&gt;=AB134,"Sim","Não"),IF(AC134&lt;=AB134,"Sim","Não")))</f>
        <v/>
      </c>
      <c r="AF134" s="7"/>
      <c r="AG134" s="7"/>
      <c r="AH134" s="4" t="str">
        <f aca="false">IF(OR(AF134="",AG134=""),"",IFERROR(IF($K134="%",AG134-AF134,AG134/AF134-1),""))</f>
        <v/>
      </c>
      <c r="AI134" s="5" t="str">
        <f aca="false">IF(OR(AF134="",AG134=""),"",IF($F134="Maior Melhor",IF(AG134&gt;=AF134,"Sim","Não"),IF(AG134&lt;=AF134,"Sim","Não")))</f>
        <v/>
      </c>
      <c r="AJ134" s="7"/>
      <c r="AK134" s="7"/>
      <c r="AL134" s="4" t="str">
        <f aca="false">IF(OR(AJ134="",AK134=""),"",IFERROR(IF($K134="%",AK134-AJ134,AK134/AJ134-1),""))</f>
        <v/>
      </c>
      <c r="AM134" s="5" t="str">
        <f aca="false">IF(OR(AJ134="",AK134=""),"",IF($F134="Maior Melhor",IF(AK134&gt;=AJ134,"Sim","Não"),IF(AK134&lt;=AJ134,"Sim","Não")))</f>
        <v/>
      </c>
      <c r="AN134" s="7"/>
      <c r="AO134" s="7"/>
      <c r="AP134" s="4" t="str">
        <f aca="false">IF(OR(AN134="",AO134=""),"",IFERROR(IF($K134="%",AO134-AN134,AO134/AN134-1),""))</f>
        <v/>
      </c>
      <c r="AQ134" s="5" t="str">
        <f aca="false">IF(OR(AN134="",AO134=""),"",IF($F134="Maior Melhor",IF(AO134&gt;=AN134,"Sim","Não"),IF(AO134&lt;=AN134,"Sim","Não")))</f>
        <v/>
      </c>
      <c r="AR134" s="7"/>
      <c r="AS134" s="7"/>
      <c r="AT134" s="4" t="str">
        <f aca="false">IF(OR(AR134="",AS134=""),"",IFERROR(IF($K134="%",AS134-AR134,AS134/AR134-1),""))</f>
        <v/>
      </c>
      <c r="AU134" s="5" t="str">
        <f aca="false">IF(OR(AR134="",AS134=""),"",IF($F134="Maior Melhor",IF(AS134&gt;=AR134,"Sim","Não"),IF(AS134&lt;=AR134,"Sim","Não")))</f>
        <v/>
      </c>
      <c r="AV134" s="7"/>
      <c r="AW134" s="7"/>
      <c r="AX134" s="4" t="str">
        <f aca="false">IF(OR(AV134="",AW134=""),"",IFERROR(IF($K134="%",AW134-AV134,AW134/AV134-1),""))</f>
        <v/>
      </c>
      <c r="AY134" s="5" t="str">
        <f aca="false">IF(OR(AV134="",AW134=""),"",IF($F134="Maior Melhor",IF(AW134&gt;=AV134,"Sim","Não"),IF(AW134&lt;=AV134,"Sim","Não")))</f>
        <v/>
      </c>
      <c r="AZ134" s="7"/>
      <c r="BA134" s="7"/>
      <c r="BB134" s="4" t="str">
        <f aca="false">IF(OR(AZ134="",BA134=""),"",IFERROR(IF($K134="%",BA134-AZ134,BA134/AZ134-1),""))</f>
        <v/>
      </c>
      <c r="BC134" s="5" t="str">
        <f aca="false">IF(OR(AZ134="",BA134=""),"",IF($F134="Maior Melhor",IF(BA134&gt;=AZ134,"Sim","Não"),IF(BA134&lt;=AZ134,"Sim","Não")))</f>
        <v/>
      </c>
      <c r="BD134" s="7"/>
      <c r="BE134" s="7"/>
      <c r="BF134" s="4" t="str">
        <f aca="false">IF(OR(BD134="",BE134=""),"",IFERROR(IF($K134="%",BE134-BD134,BE134/BD134-1),""))</f>
        <v/>
      </c>
      <c r="BG134" s="5" t="str">
        <f aca="false">IF(OR(BD134="",BE134=""),"",IF($F134="Maior Melhor",IF(BE134&gt;=BD134,"Sim","Não"),IF(BE134&lt;=BD134,"Sim","Não")))</f>
        <v/>
      </c>
      <c r="BH134" s="7"/>
      <c r="BI134" s="7"/>
      <c r="BJ134" s="4" t="str">
        <f aca="false">IF(OR(BH134="",BI134=""),"",IFERROR(IF($K134="%",BI134-BH134,BI134/BH134-1),""))</f>
        <v/>
      </c>
      <c r="BK134" s="5" t="str">
        <f aca="false">IF(OR(BH134="",BI134=""),"",IF($F134="Maior Melhor",IF(BI134&gt;=BH134,"Sim","Não"),IF(BI134&lt;=BH134,"Sim","Não")))</f>
        <v/>
      </c>
      <c r="BL134" s="8"/>
      <c r="BM134" s="8"/>
      <c r="BN134" s="4" t="str">
        <f aca="false">IF(OR(BL134="",BM134=""),"",IFERROR(IF($K134="%",BM134-BL134,BM134/BL134-1),""))</f>
        <v/>
      </c>
      <c r="BO134" s="5" t="str">
        <f aca="false">IF(OR(BL134="",BM134=""),"",IF($F134="Maior Melhor",IF(BM134&gt;=BL134,"Sim","Não"),IF(BM134&lt;=BL134,"Sim","Não")))</f>
        <v/>
      </c>
      <c r="BP134" s="8"/>
      <c r="BQ134" s="8"/>
      <c r="BR134" s="4" t="str">
        <f aca="false">IF(OR(BP134="",BQ134=""),"",IFERROR(IF($K134="%",BQ134-BP134,BQ134/BP134-1),""))</f>
        <v/>
      </c>
      <c r="BS134" s="5" t="str">
        <f aca="false">IF(OR(BP134="",BQ134=""),"",IF($F134="Maior Melhor",IF(BQ134&gt;=BP134,"Sim","Não"),IF(BQ134&lt;=BP134,"Sim","Não")))</f>
        <v/>
      </c>
      <c r="BT134" s="8"/>
      <c r="BU134" s="8"/>
      <c r="BV134" s="4" t="str">
        <f aca="false">IF(OR(BT134="",BU134=""),"",IFERROR(IF($K134="%",BU134-BT134,BU134/BT134-1),""))</f>
        <v/>
      </c>
      <c r="BW134" s="5" t="str">
        <f aca="false">IF(OR(BT134="",BU134=""),"",IF($F134="Maior Melhor",IF(BU134&gt;=BT134,"Sim","Não"),IF(BU134&lt;=BT134,"Sim","Não")))</f>
        <v/>
      </c>
      <c r="BX134" s="8"/>
      <c r="BY134" s="8"/>
      <c r="BZ134" s="4" t="str">
        <f aca="false">IF(OR(BX134="",BY134=""),"",IFERROR(IF($K134="%",BY134-BX134,BY134/BX134-1),""))</f>
        <v/>
      </c>
      <c r="CA134" s="5" t="str">
        <f aca="false">IF(OR(BX134="",BY134=""),"",IF($F134="Maior Melhor",IF(BY134&gt;=BX134,"Sim","Não"),IF(BY134&lt;=BX134,"Sim","Não")))</f>
        <v/>
      </c>
      <c r="CB134" s="8"/>
      <c r="CC134" s="8"/>
      <c r="CD134" s="4" t="str">
        <f aca="false">IF(OR(CB134="",CC134=""),"",IFERROR(IF($K134="%",CC134-CB134,CC134/CB134-1),""))</f>
        <v/>
      </c>
      <c r="CE134" s="5" t="str">
        <f aca="false">IF(OR(CB134="",CC134=""),"",IF($F134="Maior Melhor",IF(CC134&gt;=CB134,"Sim","Não"),IF(CC134&lt;=CB134,"Sim","Não")))</f>
        <v/>
      </c>
      <c r="CF134" s="8"/>
      <c r="CG134" s="8"/>
      <c r="CH134" s="4" t="str">
        <f aca="false">IF(OR(CF134="",CG134=""),"",IFERROR(IF($K134="%",CG134-CF134,CG134/CF134-1),""))</f>
        <v/>
      </c>
      <c r="CI134" s="5" t="str">
        <f aca="false">IF(OR(CF134="",CG134=""),"",IF($F134="Maior Melhor",IF(CG134&gt;=CF134,"Sim","Não"),IF(CG134&lt;=CF134,"Sim","Não")))</f>
        <v/>
      </c>
      <c r="CJ134" s="8"/>
      <c r="CK134" s="8"/>
      <c r="CL134" s="4" t="str">
        <f aca="false">IF(OR(CJ134="",CK134=""),"",IFERROR(IF($K134="%",CK134-CJ134,CK134/CJ134-1),""))</f>
        <v/>
      </c>
      <c r="CM134" s="5" t="str">
        <f aca="false">IF(OR(CJ134="",CK134=""),"",IF($F134="Maior Melhor",IF(CK134&gt;=CJ134,"Sim","Não"),IF(CK134&lt;=CJ134,"Sim","Não")))</f>
        <v/>
      </c>
      <c r="CN134" s="8"/>
      <c r="CO134" s="8"/>
      <c r="CP134" s="4" t="str">
        <f aca="false">IF(OR(CN134="",CO134=""),"",IFERROR(IF($K134="%",CO134-CN134,CO134/CN134-1),""))</f>
        <v/>
      </c>
      <c r="CQ134" s="5" t="str">
        <f aca="false">IF(OR(CN134="",CO134=""),"",IF($F134="Maior Melhor",IF(CO134&gt;=CN134,"Sim","Não"),IF(CO134&lt;=CN134,"Sim","Não")))</f>
        <v/>
      </c>
      <c r="CR134" s="2" t="s">
        <v>105</v>
      </c>
    </row>
    <row r="135" customFormat="false" ht="15" hidden="false" customHeight="false" outlineLevel="0" collapsed="false">
      <c r="A135" s="2" t="s">
        <v>144</v>
      </c>
      <c r="B135" s="2" t="s">
        <v>108</v>
      </c>
      <c r="C135" s="2" t="s">
        <v>117</v>
      </c>
      <c r="D135" s="2" t="s">
        <v>166</v>
      </c>
      <c r="E135" s="2" t="str">
        <f aca="false">C135&amp;D135</f>
        <v>UTD GUANAMBIDesvio de Telemetria</v>
      </c>
      <c r="F135" s="2" t="s">
        <v>167</v>
      </c>
      <c r="G135" s="2" t="s">
        <v>168</v>
      </c>
      <c r="H135" s="2" t="s">
        <v>102</v>
      </c>
      <c r="I135" s="2" t="s">
        <v>169</v>
      </c>
      <c r="J135" s="2" t="n">
        <v>2</v>
      </c>
      <c r="K135" s="2" t="s">
        <v>147</v>
      </c>
      <c r="L135" s="7" t="n">
        <v>10</v>
      </c>
      <c r="M135" s="7" t="n">
        <v>22</v>
      </c>
      <c r="N135" s="4" t="n">
        <f aca="false">IF(OR(L135="",M135=""),"",IFERROR(IF($K135="%",M135-L135,M135/L135-1),""))</f>
        <v>1.2</v>
      </c>
      <c r="O135" s="5" t="str">
        <f aca="false">IF(OR(L135="",M135=""),"",IF($F135="Maior Melhor",IF(M135&gt;=L135,"Sim","Não"),IF(M135&lt;=L135,"Sim","Não")))</f>
        <v>Não</v>
      </c>
      <c r="P135" s="7" t="n">
        <v>10</v>
      </c>
      <c r="Q135" s="7" t="n">
        <v>28</v>
      </c>
      <c r="R135" s="4" t="n">
        <f aca="false">IF(OR(P135="",Q135=""),"",IFERROR(IF($K135="%",Q135-P135,Q135/P135-1),""))</f>
        <v>1.8</v>
      </c>
      <c r="S135" s="5" t="str">
        <f aca="false">IF(OR(P135="",Q135=""),"",IF($F135="Maior Melhor",IF(Q135&gt;=P135,"Sim","Não"),IF(Q135&lt;=P135,"Sim","Não")))</f>
        <v>Não</v>
      </c>
      <c r="T135" s="7" t="n">
        <v>10</v>
      </c>
      <c r="U135" s="7" t="n">
        <v>17</v>
      </c>
      <c r="V135" s="4" t="n">
        <f aca="false">IF(OR(T135="",U135=""),"",IFERROR(IF($K135="%",U135-T135,U135/T135-1),""))</f>
        <v>0.7</v>
      </c>
      <c r="W135" s="5" t="str">
        <f aca="false">IF(OR(T135="",U135=""),"",IF($F135="Maior Melhor",IF(U135&gt;=T135,"Sim","Não"),IF(U135&lt;=T135,"Sim","Não")))</f>
        <v>Não</v>
      </c>
      <c r="X135" s="7"/>
      <c r="Y135" s="7"/>
      <c r="Z135" s="4" t="str">
        <f aca="false">IF(OR(X135="",Y135=""),"",IFERROR(IF($K135="%",Y135-X135,Y135/X135-1),""))</f>
        <v/>
      </c>
      <c r="AA135" s="5" t="str">
        <f aca="false">IF(OR(X135="",Y135=""),"",IF($F135="Maior Melhor",IF(Y135&gt;=X135,"Sim","Não"),IF(Y135&lt;=X135,"Sim","Não")))</f>
        <v/>
      </c>
      <c r="AB135" s="7"/>
      <c r="AC135" s="7"/>
      <c r="AD135" s="4" t="str">
        <f aca="false">IF(OR(AB135="",AC135=""),"",IFERROR(IF($K135="%",AC135-AB135,AC135/AB135-1),""))</f>
        <v/>
      </c>
      <c r="AE135" s="5" t="str">
        <f aca="false">IF(OR(AB135="",AC135=""),"",IF($F135="Maior Melhor",IF(AC135&gt;=AB135,"Sim","Não"),IF(AC135&lt;=AB135,"Sim","Não")))</f>
        <v/>
      </c>
      <c r="AF135" s="7"/>
      <c r="AG135" s="7"/>
      <c r="AH135" s="4" t="str">
        <f aca="false">IF(OR(AF135="",AG135=""),"",IFERROR(IF($K135="%",AG135-AF135,AG135/AF135-1),""))</f>
        <v/>
      </c>
      <c r="AI135" s="5" t="str">
        <f aca="false">IF(OR(AF135="",AG135=""),"",IF($F135="Maior Melhor",IF(AG135&gt;=AF135,"Sim","Não"),IF(AG135&lt;=AF135,"Sim","Não")))</f>
        <v/>
      </c>
      <c r="AJ135" s="7"/>
      <c r="AK135" s="7"/>
      <c r="AL135" s="4" t="str">
        <f aca="false">IF(OR(AJ135="",AK135=""),"",IFERROR(IF($K135="%",AK135-AJ135,AK135/AJ135-1),""))</f>
        <v/>
      </c>
      <c r="AM135" s="5" t="str">
        <f aca="false">IF(OR(AJ135="",AK135=""),"",IF($F135="Maior Melhor",IF(AK135&gt;=AJ135,"Sim","Não"),IF(AK135&lt;=AJ135,"Sim","Não")))</f>
        <v/>
      </c>
      <c r="AN135" s="7"/>
      <c r="AO135" s="7"/>
      <c r="AP135" s="4" t="str">
        <f aca="false">IF(OR(AN135="",AO135=""),"",IFERROR(IF($K135="%",AO135-AN135,AO135/AN135-1),""))</f>
        <v/>
      </c>
      <c r="AQ135" s="5" t="str">
        <f aca="false">IF(OR(AN135="",AO135=""),"",IF($F135="Maior Melhor",IF(AO135&gt;=AN135,"Sim","Não"),IF(AO135&lt;=AN135,"Sim","Não")))</f>
        <v/>
      </c>
      <c r="AR135" s="7"/>
      <c r="AS135" s="7"/>
      <c r="AT135" s="4" t="str">
        <f aca="false">IF(OR(AR135="",AS135=""),"",IFERROR(IF($K135="%",AS135-AR135,AS135/AR135-1),""))</f>
        <v/>
      </c>
      <c r="AU135" s="5" t="str">
        <f aca="false">IF(OR(AR135="",AS135=""),"",IF($F135="Maior Melhor",IF(AS135&gt;=AR135,"Sim","Não"),IF(AS135&lt;=AR135,"Sim","Não")))</f>
        <v/>
      </c>
      <c r="AV135" s="7"/>
      <c r="AW135" s="7"/>
      <c r="AX135" s="4" t="str">
        <f aca="false">IF(OR(AV135="",AW135=""),"",IFERROR(IF($K135="%",AW135-AV135,AW135/AV135-1),""))</f>
        <v/>
      </c>
      <c r="AY135" s="5" t="str">
        <f aca="false">IF(OR(AV135="",AW135=""),"",IF($F135="Maior Melhor",IF(AW135&gt;=AV135,"Sim","Não"),IF(AW135&lt;=AV135,"Sim","Não")))</f>
        <v/>
      </c>
      <c r="AZ135" s="7"/>
      <c r="BA135" s="7"/>
      <c r="BB135" s="4" t="str">
        <f aca="false">IF(OR(AZ135="",BA135=""),"",IFERROR(IF($K135="%",BA135-AZ135,BA135/AZ135-1),""))</f>
        <v/>
      </c>
      <c r="BC135" s="5" t="str">
        <f aca="false">IF(OR(AZ135="",BA135=""),"",IF($F135="Maior Melhor",IF(BA135&gt;=AZ135,"Sim","Não"),IF(BA135&lt;=AZ135,"Sim","Não")))</f>
        <v/>
      </c>
      <c r="BD135" s="7"/>
      <c r="BE135" s="7"/>
      <c r="BF135" s="4" t="str">
        <f aca="false">IF(OR(BD135="",BE135=""),"",IFERROR(IF($K135="%",BE135-BD135,BE135/BD135-1),""))</f>
        <v/>
      </c>
      <c r="BG135" s="5" t="str">
        <f aca="false">IF(OR(BD135="",BE135=""),"",IF($F135="Maior Melhor",IF(BE135&gt;=BD135,"Sim","Não"),IF(BE135&lt;=BD135,"Sim","Não")))</f>
        <v/>
      </c>
      <c r="BH135" s="7"/>
      <c r="BI135" s="7"/>
      <c r="BJ135" s="4" t="str">
        <f aca="false">IF(OR(BH135="",BI135=""),"",IFERROR(IF($K135="%",BI135-BH135,BI135/BH135-1),""))</f>
        <v/>
      </c>
      <c r="BK135" s="5" t="str">
        <f aca="false">IF(OR(BH135="",BI135=""),"",IF($F135="Maior Melhor",IF(BI135&gt;=BH135,"Sim","Não"),IF(BI135&lt;=BH135,"Sim","Não")))</f>
        <v/>
      </c>
      <c r="BL135" s="8"/>
      <c r="BM135" s="8"/>
      <c r="BN135" s="4" t="str">
        <f aca="false">IF(OR(BL135="",BM135=""),"",IFERROR(IF($K135="%",BM135-BL135,BM135/BL135-1),""))</f>
        <v/>
      </c>
      <c r="BO135" s="5" t="str">
        <f aca="false">IF(OR(BL135="",BM135=""),"",IF($F135="Maior Melhor",IF(BM135&gt;=BL135,"Sim","Não"),IF(BM135&lt;=BL135,"Sim","Não")))</f>
        <v/>
      </c>
      <c r="BP135" s="8"/>
      <c r="BQ135" s="8"/>
      <c r="BR135" s="4" t="str">
        <f aca="false">IF(OR(BP135="",BQ135=""),"",IFERROR(IF($K135="%",BQ135-BP135,BQ135/BP135-1),""))</f>
        <v/>
      </c>
      <c r="BS135" s="5" t="str">
        <f aca="false">IF(OR(BP135="",BQ135=""),"",IF($F135="Maior Melhor",IF(BQ135&gt;=BP135,"Sim","Não"),IF(BQ135&lt;=BP135,"Sim","Não")))</f>
        <v/>
      </c>
      <c r="BT135" s="8"/>
      <c r="BU135" s="8"/>
      <c r="BV135" s="4" t="str">
        <f aca="false">IF(OR(BT135="",BU135=""),"",IFERROR(IF($K135="%",BU135-BT135,BU135/BT135-1),""))</f>
        <v/>
      </c>
      <c r="BW135" s="5" t="str">
        <f aca="false">IF(OR(BT135="",BU135=""),"",IF($F135="Maior Melhor",IF(BU135&gt;=BT135,"Sim","Não"),IF(BU135&lt;=BT135,"Sim","Não")))</f>
        <v/>
      </c>
      <c r="BX135" s="8"/>
      <c r="BY135" s="8"/>
      <c r="BZ135" s="4" t="str">
        <f aca="false">IF(OR(BX135="",BY135=""),"",IFERROR(IF($K135="%",BY135-BX135,BY135/BX135-1),""))</f>
        <v/>
      </c>
      <c r="CA135" s="5" t="str">
        <f aca="false">IF(OR(BX135="",BY135=""),"",IF($F135="Maior Melhor",IF(BY135&gt;=BX135,"Sim","Não"),IF(BY135&lt;=BX135,"Sim","Não")))</f>
        <v/>
      </c>
      <c r="CB135" s="8"/>
      <c r="CC135" s="8"/>
      <c r="CD135" s="4" t="str">
        <f aca="false">IF(OR(CB135="",CC135=""),"",IFERROR(IF($K135="%",CC135-CB135,CC135/CB135-1),""))</f>
        <v/>
      </c>
      <c r="CE135" s="5" t="str">
        <f aca="false">IF(OR(CB135="",CC135=""),"",IF($F135="Maior Melhor",IF(CC135&gt;=CB135,"Sim","Não"),IF(CC135&lt;=CB135,"Sim","Não")))</f>
        <v/>
      </c>
      <c r="CF135" s="8"/>
      <c r="CG135" s="8"/>
      <c r="CH135" s="4" t="str">
        <f aca="false">IF(OR(CF135="",CG135=""),"",IFERROR(IF($K135="%",CG135-CF135,CG135/CF135-1),""))</f>
        <v/>
      </c>
      <c r="CI135" s="5" t="str">
        <f aca="false">IF(OR(CF135="",CG135=""),"",IF($F135="Maior Melhor",IF(CG135&gt;=CF135,"Sim","Não"),IF(CG135&lt;=CF135,"Sim","Não")))</f>
        <v/>
      </c>
      <c r="CJ135" s="8"/>
      <c r="CK135" s="8"/>
      <c r="CL135" s="4" t="str">
        <f aca="false">IF(OR(CJ135="",CK135=""),"",IFERROR(IF($K135="%",CK135-CJ135,CK135/CJ135-1),""))</f>
        <v/>
      </c>
      <c r="CM135" s="5" t="str">
        <f aca="false">IF(OR(CJ135="",CK135=""),"",IF($F135="Maior Melhor",IF(CK135&gt;=CJ135,"Sim","Não"),IF(CK135&lt;=CJ135,"Sim","Não")))</f>
        <v/>
      </c>
      <c r="CN135" s="8"/>
      <c r="CO135" s="8"/>
      <c r="CP135" s="4" t="str">
        <f aca="false">IF(OR(CN135="",CO135=""),"",IFERROR(IF($K135="%",CO135-CN135,CO135/CN135-1),""))</f>
        <v/>
      </c>
      <c r="CQ135" s="5" t="str">
        <f aca="false">IF(OR(CN135="",CO135=""),"",IF($F135="Maior Melhor",IF(CO135&gt;=CN135,"Sim","Não"),IF(CO135&lt;=CN135,"Sim","Não")))</f>
        <v/>
      </c>
      <c r="CR135" s="2" t="s">
        <v>105</v>
      </c>
    </row>
    <row r="136" customFormat="false" ht="15" hidden="false" customHeight="false" outlineLevel="0" collapsed="false">
      <c r="A136" s="2" t="s">
        <v>144</v>
      </c>
      <c r="B136" s="2" t="s">
        <v>106</v>
      </c>
      <c r="C136" s="2" t="s">
        <v>118</v>
      </c>
      <c r="D136" s="2" t="s">
        <v>166</v>
      </c>
      <c r="E136" s="2" t="str">
        <f aca="false">C136&amp;D136</f>
        <v>UTD IBOTIRAMADesvio de Telemetria</v>
      </c>
      <c r="F136" s="2" t="s">
        <v>167</v>
      </c>
      <c r="G136" s="2" t="s">
        <v>168</v>
      </c>
      <c r="H136" s="2" t="s">
        <v>119</v>
      </c>
      <c r="I136" s="2" t="s">
        <v>169</v>
      </c>
      <c r="J136" s="2" t="n">
        <v>2</v>
      </c>
      <c r="K136" s="2" t="s">
        <v>147</v>
      </c>
      <c r="L136" s="7" t="n">
        <v>8</v>
      </c>
      <c r="M136" s="7" t="n">
        <v>1</v>
      </c>
      <c r="N136" s="4" t="n">
        <f aca="false">IF(OR(L136="",M136=""),"",IFERROR(IF($K136="%",M136-L136,M136/L136-1),""))</f>
        <v>-0.875</v>
      </c>
      <c r="O136" s="5" t="str">
        <f aca="false">IF(OR(L136="",M136=""),"",IF($F136="Maior Melhor",IF(M136&gt;=L136,"Sim","Não"),IF(M136&lt;=L136,"Sim","Não")))</f>
        <v>Sim</v>
      </c>
      <c r="P136" s="7" t="n">
        <v>8</v>
      </c>
      <c r="Q136" s="7" t="n">
        <v>0</v>
      </c>
      <c r="R136" s="4" t="n">
        <f aca="false">IF(OR(P136="",Q136=""),"",IFERROR(IF($K136="%",Q136-P136,Q136/P136-1),""))</f>
        <v>-1</v>
      </c>
      <c r="S136" s="5" t="str">
        <f aca="false">IF(OR(P136="",Q136=""),"",IF($F136="Maior Melhor",IF(Q136&gt;=P136,"Sim","Não"),IF(Q136&lt;=P136,"Sim","Não")))</f>
        <v>Sim</v>
      </c>
      <c r="T136" s="7" t="n">
        <v>8</v>
      </c>
      <c r="U136" s="7" t="n">
        <v>2</v>
      </c>
      <c r="V136" s="4" t="n">
        <f aca="false">IF(OR(T136="",U136=""),"",IFERROR(IF($K136="%",U136-T136,U136/T136-1),""))</f>
        <v>-0.75</v>
      </c>
      <c r="W136" s="5" t="str">
        <f aca="false">IF(OR(T136="",U136=""),"",IF($F136="Maior Melhor",IF(U136&gt;=T136,"Sim","Não"),IF(U136&lt;=T136,"Sim","Não")))</f>
        <v>Sim</v>
      </c>
      <c r="X136" s="7"/>
      <c r="Y136" s="7"/>
      <c r="Z136" s="4" t="str">
        <f aca="false">IF(OR(X136="",Y136=""),"",IFERROR(IF($K136="%",Y136-X136,Y136/X136-1),""))</f>
        <v/>
      </c>
      <c r="AA136" s="5" t="str">
        <f aca="false">IF(OR(X136="",Y136=""),"",IF($F136="Maior Melhor",IF(Y136&gt;=X136,"Sim","Não"),IF(Y136&lt;=X136,"Sim","Não")))</f>
        <v/>
      </c>
      <c r="AB136" s="7"/>
      <c r="AC136" s="7"/>
      <c r="AD136" s="4" t="str">
        <f aca="false">IF(OR(AB136="",AC136=""),"",IFERROR(IF($K136="%",AC136-AB136,AC136/AB136-1),""))</f>
        <v/>
      </c>
      <c r="AE136" s="5" t="str">
        <f aca="false">IF(OR(AB136="",AC136=""),"",IF($F136="Maior Melhor",IF(AC136&gt;=AB136,"Sim","Não"),IF(AC136&lt;=AB136,"Sim","Não")))</f>
        <v/>
      </c>
      <c r="AF136" s="7"/>
      <c r="AG136" s="7"/>
      <c r="AH136" s="4" t="str">
        <f aca="false">IF(OR(AF136="",AG136=""),"",IFERROR(IF($K136="%",AG136-AF136,AG136/AF136-1),""))</f>
        <v/>
      </c>
      <c r="AI136" s="5" t="str">
        <f aca="false">IF(OR(AF136="",AG136=""),"",IF($F136="Maior Melhor",IF(AG136&gt;=AF136,"Sim","Não"),IF(AG136&lt;=AF136,"Sim","Não")))</f>
        <v/>
      </c>
      <c r="AJ136" s="7"/>
      <c r="AK136" s="7"/>
      <c r="AL136" s="4" t="str">
        <f aca="false">IF(OR(AJ136="",AK136=""),"",IFERROR(IF($K136="%",AK136-AJ136,AK136/AJ136-1),""))</f>
        <v/>
      </c>
      <c r="AM136" s="5" t="str">
        <f aca="false">IF(OR(AJ136="",AK136=""),"",IF($F136="Maior Melhor",IF(AK136&gt;=AJ136,"Sim","Não"),IF(AK136&lt;=AJ136,"Sim","Não")))</f>
        <v/>
      </c>
      <c r="AN136" s="7"/>
      <c r="AO136" s="7"/>
      <c r="AP136" s="4" t="str">
        <f aca="false">IF(OR(AN136="",AO136=""),"",IFERROR(IF($K136="%",AO136-AN136,AO136/AN136-1),""))</f>
        <v/>
      </c>
      <c r="AQ136" s="5" t="str">
        <f aca="false">IF(OR(AN136="",AO136=""),"",IF($F136="Maior Melhor",IF(AO136&gt;=AN136,"Sim","Não"),IF(AO136&lt;=AN136,"Sim","Não")))</f>
        <v/>
      </c>
      <c r="AR136" s="7"/>
      <c r="AS136" s="7"/>
      <c r="AT136" s="4" t="str">
        <f aca="false">IF(OR(AR136="",AS136=""),"",IFERROR(IF($K136="%",AS136-AR136,AS136/AR136-1),""))</f>
        <v/>
      </c>
      <c r="AU136" s="5" t="str">
        <f aca="false">IF(OR(AR136="",AS136=""),"",IF($F136="Maior Melhor",IF(AS136&gt;=AR136,"Sim","Não"),IF(AS136&lt;=AR136,"Sim","Não")))</f>
        <v/>
      </c>
      <c r="AV136" s="7"/>
      <c r="AW136" s="7"/>
      <c r="AX136" s="4" t="str">
        <f aca="false">IF(OR(AV136="",AW136=""),"",IFERROR(IF($K136="%",AW136-AV136,AW136/AV136-1),""))</f>
        <v/>
      </c>
      <c r="AY136" s="5" t="str">
        <f aca="false">IF(OR(AV136="",AW136=""),"",IF($F136="Maior Melhor",IF(AW136&gt;=AV136,"Sim","Não"),IF(AW136&lt;=AV136,"Sim","Não")))</f>
        <v/>
      </c>
      <c r="AZ136" s="7"/>
      <c r="BA136" s="7"/>
      <c r="BB136" s="4" t="str">
        <f aca="false">IF(OR(AZ136="",BA136=""),"",IFERROR(IF($K136="%",BA136-AZ136,BA136/AZ136-1),""))</f>
        <v/>
      </c>
      <c r="BC136" s="5" t="str">
        <f aca="false">IF(OR(AZ136="",BA136=""),"",IF($F136="Maior Melhor",IF(BA136&gt;=AZ136,"Sim","Não"),IF(BA136&lt;=AZ136,"Sim","Não")))</f>
        <v/>
      </c>
      <c r="BD136" s="7"/>
      <c r="BE136" s="7"/>
      <c r="BF136" s="4" t="str">
        <f aca="false">IF(OR(BD136="",BE136=""),"",IFERROR(IF($K136="%",BE136-BD136,BE136/BD136-1),""))</f>
        <v/>
      </c>
      <c r="BG136" s="5" t="str">
        <f aca="false">IF(OR(BD136="",BE136=""),"",IF($F136="Maior Melhor",IF(BE136&gt;=BD136,"Sim","Não"),IF(BE136&lt;=BD136,"Sim","Não")))</f>
        <v/>
      </c>
      <c r="BH136" s="7"/>
      <c r="BI136" s="7"/>
      <c r="BJ136" s="4" t="str">
        <f aca="false">IF(OR(BH136="",BI136=""),"",IFERROR(IF($K136="%",BI136-BH136,BI136/BH136-1),""))</f>
        <v/>
      </c>
      <c r="BK136" s="5" t="str">
        <f aca="false">IF(OR(BH136="",BI136=""),"",IF($F136="Maior Melhor",IF(BI136&gt;=BH136,"Sim","Não"),IF(BI136&lt;=BH136,"Sim","Não")))</f>
        <v/>
      </c>
      <c r="BL136" s="8"/>
      <c r="BM136" s="8"/>
      <c r="BN136" s="4" t="str">
        <f aca="false">IF(OR(BL136="",BM136=""),"",IFERROR(IF($K136="%",BM136-BL136,BM136/BL136-1),""))</f>
        <v/>
      </c>
      <c r="BO136" s="5" t="str">
        <f aca="false">IF(OR(BL136="",BM136=""),"",IF($F136="Maior Melhor",IF(BM136&gt;=BL136,"Sim","Não"),IF(BM136&lt;=BL136,"Sim","Não")))</f>
        <v/>
      </c>
      <c r="BP136" s="8"/>
      <c r="BQ136" s="8"/>
      <c r="BR136" s="4" t="str">
        <f aca="false">IF(OR(BP136="",BQ136=""),"",IFERROR(IF($K136="%",BQ136-BP136,BQ136/BP136-1),""))</f>
        <v/>
      </c>
      <c r="BS136" s="5" t="str">
        <f aca="false">IF(OR(BP136="",BQ136=""),"",IF($F136="Maior Melhor",IF(BQ136&gt;=BP136,"Sim","Não"),IF(BQ136&lt;=BP136,"Sim","Não")))</f>
        <v/>
      </c>
      <c r="BT136" s="8"/>
      <c r="BU136" s="8"/>
      <c r="BV136" s="4" t="str">
        <f aca="false">IF(OR(BT136="",BU136=""),"",IFERROR(IF($K136="%",BU136-BT136,BU136/BT136-1),""))</f>
        <v/>
      </c>
      <c r="BW136" s="5" t="str">
        <f aca="false">IF(OR(BT136="",BU136=""),"",IF($F136="Maior Melhor",IF(BU136&gt;=BT136,"Sim","Não"),IF(BU136&lt;=BT136,"Sim","Não")))</f>
        <v/>
      </c>
      <c r="BX136" s="8"/>
      <c r="BY136" s="8"/>
      <c r="BZ136" s="4" t="str">
        <f aca="false">IF(OR(BX136="",BY136=""),"",IFERROR(IF($K136="%",BY136-BX136,BY136/BX136-1),""))</f>
        <v/>
      </c>
      <c r="CA136" s="5" t="str">
        <f aca="false">IF(OR(BX136="",BY136=""),"",IF($F136="Maior Melhor",IF(BY136&gt;=BX136,"Sim","Não"),IF(BY136&lt;=BX136,"Sim","Não")))</f>
        <v/>
      </c>
      <c r="CB136" s="8"/>
      <c r="CC136" s="8"/>
      <c r="CD136" s="4" t="str">
        <f aca="false">IF(OR(CB136="",CC136=""),"",IFERROR(IF($K136="%",CC136-CB136,CC136/CB136-1),""))</f>
        <v/>
      </c>
      <c r="CE136" s="5" t="str">
        <f aca="false">IF(OR(CB136="",CC136=""),"",IF($F136="Maior Melhor",IF(CC136&gt;=CB136,"Sim","Não"),IF(CC136&lt;=CB136,"Sim","Não")))</f>
        <v/>
      </c>
      <c r="CF136" s="8"/>
      <c r="CG136" s="8"/>
      <c r="CH136" s="4" t="str">
        <f aca="false">IF(OR(CF136="",CG136=""),"",IFERROR(IF($K136="%",CG136-CF136,CG136/CF136-1),""))</f>
        <v/>
      </c>
      <c r="CI136" s="5" t="str">
        <f aca="false">IF(OR(CF136="",CG136=""),"",IF($F136="Maior Melhor",IF(CG136&gt;=CF136,"Sim","Não"),IF(CG136&lt;=CF136,"Sim","Não")))</f>
        <v/>
      </c>
      <c r="CJ136" s="8"/>
      <c r="CK136" s="8"/>
      <c r="CL136" s="4" t="str">
        <f aca="false">IF(OR(CJ136="",CK136=""),"",IFERROR(IF($K136="%",CK136-CJ136,CK136/CJ136-1),""))</f>
        <v/>
      </c>
      <c r="CM136" s="5" t="str">
        <f aca="false">IF(OR(CJ136="",CK136=""),"",IF($F136="Maior Melhor",IF(CK136&gt;=CJ136,"Sim","Não"),IF(CK136&lt;=CJ136,"Sim","Não")))</f>
        <v/>
      </c>
      <c r="CN136" s="8"/>
      <c r="CO136" s="8"/>
      <c r="CP136" s="4" t="str">
        <f aca="false">IF(OR(CN136="",CO136=""),"",IFERROR(IF($K136="%",CO136-CN136,CO136/CN136-1),""))</f>
        <v/>
      </c>
      <c r="CQ136" s="5" t="str">
        <f aca="false">IF(OR(CN136="",CO136=""),"",IF($F136="Maior Melhor",IF(CO136&gt;=CN136,"Sim","Não"),IF(CO136&lt;=CN136,"Sim","Não")))</f>
        <v/>
      </c>
      <c r="CR136" s="2" t="s">
        <v>150</v>
      </c>
    </row>
    <row r="137" customFormat="false" ht="15" hidden="false" customHeight="false" outlineLevel="0" collapsed="false">
      <c r="A137" s="2" t="s">
        <v>144</v>
      </c>
      <c r="B137" s="2" t="s">
        <v>97</v>
      </c>
      <c r="C137" s="2" t="s">
        <v>121</v>
      </c>
      <c r="D137" s="2" t="s">
        <v>166</v>
      </c>
      <c r="E137" s="2" t="str">
        <f aca="false">C137&amp;D137</f>
        <v>UTD IRECÊDesvio de Telemetria</v>
      </c>
      <c r="F137" s="2" t="s">
        <v>167</v>
      </c>
      <c r="G137" s="2" t="s">
        <v>168</v>
      </c>
      <c r="H137" s="2" t="s">
        <v>102</v>
      </c>
      <c r="I137" s="2" t="s">
        <v>169</v>
      </c>
      <c r="J137" s="2" t="n">
        <v>2</v>
      </c>
      <c r="K137" s="2" t="s">
        <v>147</v>
      </c>
      <c r="L137" s="7" t="n">
        <v>13</v>
      </c>
      <c r="M137" s="7" t="n">
        <v>2</v>
      </c>
      <c r="N137" s="4" t="n">
        <f aca="false">IF(OR(L137="",M137=""),"",IFERROR(IF($K137="%",M137-L137,M137/L137-1),""))</f>
        <v>-0.846153846153846</v>
      </c>
      <c r="O137" s="5" t="str">
        <f aca="false">IF(OR(L137="",M137=""),"",IF($F137="Maior Melhor",IF(M137&gt;=L137,"Sim","Não"),IF(M137&lt;=L137,"Sim","Não")))</f>
        <v>Sim</v>
      </c>
      <c r="P137" s="7" t="n">
        <v>13</v>
      </c>
      <c r="Q137" s="7" t="n">
        <v>3</v>
      </c>
      <c r="R137" s="4" t="n">
        <f aca="false">IF(OR(P137="",Q137=""),"",IFERROR(IF($K137="%",Q137-P137,Q137/P137-1),""))</f>
        <v>-0.769230769230769</v>
      </c>
      <c r="S137" s="5" t="str">
        <f aca="false">IF(OR(P137="",Q137=""),"",IF($F137="Maior Melhor",IF(Q137&gt;=P137,"Sim","Não"),IF(Q137&lt;=P137,"Sim","Não")))</f>
        <v>Sim</v>
      </c>
      <c r="T137" s="7" t="n">
        <v>13</v>
      </c>
      <c r="U137" s="7" t="n">
        <v>6</v>
      </c>
      <c r="V137" s="4" t="n">
        <f aca="false">IF(OR(T137="",U137=""),"",IFERROR(IF($K137="%",U137-T137,U137/T137-1),""))</f>
        <v>-0.538461538461538</v>
      </c>
      <c r="W137" s="5" t="str">
        <f aca="false">IF(OR(T137="",U137=""),"",IF($F137="Maior Melhor",IF(U137&gt;=T137,"Sim","Não"),IF(U137&lt;=T137,"Sim","Não")))</f>
        <v>Sim</v>
      </c>
      <c r="X137" s="7"/>
      <c r="Y137" s="7"/>
      <c r="Z137" s="4" t="str">
        <f aca="false">IF(OR(X137="",Y137=""),"",IFERROR(IF($K137="%",Y137-X137,Y137/X137-1),""))</f>
        <v/>
      </c>
      <c r="AA137" s="5" t="str">
        <f aca="false">IF(OR(X137="",Y137=""),"",IF($F137="Maior Melhor",IF(Y137&gt;=X137,"Sim","Não"),IF(Y137&lt;=X137,"Sim","Não")))</f>
        <v/>
      </c>
      <c r="AB137" s="7"/>
      <c r="AC137" s="7"/>
      <c r="AD137" s="4" t="str">
        <f aca="false">IF(OR(AB137="",AC137=""),"",IFERROR(IF($K137="%",AC137-AB137,AC137/AB137-1),""))</f>
        <v/>
      </c>
      <c r="AE137" s="5" t="str">
        <f aca="false">IF(OR(AB137="",AC137=""),"",IF($F137="Maior Melhor",IF(AC137&gt;=AB137,"Sim","Não"),IF(AC137&lt;=AB137,"Sim","Não")))</f>
        <v/>
      </c>
      <c r="AF137" s="7"/>
      <c r="AG137" s="7"/>
      <c r="AH137" s="4" t="str">
        <f aca="false">IF(OR(AF137="",AG137=""),"",IFERROR(IF($K137="%",AG137-AF137,AG137/AF137-1),""))</f>
        <v/>
      </c>
      <c r="AI137" s="5" t="str">
        <f aca="false">IF(OR(AF137="",AG137=""),"",IF($F137="Maior Melhor",IF(AG137&gt;=AF137,"Sim","Não"),IF(AG137&lt;=AF137,"Sim","Não")))</f>
        <v/>
      </c>
      <c r="AJ137" s="7"/>
      <c r="AK137" s="7"/>
      <c r="AL137" s="4" t="str">
        <f aca="false">IF(OR(AJ137="",AK137=""),"",IFERROR(IF($K137="%",AK137-AJ137,AK137/AJ137-1),""))</f>
        <v/>
      </c>
      <c r="AM137" s="5" t="str">
        <f aca="false">IF(OR(AJ137="",AK137=""),"",IF($F137="Maior Melhor",IF(AK137&gt;=AJ137,"Sim","Não"),IF(AK137&lt;=AJ137,"Sim","Não")))</f>
        <v/>
      </c>
      <c r="AN137" s="7"/>
      <c r="AO137" s="7"/>
      <c r="AP137" s="4" t="str">
        <f aca="false">IF(OR(AN137="",AO137=""),"",IFERROR(IF($K137="%",AO137-AN137,AO137/AN137-1),""))</f>
        <v/>
      </c>
      <c r="AQ137" s="5" t="str">
        <f aca="false">IF(OR(AN137="",AO137=""),"",IF($F137="Maior Melhor",IF(AO137&gt;=AN137,"Sim","Não"),IF(AO137&lt;=AN137,"Sim","Não")))</f>
        <v/>
      </c>
      <c r="AR137" s="7"/>
      <c r="AS137" s="7"/>
      <c r="AT137" s="4" t="str">
        <f aca="false">IF(OR(AR137="",AS137=""),"",IFERROR(IF($K137="%",AS137-AR137,AS137/AR137-1),""))</f>
        <v/>
      </c>
      <c r="AU137" s="5" t="str">
        <f aca="false">IF(OR(AR137="",AS137=""),"",IF($F137="Maior Melhor",IF(AS137&gt;=AR137,"Sim","Não"),IF(AS137&lt;=AR137,"Sim","Não")))</f>
        <v/>
      </c>
      <c r="AV137" s="7"/>
      <c r="AW137" s="7"/>
      <c r="AX137" s="4" t="str">
        <f aca="false">IF(OR(AV137="",AW137=""),"",IFERROR(IF($K137="%",AW137-AV137,AW137/AV137-1),""))</f>
        <v/>
      </c>
      <c r="AY137" s="5" t="str">
        <f aca="false">IF(OR(AV137="",AW137=""),"",IF($F137="Maior Melhor",IF(AW137&gt;=AV137,"Sim","Não"),IF(AW137&lt;=AV137,"Sim","Não")))</f>
        <v/>
      </c>
      <c r="AZ137" s="7"/>
      <c r="BA137" s="7"/>
      <c r="BB137" s="4" t="str">
        <f aca="false">IF(OR(AZ137="",BA137=""),"",IFERROR(IF($K137="%",BA137-AZ137,BA137/AZ137-1),""))</f>
        <v/>
      </c>
      <c r="BC137" s="5" t="str">
        <f aca="false">IF(OR(AZ137="",BA137=""),"",IF($F137="Maior Melhor",IF(BA137&gt;=AZ137,"Sim","Não"),IF(BA137&lt;=AZ137,"Sim","Não")))</f>
        <v/>
      </c>
      <c r="BD137" s="7"/>
      <c r="BE137" s="7"/>
      <c r="BF137" s="4" t="str">
        <f aca="false">IF(OR(BD137="",BE137=""),"",IFERROR(IF($K137="%",BE137-BD137,BE137/BD137-1),""))</f>
        <v/>
      </c>
      <c r="BG137" s="5" t="str">
        <f aca="false">IF(OR(BD137="",BE137=""),"",IF($F137="Maior Melhor",IF(BE137&gt;=BD137,"Sim","Não"),IF(BE137&lt;=BD137,"Sim","Não")))</f>
        <v/>
      </c>
      <c r="BH137" s="7"/>
      <c r="BI137" s="7"/>
      <c r="BJ137" s="4" t="str">
        <f aca="false">IF(OR(BH137="",BI137=""),"",IFERROR(IF($K137="%",BI137-BH137,BI137/BH137-1),""))</f>
        <v/>
      </c>
      <c r="BK137" s="5" t="str">
        <f aca="false">IF(OR(BH137="",BI137=""),"",IF($F137="Maior Melhor",IF(BI137&gt;=BH137,"Sim","Não"),IF(BI137&lt;=BH137,"Sim","Não")))</f>
        <v/>
      </c>
      <c r="BL137" s="8"/>
      <c r="BM137" s="8"/>
      <c r="BN137" s="4" t="str">
        <f aca="false">IF(OR(BL137="",BM137=""),"",IFERROR(IF($K137="%",BM137-BL137,BM137/BL137-1),""))</f>
        <v/>
      </c>
      <c r="BO137" s="5" t="str">
        <f aca="false">IF(OR(BL137="",BM137=""),"",IF($F137="Maior Melhor",IF(BM137&gt;=BL137,"Sim","Não"),IF(BM137&lt;=BL137,"Sim","Não")))</f>
        <v/>
      </c>
      <c r="BP137" s="8"/>
      <c r="BQ137" s="8"/>
      <c r="BR137" s="4" t="str">
        <f aca="false">IF(OR(BP137="",BQ137=""),"",IFERROR(IF($K137="%",BQ137-BP137,BQ137/BP137-1),""))</f>
        <v/>
      </c>
      <c r="BS137" s="5" t="str">
        <f aca="false">IF(OR(BP137="",BQ137=""),"",IF($F137="Maior Melhor",IF(BQ137&gt;=BP137,"Sim","Não"),IF(BQ137&lt;=BP137,"Sim","Não")))</f>
        <v/>
      </c>
      <c r="BT137" s="8"/>
      <c r="BU137" s="8"/>
      <c r="BV137" s="4" t="str">
        <f aca="false">IF(OR(BT137="",BU137=""),"",IFERROR(IF($K137="%",BU137-BT137,BU137/BT137-1),""))</f>
        <v/>
      </c>
      <c r="BW137" s="5" t="str">
        <f aca="false">IF(OR(BT137="",BU137=""),"",IF($F137="Maior Melhor",IF(BU137&gt;=BT137,"Sim","Não"),IF(BU137&lt;=BT137,"Sim","Não")))</f>
        <v/>
      </c>
      <c r="BX137" s="8"/>
      <c r="BY137" s="8"/>
      <c r="BZ137" s="4" t="str">
        <f aca="false">IF(OR(BX137="",BY137=""),"",IFERROR(IF($K137="%",BY137-BX137,BY137/BX137-1),""))</f>
        <v/>
      </c>
      <c r="CA137" s="5" t="str">
        <f aca="false">IF(OR(BX137="",BY137=""),"",IF($F137="Maior Melhor",IF(BY137&gt;=BX137,"Sim","Não"),IF(BY137&lt;=BX137,"Sim","Não")))</f>
        <v/>
      </c>
      <c r="CB137" s="8"/>
      <c r="CC137" s="8"/>
      <c r="CD137" s="4" t="str">
        <f aca="false">IF(OR(CB137="",CC137=""),"",IFERROR(IF($K137="%",CC137-CB137,CC137/CB137-1),""))</f>
        <v/>
      </c>
      <c r="CE137" s="5" t="str">
        <f aca="false">IF(OR(CB137="",CC137=""),"",IF($F137="Maior Melhor",IF(CC137&gt;=CB137,"Sim","Não"),IF(CC137&lt;=CB137,"Sim","Não")))</f>
        <v/>
      </c>
      <c r="CF137" s="8"/>
      <c r="CG137" s="8"/>
      <c r="CH137" s="4" t="str">
        <f aca="false">IF(OR(CF137="",CG137=""),"",IFERROR(IF($K137="%",CG137-CF137,CG137/CF137-1),""))</f>
        <v/>
      </c>
      <c r="CI137" s="5" t="str">
        <f aca="false">IF(OR(CF137="",CG137=""),"",IF($F137="Maior Melhor",IF(CG137&gt;=CF137,"Sim","Não"),IF(CG137&lt;=CF137,"Sim","Não")))</f>
        <v/>
      </c>
      <c r="CJ137" s="8"/>
      <c r="CK137" s="8"/>
      <c r="CL137" s="4" t="str">
        <f aca="false">IF(OR(CJ137="",CK137=""),"",IFERROR(IF($K137="%",CK137-CJ137,CK137/CJ137-1),""))</f>
        <v/>
      </c>
      <c r="CM137" s="5" t="str">
        <f aca="false">IF(OR(CJ137="",CK137=""),"",IF($F137="Maior Melhor",IF(CK137&gt;=CJ137,"Sim","Não"),IF(CK137&lt;=CJ137,"Sim","Não")))</f>
        <v/>
      </c>
      <c r="CN137" s="8"/>
      <c r="CO137" s="8"/>
      <c r="CP137" s="4" t="str">
        <f aca="false">IF(OR(CN137="",CO137=""),"",IFERROR(IF($K137="%",CO137-CN137,CO137/CN137-1),""))</f>
        <v/>
      </c>
      <c r="CQ137" s="5" t="str">
        <f aca="false">IF(OR(CN137="",CO137=""),"",IF($F137="Maior Melhor",IF(CO137&gt;=CN137,"Sim","Não"),IF(CO137&lt;=CN137,"Sim","Não")))</f>
        <v/>
      </c>
      <c r="CR137" s="2" t="s">
        <v>105</v>
      </c>
    </row>
    <row r="138" customFormat="false" ht="15" hidden="false" customHeight="false" outlineLevel="0" collapsed="false">
      <c r="A138" s="2" t="s">
        <v>144</v>
      </c>
      <c r="B138" s="2" t="s">
        <v>97</v>
      </c>
      <c r="C138" s="2" t="s">
        <v>122</v>
      </c>
      <c r="D138" s="2" t="s">
        <v>166</v>
      </c>
      <c r="E138" s="2" t="str">
        <f aca="false">C138&amp;D138</f>
        <v>UTD ITABERABADesvio de Telemetria</v>
      </c>
      <c r="F138" s="2" t="s">
        <v>167</v>
      </c>
      <c r="G138" s="2" t="s">
        <v>168</v>
      </c>
      <c r="H138" s="2" t="s">
        <v>102</v>
      </c>
      <c r="I138" s="2" t="s">
        <v>169</v>
      </c>
      <c r="J138" s="2" t="n">
        <v>2</v>
      </c>
      <c r="K138" s="2" t="s">
        <v>147</v>
      </c>
      <c r="L138" s="7" t="n">
        <v>8</v>
      </c>
      <c r="M138" s="7" t="n">
        <v>11</v>
      </c>
      <c r="N138" s="4" t="n">
        <f aca="false">IF(OR(L138="",M138=""),"",IFERROR(IF($K138="%",M138-L138,M138/L138-1),""))</f>
        <v>0.375</v>
      </c>
      <c r="O138" s="5" t="str">
        <f aca="false">IF(OR(L138="",M138=""),"",IF($F138="Maior Melhor",IF(M138&gt;=L138,"Sim","Não"),IF(M138&lt;=L138,"Sim","Não")))</f>
        <v>Não</v>
      </c>
      <c r="P138" s="7" t="n">
        <v>8</v>
      </c>
      <c r="Q138" s="7" t="n">
        <v>22</v>
      </c>
      <c r="R138" s="4" t="n">
        <f aca="false">IF(OR(P138="",Q138=""),"",IFERROR(IF($K138="%",Q138-P138,Q138/P138-1),""))</f>
        <v>1.75</v>
      </c>
      <c r="S138" s="5" t="str">
        <f aca="false">IF(OR(P138="",Q138=""),"",IF($F138="Maior Melhor",IF(Q138&gt;=P138,"Sim","Não"),IF(Q138&lt;=P138,"Sim","Não")))</f>
        <v>Não</v>
      </c>
      <c r="T138" s="7" t="n">
        <v>8</v>
      </c>
      <c r="U138" s="7" t="n">
        <v>16</v>
      </c>
      <c r="V138" s="4" t="n">
        <f aca="false">IF(OR(T138="",U138=""),"",IFERROR(IF($K138="%",U138-T138,U138/T138-1),""))</f>
        <v>1</v>
      </c>
      <c r="W138" s="5" t="str">
        <f aca="false">IF(OR(T138="",U138=""),"",IF($F138="Maior Melhor",IF(U138&gt;=T138,"Sim","Não"),IF(U138&lt;=T138,"Sim","Não")))</f>
        <v>Não</v>
      </c>
      <c r="X138" s="7"/>
      <c r="Y138" s="7"/>
      <c r="Z138" s="4" t="str">
        <f aca="false">IF(OR(X138="",Y138=""),"",IFERROR(IF($K138="%",Y138-X138,Y138/X138-1),""))</f>
        <v/>
      </c>
      <c r="AA138" s="5" t="str">
        <f aca="false">IF(OR(X138="",Y138=""),"",IF($F138="Maior Melhor",IF(Y138&gt;=X138,"Sim","Não"),IF(Y138&lt;=X138,"Sim","Não")))</f>
        <v/>
      </c>
      <c r="AB138" s="7"/>
      <c r="AC138" s="7"/>
      <c r="AD138" s="4" t="str">
        <f aca="false">IF(OR(AB138="",AC138=""),"",IFERROR(IF($K138="%",AC138-AB138,AC138/AB138-1),""))</f>
        <v/>
      </c>
      <c r="AE138" s="5" t="str">
        <f aca="false">IF(OR(AB138="",AC138=""),"",IF($F138="Maior Melhor",IF(AC138&gt;=AB138,"Sim","Não"),IF(AC138&lt;=AB138,"Sim","Não")))</f>
        <v/>
      </c>
      <c r="AF138" s="7"/>
      <c r="AG138" s="7"/>
      <c r="AH138" s="4" t="str">
        <f aca="false">IF(OR(AF138="",AG138=""),"",IFERROR(IF($K138="%",AG138-AF138,AG138/AF138-1),""))</f>
        <v/>
      </c>
      <c r="AI138" s="5" t="str">
        <f aca="false">IF(OR(AF138="",AG138=""),"",IF($F138="Maior Melhor",IF(AG138&gt;=AF138,"Sim","Não"),IF(AG138&lt;=AF138,"Sim","Não")))</f>
        <v/>
      </c>
      <c r="AJ138" s="7"/>
      <c r="AK138" s="7"/>
      <c r="AL138" s="4" t="str">
        <f aca="false">IF(OR(AJ138="",AK138=""),"",IFERROR(IF($K138="%",AK138-AJ138,AK138/AJ138-1),""))</f>
        <v/>
      </c>
      <c r="AM138" s="5" t="str">
        <f aca="false">IF(OR(AJ138="",AK138=""),"",IF($F138="Maior Melhor",IF(AK138&gt;=AJ138,"Sim","Não"),IF(AK138&lt;=AJ138,"Sim","Não")))</f>
        <v/>
      </c>
      <c r="AN138" s="7"/>
      <c r="AO138" s="7"/>
      <c r="AP138" s="4" t="str">
        <f aca="false">IF(OR(AN138="",AO138=""),"",IFERROR(IF($K138="%",AO138-AN138,AO138/AN138-1),""))</f>
        <v/>
      </c>
      <c r="AQ138" s="5" t="str">
        <f aca="false">IF(OR(AN138="",AO138=""),"",IF($F138="Maior Melhor",IF(AO138&gt;=AN138,"Sim","Não"),IF(AO138&lt;=AN138,"Sim","Não")))</f>
        <v/>
      </c>
      <c r="AR138" s="7"/>
      <c r="AS138" s="7"/>
      <c r="AT138" s="4" t="str">
        <f aca="false">IF(OR(AR138="",AS138=""),"",IFERROR(IF($K138="%",AS138-AR138,AS138/AR138-1),""))</f>
        <v/>
      </c>
      <c r="AU138" s="5" t="str">
        <f aca="false">IF(OR(AR138="",AS138=""),"",IF($F138="Maior Melhor",IF(AS138&gt;=AR138,"Sim","Não"),IF(AS138&lt;=AR138,"Sim","Não")))</f>
        <v/>
      </c>
      <c r="AV138" s="7"/>
      <c r="AW138" s="7"/>
      <c r="AX138" s="4" t="str">
        <f aca="false">IF(OR(AV138="",AW138=""),"",IFERROR(IF($K138="%",AW138-AV138,AW138/AV138-1),""))</f>
        <v/>
      </c>
      <c r="AY138" s="5" t="str">
        <f aca="false">IF(OR(AV138="",AW138=""),"",IF($F138="Maior Melhor",IF(AW138&gt;=AV138,"Sim","Não"),IF(AW138&lt;=AV138,"Sim","Não")))</f>
        <v/>
      </c>
      <c r="AZ138" s="7"/>
      <c r="BA138" s="7"/>
      <c r="BB138" s="4" t="str">
        <f aca="false">IF(OR(AZ138="",BA138=""),"",IFERROR(IF($K138="%",BA138-AZ138,BA138/AZ138-1),""))</f>
        <v/>
      </c>
      <c r="BC138" s="5" t="str">
        <f aca="false">IF(OR(AZ138="",BA138=""),"",IF($F138="Maior Melhor",IF(BA138&gt;=AZ138,"Sim","Não"),IF(BA138&lt;=AZ138,"Sim","Não")))</f>
        <v/>
      </c>
      <c r="BD138" s="7"/>
      <c r="BE138" s="7"/>
      <c r="BF138" s="4" t="str">
        <f aca="false">IF(OR(BD138="",BE138=""),"",IFERROR(IF($K138="%",BE138-BD138,BE138/BD138-1),""))</f>
        <v/>
      </c>
      <c r="BG138" s="5" t="str">
        <f aca="false">IF(OR(BD138="",BE138=""),"",IF($F138="Maior Melhor",IF(BE138&gt;=BD138,"Sim","Não"),IF(BE138&lt;=BD138,"Sim","Não")))</f>
        <v/>
      </c>
      <c r="BH138" s="7"/>
      <c r="BI138" s="7"/>
      <c r="BJ138" s="4" t="str">
        <f aca="false">IF(OR(BH138="",BI138=""),"",IFERROR(IF($K138="%",BI138-BH138,BI138/BH138-1),""))</f>
        <v/>
      </c>
      <c r="BK138" s="5" t="str">
        <f aca="false">IF(OR(BH138="",BI138=""),"",IF($F138="Maior Melhor",IF(BI138&gt;=BH138,"Sim","Não"),IF(BI138&lt;=BH138,"Sim","Não")))</f>
        <v/>
      </c>
      <c r="BL138" s="8"/>
      <c r="BM138" s="8"/>
      <c r="BN138" s="4" t="str">
        <f aca="false">IF(OR(BL138="",BM138=""),"",IFERROR(IF($K138="%",BM138-BL138,BM138/BL138-1),""))</f>
        <v/>
      </c>
      <c r="BO138" s="5" t="str">
        <f aca="false">IF(OR(BL138="",BM138=""),"",IF($F138="Maior Melhor",IF(BM138&gt;=BL138,"Sim","Não"),IF(BM138&lt;=BL138,"Sim","Não")))</f>
        <v/>
      </c>
      <c r="BP138" s="8"/>
      <c r="BQ138" s="8"/>
      <c r="BR138" s="4" t="str">
        <f aca="false">IF(OR(BP138="",BQ138=""),"",IFERROR(IF($K138="%",BQ138-BP138,BQ138/BP138-1),""))</f>
        <v/>
      </c>
      <c r="BS138" s="5" t="str">
        <f aca="false">IF(OR(BP138="",BQ138=""),"",IF($F138="Maior Melhor",IF(BQ138&gt;=BP138,"Sim","Não"),IF(BQ138&lt;=BP138,"Sim","Não")))</f>
        <v/>
      </c>
      <c r="BT138" s="8"/>
      <c r="BU138" s="8"/>
      <c r="BV138" s="4" t="str">
        <f aca="false">IF(OR(BT138="",BU138=""),"",IFERROR(IF($K138="%",BU138-BT138,BU138/BT138-1),""))</f>
        <v/>
      </c>
      <c r="BW138" s="5" t="str">
        <f aca="false">IF(OR(BT138="",BU138=""),"",IF($F138="Maior Melhor",IF(BU138&gt;=BT138,"Sim","Não"),IF(BU138&lt;=BT138,"Sim","Não")))</f>
        <v/>
      </c>
      <c r="BX138" s="8"/>
      <c r="BY138" s="8"/>
      <c r="BZ138" s="4" t="str">
        <f aca="false">IF(OR(BX138="",BY138=""),"",IFERROR(IF($K138="%",BY138-BX138,BY138/BX138-1),""))</f>
        <v/>
      </c>
      <c r="CA138" s="5" t="str">
        <f aca="false">IF(OR(BX138="",BY138=""),"",IF($F138="Maior Melhor",IF(BY138&gt;=BX138,"Sim","Não"),IF(BY138&lt;=BX138,"Sim","Não")))</f>
        <v/>
      </c>
      <c r="CB138" s="8"/>
      <c r="CC138" s="8"/>
      <c r="CD138" s="4" t="str">
        <f aca="false">IF(OR(CB138="",CC138=""),"",IFERROR(IF($K138="%",CC138-CB138,CC138/CB138-1),""))</f>
        <v/>
      </c>
      <c r="CE138" s="5" t="str">
        <f aca="false">IF(OR(CB138="",CC138=""),"",IF($F138="Maior Melhor",IF(CC138&gt;=CB138,"Sim","Não"),IF(CC138&lt;=CB138,"Sim","Não")))</f>
        <v/>
      </c>
      <c r="CF138" s="8"/>
      <c r="CG138" s="8"/>
      <c r="CH138" s="4" t="str">
        <f aca="false">IF(OR(CF138="",CG138=""),"",IFERROR(IF($K138="%",CG138-CF138,CG138/CF138-1),""))</f>
        <v/>
      </c>
      <c r="CI138" s="5" t="str">
        <f aca="false">IF(OR(CF138="",CG138=""),"",IF($F138="Maior Melhor",IF(CG138&gt;=CF138,"Sim","Não"),IF(CG138&lt;=CF138,"Sim","Não")))</f>
        <v/>
      </c>
      <c r="CJ138" s="8"/>
      <c r="CK138" s="8"/>
      <c r="CL138" s="4" t="str">
        <f aca="false">IF(OR(CJ138="",CK138=""),"",IFERROR(IF($K138="%",CK138-CJ138,CK138/CJ138-1),""))</f>
        <v/>
      </c>
      <c r="CM138" s="5" t="str">
        <f aca="false">IF(OR(CJ138="",CK138=""),"",IF($F138="Maior Melhor",IF(CK138&gt;=CJ138,"Sim","Não"),IF(CK138&lt;=CJ138,"Sim","Não")))</f>
        <v/>
      </c>
      <c r="CN138" s="8"/>
      <c r="CO138" s="8"/>
      <c r="CP138" s="4" t="str">
        <f aca="false">IF(OR(CN138="",CO138=""),"",IFERROR(IF($K138="%",CO138-CN138,CO138/CN138-1),""))</f>
        <v/>
      </c>
      <c r="CQ138" s="5" t="str">
        <f aca="false">IF(OR(CN138="",CO138=""),"",IF($F138="Maior Melhor",IF(CO138&gt;=CN138,"Sim","Não"),IF(CO138&lt;=CN138,"Sim","Não")))</f>
        <v/>
      </c>
      <c r="CR138" s="2" t="s">
        <v>159</v>
      </c>
    </row>
    <row r="139" customFormat="false" ht="15" hidden="false" customHeight="false" outlineLevel="0" collapsed="false">
      <c r="A139" s="2" t="s">
        <v>144</v>
      </c>
      <c r="B139" s="2" t="s">
        <v>108</v>
      </c>
      <c r="C139" s="2" t="s">
        <v>124</v>
      </c>
      <c r="D139" s="2" t="s">
        <v>166</v>
      </c>
      <c r="E139" s="2" t="str">
        <f aca="false">C139&amp;D139</f>
        <v>UTD ITAPETINGADesvio de Telemetria</v>
      </c>
      <c r="F139" s="2" t="s">
        <v>167</v>
      </c>
      <c r="G139" s="2" t="s">
        <v>168</v>
      </c>
      <c r="H139" s="2" t="s">
        <v>102</v>
      </c>
      <c r="I139" s="2" t="s">
        <v>169</v>
      </c>
      <c r="J139" s="2" t="n">
        <v>2</v>
      </c>
      <c r="K139" s="2" t="s">
        <v>147</v>
      </c>
      <c r="L139" s="7" t="n">
        <v>7</v>
      </c>
      <c r="M139" s="7" t="n">
        <v>12</v>
      </c>
      <c r="N139" s="4" t="n">
        <f aca="false">IF(OR(L139="",M139=""),"",IFERROR(IF($K139="%",M139-L139,M139/L139-1),""))</f>
        <v>0.714285714285714</v>
      </c>
      <c r="O139" s="5" t="str">
        <f aca="false">IF(OR(L139="",M139=""),"",IF($F139="Maior Melhor",IF(M139&gt;=L139,"Sim","Não"),IF(M139&lt;=L139,"Sim","Não")))</f>
        <v>Não</v>
      </c>
      <c r="P139" s="7" t="n">
        <v>7</v>
      </c>
      <c r="Q139" s="7" t="n">
        <v>16</v>
      </c>
      <c r="R139" s="4" t="n">
        <f aca="false">IF(OR(P139="",Q139=""),"",IFERROR(IF($K139="%",Q139-P139,Q139/P139-1),""))</f>
        <v>1.28571428571429</v>
      </c>
      <c r="S139" s="5" t="str">
        <f aca="false">IF(OR(P139="",Q139=""),"",IF($F139="Maior Melhor",IF(Q139&gt;=P139,"Sim","Não"),IF(Q139&lt;=P139,"Sim","Não")))</f>
        <v>Não</v>
      </c>
      <c r="T139" s="7" t="n">
        <v>7</v>
      </c>
      <c r="U139" s="7" t="n">
        <v>16</v>
      </c>
      <c r="V139" s="4" t="n">
        <f aca="false">IF(OR(T139="",U139=""),"",IFERROR(IF($K139="%",U139-T139,U139/T139-1),""))</f>
        <v>1.28571428571429</v>
      </c>
      <c r="W139" s="5" t="str">
        <f aca="false">IF(OR(T139="",U139=""),"",IF($F139="Maior Melhor",IF(U139&gt;=T139,"Sim","Não"),IF(U139&lt;=T139,"Sim","Não")))</f>
        <v>Não</v>
      </c>
      <c r="X139" s="7"/>
      <c r="Y139" s="7"/>
      <c r="Z139" s="4" t="str">
        <f aca="false">IF(OR(X139="",Y139=""),"",IFERROR(IF($K139="%",Y139-X139,Y139/X139-1),""))</f>
        <v/>
      </c>
      <c r="AA139" s="5" t="str">
        <f aca="false">IF(OR(X139="",Y139=""),"",IF($F139="Maior Melhor",IF(Y139&gt;=X139,"Sim","Não"),IF(Y139&lt;=X139,"Sim","Não")))</f>
        <v/>
      </c>
      <c r="AB139" s="7"/>
      <c r="AC139" s="7"/>
      <c r="AD139" s="4" t="str">
        <f aca="false">IF(OR(AB139="",AC139=""),"",IFERROR(IF($K139="%",AC139-AB139,AC139/AB139-1),""))</f>
        <v/>
      </c>
      <c r="AE139" s="5" t="str">
        <f aca="false">IF(OR(AB139="",AC139=""),"",IF($F139="Maior Melhor",IF(AC139&gt;=AB139,"Sim","Não"),IF(AC139&lt;=AB139,"Sim","Não")))</f>
        <v/>
      </c>
      <c r="AF139" s="7"/>
      <c r="AG139" s="7"/>
      <c r="AH139" s="4" t="str">
        <f aca="false">IF(OR(AF139="",AG139=""),"",IFERROR(IF($K139="%",AG139-AF139,AG139/AF139-1),""))</f>
        <v/>
      </c>
      <c r="AI139" s="5" t="str">
        <f aca="false">IF(OR(AF139="",AG139=""),"",IF($F139="Maior Melhor",IF(AG139&gt;=AF139,"Sim","Não"),IF(AG139&lt;=AF139,"Sim","Não")))</f>
        <v/>
      </c>
      <c r="AJ139" s="7"/>
      <c r="AK139" s="7"/>
      <c r="AL139" s="4" t="str">
        <f aca="false">IF(OR(AJ139="",AK139=""),"",IFERROR(IF($K139="%",AK139-AJ139,AK139/AJ139-1),""))</f>
        <v/>
      </c>
      <c r="AM139" s="5" t="str">
        <f aca="false">IF(OR(AJ139="",AK139=""),"",IF($F139="Maior Melhor",IF(AK139&gt;=AJ139,"Sim","Não"),IF(AK139&lt;=AJ139,"Sim","Não")))</f>
        <v/>
      </c>
      <c r="AN139" s="7"/>
      <c r="AO139" s="7"/>
      <c r="AP139" s="4" t="str">
        <f aca="false">IF(OR(AN139="",AO139=""),"",IFERROR(IF($K139="%",AO139-AN139,AO139/AN139-1),""))</f>
        <v/>
      </c>
      <c r="AQ139" s="5" t="str">
        <f aca="false">IF(OR(AN139="",AO139=""),"",IF($F139="Maior Melhor",IF(AO139&gt;=AN139,"Sim","Não"),IF(AO139&lt;=AN139,"Sim","Não")))</f>
        <v/>
      </c>
      <c r="AR139" s="7"/>
      <c r="AS139" s="7"/>
      <c r="AT139" s="4" t="str">
        <f aca="false">IF(OR(AR139="",AS139=""),"",IFERROR(IF($K139="%",AS139-AR139,AS139/AR139-1),""))</f>
        <v/>
      </c>
      <c r="AU139" s="5" t="str">
        <f aca="false">IF(OR(AR139="",AS139=""),"",IF($F139="Maior Melhor",IF(AS139&gt;=AR139,"Sim","Não"),IF(AS139&lt;=AR139,"Sim","Não")))</f>
        <v/>
      </c>
      <c r="AV139" s="7"/>
      <c r="AW139" s="7"/>
      <c r="AX139" s="4" t="str">
        <f aca="false">IF(OR(AV139="",AW139=""),"",IFERROR(IF($K139="%",AW139-AV139,AW139/AV139-1),""))</f>
        <v/>
      </c>
      <c r="AY139" s="5" t="str">
        <f aca="false">IF(OR(AV139="",AW139=""),"",IF($F139="Maior Melhor",IF(AW139&gt;=AV139,"Sim","Não"),IF(AW139&lt;=AV139,"Sim","Não")))</f>
        <v/>
      </c>
      <c r="AZ139" s="7"/>
      <c r="BA139" s="7"/>
      <c r="BB139" s="4" t="str">
        <f aca="false">IF(OR(AZ139="",BA139=""),"",IFERROR(IF($K139="%",BA139-AZ139,BA139/AZ139-1),""))</f>
        <v/>
      </c>
      <c r="BC139" s="5" t="str">
        <f aca="false">IF(OR(AZ139="",BA139=""),"",IF($F139="Maior Melhor",IF(BA139&gt;=AZ139,"Sim","Não"),IF(BA139&lt;=AZ139,"Sim","Não")))</f>
        <v/>
      </c>
      <c r="BD139" s="7"/>
      <c r="BE139" s="7"/>
      <c r="BF139" s="4" t="str">
        <f aca="false">IF(OR(BD139="",BE139=""),"",IFERROR(IF($K139="%",BE139-BD139,BE139/BD139-1),""))</f>
        <v/>
      </c>
      <c r="BG139" s="5" t="str">
        <f aca="false">IF(OR(BD139="",BE139=""),"",IF($F139="Maior Melhor",IF(BE139&gt;=BD139,"Sim","Não"),IF(BE139&lt;=BD139,"Sim","Não")))</f>
        <v/>
      </c>
      <c r="BH139" s="7"/>
      <c r="BI139" s="7"/>
      <c r="BJ139" s="4" t="str">
        <f aca="false">IF(OR(BH139="",BI139=""),"",IFERROR(IF($K139="%",BI139-BH139,BI139/BH139-1),""))</f>
        <v/>
      </c>
      <c r="BK139" s="5" t="str">
        <f aca="false">IF(OR(BH139="",BI139=""),"",IF($F139="Maior Melhor",IF(BI139&gt;=BH139,"Sim","Não"),IF(BI139&lt;=BH139,"Sim","Não")))</f>
        <v/>
      </c>
      <c r="BL139" s="8"/>
      <c r="BM139" s="8"/>
      <c r="BN139" s="4" t="str">
        <f aca="false">IF(OR(BL139="",BM139=""),"",IFERROR(IF($K139="%",BM139-BL139,BM139/BL139-1),""))</f>
        <v/>
      </c>
      <c r="BO139" s="5" t="str">
        <f aca="false">IF(OR(BL139="",BM139=""),"",IF($F139="Maior Melhor",IF(BM139&gt;=BL139,"Sim","Não"),IF(BM139&lt;=BL139,"Sim","Não")))</f>
        <v/>
      </c>
      <c r="BP139" s="8"/>
      <c r="BQ139" s="8"/>
      <c r="BR139" s="4" t="str">
        <f aca="false">IF(OR(BP139="",BQ139=""),"",IFERROR(IF($K139="%",BQ139-BP139,BQ139/BP139-1),""))</f>
        <v/>
      </c>
      <c r="BS139" s="5" t="str">
        <f aca="false">IF(OR(BP139="",BQ139=""),"",IF($F139="Maior Melhor",IF(BQ139&gt;=BP139,"Sim","Não"),IF(BQ139&lt;=BP139,"Sim","Não")))</f>
        <v/>
      </c>
      <c r="BT139" s="8"/>
      <c r="BU139" s="8"/>
      <c r="BV139" s="4" t="str">
        <f aca="false">IF(OR(BT139="",BU139=""),"",IFERROR(IF($K139="%",BU139-BT139,BU139/BT139-1),""))</f>
        <v/>
      </c>
      <c r="BW139" s="5" t="str">
        <f aca="false">IF(OR(BT139="",BU139=""),"",IF($F139="Maior Melhor",IF(BU139&gt;=BT139,"Sim","Não"),IF(BU139&lt;=BT139,"Sim","Não")))</f>
        <v/>
      </c>
      <c r="BX139" s="8"/>
      <c r="BY139" s="8"/>
      <c r="BZ139" s="4" t="str">
        <f aca="false">IF(OR(BX139="",BY139=""),"",IFERROR(IF($K139="%",BY139-BX139,BY139/BX139-1),""))</f>
        <v/>
      </c>
      <c r="CA139" s="5" t="str">
        <f aca="false">IF(OR(BX139="",BY139=""),"",IF($F139="Maior Melhor",IF(BY139&gt;=BX139,"Sim","Não"),IF(BY139&lt;=BX139,"Sim","Não")))</f>
        <v/>
      </c>
      <c r="CB139" s="8"/>
      <c r="CC139" s="8"/>
      <c r="CD139" s="4" t="str">
        <f aca="false">IF(OR(CB139="",CC139=""),"",IFERROR(IF($K139="%",CC139-CB139,CC139/CB139-1),""))</f>
        <v/>
      </c>
      <c r="CE139" s="5" t="str">
        <f aca="false">IF(OR(CB139="",CC139=""),"",IF($F139="Maior Melhor",IF(CC139&gt;=CB139,"Sim","Não"),IF(CC139&lt;=CB139,"Sim","Não")))</f>
        <v/>
      </c>
      <c r="CF139" s="8"/>
      <c r="CG139" s="8"/>
      <c r="CH139" s="4" t="str">
        <f aca="false">IF(OR(CF139="",CG139=""),"",IFERROR(IF($K139="%",CG139-CF139,CG139/CF139-1),""))</f>
        <v/>
      </c>
      <c r="CI139" s="5" t="str">
        <f aca="false">IF(OR(CF139="",CG139=""),"",IF($F139="Maior Melhor",IF(CG139&gt;=CF139,"Sim","Não"),IF(CG139&lt;=CF139,"Sim","Não")))</f>
        <v/>
      </c>
      <c r="CJ139" s="8"/>
      <c r="CK139" s="8"/>
      <c r="CL139" s="4" t="str">
        <f aca="false">IF(OR(CJ139="",CK139=""),"",IFERROR(IF($K139="%",CK139-CJ139,CK139/CJ139-1),""))</f>
        <v/>
      </c>
      <c r="CM139" s="5" t="str">
        <f aca="false">IF(OR(CJ139="",CK139=""),"",IF($F139="Maior Melhor",IF(CK139&gt;=CJ139,"Sim","Não"),IF(CK139&lt;=CJ139,"Sim","Não")))</f>
        <v/>
      </c>
      <c r="CN139" s="8"/>
      <c r="CO139" s="8"/>
      <c r="CP139" s="4" t="str">
        <f aca="false">IF(OR(CN139="",CO139=""),"",IFERROR(IF($K139="%",CO139-CN139,CO139/CN139-1),""))</f>
        <v/>
      </c>
      <c r="CQ139" s="5" t="str">
        <f aca="false">IF(OR(CN139="",CO139=""),"",IF($F139="Maior Melhor",IF(CO139&gt;=CN139,"Sim","Não"),IF(CO139&lt;=CN139,"Sim","Não")))</f>
        <v/>
      </c>
      <c r="CR139" s="2" t="s">
        <v>105</v>
      </c>
    </row>
    <row r="140" customFormat="false" ht="15" hidden="false" customHeight="false" outlineLevel="0" collapsed="false">
      <c r="A140" s="2" t="s">
        <v>144</v>
      </c>
      <c r="B140" s="2" t="s">
        <v>97</v>
      </c>
      <c r="C140" s="2" t="s">
        <v>125</v>
      </c>
      <c r="D140" s="2" t="s">
        <v>166</v>
      </c>
      <c r="E140" s="2" t="str">
        <f aca="false">C140&amp;D140</f>
        <v>UTD JEQUIÉDesvio de Telemetria</v>
      </c>
      <c r="F140" s="2" t="s">
        <v>167</v>
      </c>
      <c r="G140" s="2" t="s">
        <v>168</v>
      </c>
      <c r="H140" s="2" t="s">
        <v>102</v>
      </c>
      <c r="I140" s="2" t="s">
        <v>169</v>
      </c>
      <c r="J140" s="2" t="n">
        <v>2</v>
      </c>
      <c r="K140" s="2" t="s">
        <v>147</v>
      </c>
      <c r="L140" s="7" t="n">
        <v>10</v>
      </c>
      <c r="M140" s="7" t="n">
        <v>5</v>
      </c>
      <c r="N140" s="4" t="n">
        <f aca="false">IF(OR(L140="",M140=""),"",IFERROR(IF($K140="%",M140-L140,M140/L140-1),""))</f>
        <v>-0.5</v>
      </c>
      <c r="O140" s="5" t="str">
        <f aca="false">IF(OR(L140="",M140=""),"",IF($F140="Maior Melhor",IF(M140&gt;=L140,"Sim","Não"),IF(M140&lt;=L140,"Sim","Não")))</f>
        <v>Sim</v>
      </c>
      <c r="P140" s="7" t="n">
        <v>10</v>
      </c>
      <c r="Q140" s="7" t="n">
        <v>0</v>
      </c>
      <c r="R140" s="4" t="n">
        <f aca="false">IF(OR(P140="",Q140=""),"",IFERROR(IF($K140="%",Q140-P140,Q140/P140-1),""))</f>
        <v>-1</v>
      </c>
      <c r="S140" s="5" t="str">
        <f aca="false">IF(OR(P140="",Q140=""),"",IF($F140="Maior Melhor",IF(Q140&gt;=P140,"Sim","Não"),IF(Q140&lt;=P140,"Sim","Não")))</f>
        <v>Sim</v>
      </c>
      <c r="T140" s="7" t="n">
        <v>10</v>
      </c>
      <c r="U140" s="7" t="n">
        <v>5</v>
      </c>
      <c r="V140" s="4" t="n">
        <f aca="false">IF(OR(T140="",U140=""),"",IFERROR(IF($K140="%",U140-T140,U140/T140-1),""))</f>
        <v>-0.5</v>
      </c>
      <c r="W140" s="5" t="str">
        <f aca="false">IF(OR(T140="",U140=""),"",IF($F140="Maior Melhor",IF(U140&gt;=T140,"Sim","Não"),IF(U140&lt;=T140,"Sim","Não")))</f>
        <v>Sim</v>
      </c>
      <c r="X140" s="7"/>
      <c r="Y140" s="7"/>
      <c r="Z140" s="4" t="str">
        <f aca="false">IF(OR(X140="",Y140=""),"",IFERROR(IF($K140="%",Y140-X140,Y140/X140-1),""))</f>
        <v/>
      </c>
      <c r="AA140" s="5" t="str">
        <f aca="false">IF(OR(X140="",Y140=""),"",IF($F140="Maior Melhor",IF(Y140&gt;=X140,"Sim","Não"),IF(Y140&lt;=X140,"Sim","Não")))</f>
        <v/>
      </c>
      <c r="AB140" s="7"/>
      <c r="AC140" s="7"/>
      <c r="AD140" s="4" t="str">
        <f aca="false">IF(OR(AB140="",AC140=""),"",IFERROR(IF($K140="%",AC140-AB140,AC140/AB140-1),""))</f>
        <v/>
      </c>
      <c r="AE140" s="5" t="str">
        <f aca="false">IF(OR(AB140="",AC140=""),"",IF($F140="Maior Melhor",IF(AC140&gt;=AB140,"Sim","Não"),IF(AC140&lt;=AB140,"Sim","Não")))</f>
        <v/>
      </c>
      <c r="AF140" s="7"/>
      <c r="AG140" s="7"/>
      <c r="AH140" s="4" t="str">
        <f aca="false">IF(OR(AF140="",AG140=""),"",IFERROR(IF($K140="%",AG140-AF140,AG140/AF140-1),""))</f>
        <v/>
      </c>
      <c r="AI140" s="5" t="str">
        <f aca="false">IF(OR(AF140="",AG140=""),"",IF($F140="Maior Melhor",IF(AG140&gt;=AF140,"Sim","Não"),IF(AG140&lt;=AF140,"Sim","Não")))</f>
        <v/>
      </c>
      <c r="AJ140" s="7"/>
      <c r="AK140" s="7"/>
      <c r="AL140" s="4" t="str">
        <f aca="false">IF(OR(AJ140="",AK140=""),"",IFERROR(IF($K140="%",AK140-AJ140,AK140/AJ140-1),""))</f>
        <v/>
      </c>
      <c r="AM140" s="5" t="str">
        <f aca="false">IF(OR(AJ140="",AK140=""),"",IF($F140="Maior Melhor",IF(AK140&gt;=AJ140,"Sim","Não"),IF(AK140&lt;=AJ140,"Sim","Não")))</f>
        <v/>
      </c>
      <c r="AN140" s="7"/>
      <c r="AO140" s="7"/>
      <c r="AP140" s="4" t="str">
        <f aca="false">IF(OR(AN140="",AO140=""),"",IFERROR(IF($K140="%",AO140-AN140,AO140/AN140-1),""))</f>
        <v/>
      </c>
      <c r="AQ140" s="5" t="str">
        <f aca="false">IF(OR(AN140="",AO140=""),"",IF($F140="Maior Melhor",IF(AO140&gt;=AN140,"Sim","Não"),IF(AO140&lt;=AN140,"Sim","Não")))</f>
        <v/>
      </c>
      <c r="AR140" s="7"/>
      <c r="AS140" s="7"/>
      <c r="AT140" s="4" t="str">
        <f aca="false">IF(OR(AR140="",AS140=""),"",IFERROR(IF($K140="%",AS140-AR140,AS140/AR140-1),""))</f>
        <v/>
      </c>
      <c r="AU140" s="5" t="str">
        <f aca="false">IF(OR(AR140="",AS140=""),"",IF($F140="Maior Melhor",IF(AS140&gt;=AR140,"Sim","Não"),IF(AS140&lt;=AR140,"Sim","Não")))</f>
        <v/>
      </c>
      <c r="AV140" s="7"/>
      <c r="AW140" s="7"/>
      <c r="AX140" s="4" t="str">
        <f aca="false">IF(OR(AV140="",AW140=""),"",IFERROR(IF($K140="%",AW140-AV140,AW140/AV140-1),""))</f>
        <v/>
      </c>
      <c r="AY140" s="5" t="str">
        <f aca="false">IF(OR(AV140="",AW140=""),"",IF($F140="Maior Melhor",IF(AW140&gt;=AV140,"Sim","Não"),IF(AW140&lt;=AV140,"Sim","Não")))</f>
        <v/>
      </c>
      <c r="AZ140" s="7"/>
      <c r="BA140" s="7"/>
      <c r="BB140" s="4" t="str">
        <f aca="false">IF(OR(AZ140="",BA140=""),"",IFERROR(IF($K140="%",BA140-AZ140,BA140/AZ140-1),""))</f>
        <v/>
      </c>
      <c r="BC140" s="5" t="str">
        <f aca="false">IF(OR(AZ140="",BA140=""),"",IF($F140="Maior Melhor",IF(BA140&gt;=AZ140,"Sim","Não"),IF(BA140&lt;=AZ140,"Sim","Não")))</f>
        <v/>
      </c>
      <c r="BD140" s="7"/>
      <c r="BE140" s="7"/>
      <c r="BF140" s="4" t="str">
        <f aca="false">IF(OR(BD140="",BE140=""),"",IFERROR(IF($K140="%",BE140-BD140,BE140/BD140-1),""))</f>
        <v/>
      </c>
      <c r="BG140" s="5" t="str">
        <f aca="false">IF(OR(BD140="",BE140=""),"",IF($F140="Maior Melhor",IF(BE140&gt;=BD140,"Sim","Não"),IF(BE140&lt;=BD140,"Sim","Não")))</f>
        <v/>
      </c>
      <c r="BH140" s="7"/>
      <c r="BI140" s="7"/>
      <c r="BJ140" s="4" t="str">
        <f aca="false">IF(OR(BH140="",BI140=""),"",IFERROR(IF($K140="%",BI140-BH140,BI140/BH140-1),""))</f>
        <v/>
      </c>
      <c r="BK140" s="5" t="str">
        <f aca="false">IF(OR(BH140="",BI140=""),"",IF($F140="Maior Melhor",IF(BI140&gt;=BH140,"Sim","Não"),IF(BI140&lt;=BH140,"Sim","Não")))</f>
        <v/>
      </c>
      <c r="BL140" s="8"/>
      <c r="BM140" s="8"/>
      <c r="BN140" s="4" t="str">
        <f aca="false">IF(OR(BL140="",BM140=""),"",IFERROR(IF($K140="%",BM140-BL140,BM140/BL140-1),""))</f>
        <v/>
      </c>
      <c r="BO140" s="5" t="str">
        <f aca="false">IF(OR(BL140="",BM140=""),"",IF($F140="Maior Melhor",IF(BM140&gt;=BL140,"Sim","Não"),IF(BM140&lt;=BL140,"Sim","Não")))</f>
        <v/>
      </c>
      <c r="BP140" s="8"/>
      <c r="BQ140" s="8"/>
      <c r="BR140" s="4" t="str">
        <f aca="false">IF(OR(BP140="",BQ140=""),"",IFERROR(IF($K140="%",BQ140-BP140,BQ140/BP140-1),""))</f>
        <v/>
      </c>
      <c r="BS140" s="5" t="str">
        <f aca="false">IF(OR(BP140="",BQ140=""),"",IF($F140="Maior Melhor",IF(BQ140&gt;=BP140,"Sim","Não"),IF(BQ140&lt;=BP140,"Sim","Não")))</f>
        <v/>
      </c>
      <c r="BT140" s="8"/>
      <c r="BU140" s="8"/>
      <c r="BV140" s="4" t="str">
        <f aca="false">IF(OR(BT140="",BU140=""),"",IFERROR(IF($K140="%",BU140-BT140,BU140/BT140-1),""))</f>
        <v/>
      </c>
      <c r="BW140" s="5" t="str">
        <f aca="false">IF(OR(BT140="",BU140=""),"",IF($F140="Maior Melhor",IF(BU140&gt;=BT140,"Sim","Não"),IF(BU140&lt;=BT140,"Sim","Não")))</f>
        <v/>
      </c>
      <c r="BX140" s="8"/>
      <c r="BY140" s="8"/>
      <c r="BZ140" s="4" t="str">
        <f aca="false">IF(OR(BX140="",BY140=""),"",IFERROR(IF($K140="%",BY140-BX140,BY140/BX140-1),""))</f>
        <v/>
      </c>
      <c r="CA140" s="5" t="str">
        <f aca="false">IF(OR(BX140="",BY140=""),"",IF($F140="Maior Melhor",IF(BY140&gt;=BX140,"Sim","Não"),IF(BY140&lt;=BX140,"Sim","Não")))</f>
        <v/>
      </c>
      <c r="CB140" s="8"/>
      <c r="CC140" s="8"/>
      <c r="CD140" s="4" t="str">
        <f aca="false">IF(OR(CB140="",CC140=""),"",IFERROR(IF($K140="%",CC140-CB140,CC140/CB140-1),""))</f>
        <v/>
      </c>
      <c r="CE140" s="5" t="str">
        <f aca="false">IF(OR(CB140="",CC140=""),"",IF($F140="Maior Melhor",IF(CC140&gt;=CB140,"Sim","Não"),IF(CC140&lt;=CB140,"Sim","Não")))</f>
        <v/>
      </c>
      <c r="CF140" s="8"/>
      <c r="CG140" s="8"/>
      <c r="CH140" s="4" t="str">
        <f aca="false">IF(OR(CF140="",CG140=""),"",IFERROR(IF($K140="%",CG140-CF140,CG140/CF140-1),""))</f>
        <v/>
      </c>
      <c r="CI140" s="5" t="str">
        <f aca="false">IF(OR(CF140="",CG140=""),"",IF($F140="Maior Melhor",IF(CG140&gt;=CF140,"Sim","Não"),IF(CG140&lt;=CF140,"Sim","Não")))</f>
        <v/>
      </c>
      <c r="CJ140" s="8"/>
      <c r="CK140" s="8"/>
      <c r="CL140" s="4" t="str">
        <f aca="false">IF(OR(CJ140="",CK140=""),"",IFERROR(IF($K140="%",CK140-CJ140,CK140/CJ140-1),""))</f>
        <v/>
      </c>
      <c r="CM140" s="5" t="str">
        <f aca="false">IF(OR(CJ140="",CK140=""),"",IF($F140="Maior Melhor",IF(CK140&gt;=CJ140,"Sim","Não"),IF(CK140&lt;=CJ140,"Sim","Não")))</f>
        <v/>
      </c>
      <c r="CN140" s="8"/>
      <c r="CO140" s="8"/>
      <c r="CP140" s="4" t="str">
        <f aca="false">IF(OR(CN140="",CO140=""),"",IFERROR(IF($K140="%",CO140-CN140,CO140/CN140-1),""))</f>
        <v/>
      </c>
      <c r="CQ140" s="5" t="str">
        <f aca="false">IF(OR(CN140="",CO140=""),"",IF($F140="Maior Melhor",IF(CO140&gt;=CN140,"Sim","Não"),IF(CO140&lt;=CN140,"Sim","Não")))</f>
        <v/>
      </c>
      <c r="CR140" s="2" t="s">
        <v>105</v>
      </c>
    </row>
    <row r="141" customFormat="false" ht="15" hidden="false" customHeight="false" outlineLevel="0" collapsed="false">
      <c r="A141" s="2" t="s">
        <v>144</v>
      </c>
      <c r="B141" s="2" t="s">
        <v>97</v>
      </c>
      <c r="C141" s="2" t="s">
        <v>126</v>
      </c>
      <c r="D141" s="2" t="s">
        <v>166</v>
      </c>
      <c r="E141" s="2" t="str">
        <f aca="false">C141&amp;D141</f>
        <v>UTD LIVRAMENTO DE NOSSA SENHORADesvio de Telemetria</v>
      </c>
      <c r="F141" s="2" t="s">
        <v>167</v>
      </c>
      <c r="G141" s="2" t="s">
        <v>168</v>
      </c>
      <c r="H141" s="2" t="s">
        <v>102</v>
      </c>
      <c r="I141" s="2" t="s">
        <v>169</v>
      </c>
      <c r="J141" s="2" t="n">
        <v>2</v>
      </c>
      <c r="K141" s="2" t="s">
        <v>147</v>
      </c>
      <c r="L141" s="7" t="n">
        <v>6</v>
      </c>
      <c r="M141" s="7" t="n">
        <v>0</v>
      </c>
      <c r="N141" s="4" t="n">
        <f aca="false">IF(OR(L141="",M141=""),"",IFERROR(IF($K141="%",M141-L141,M141/L141-1),""))</f>
        <v>-1</v>
      </c>
      <c r="O141" s="5" t="str">
        <f aca="false">IF(OR(L141="",M141=""),"",IF($F141="Maior Melhor",IF(M141&gt;=L141,"Sim","Não"),IF(M141&lt;=L141,"Sim","Não")))</f>
        <v>Sim</v>
      </c>
      <c r="P141" s="7" t="n">
        <v>6</v>
      </c>
      <c r="Q141" s="7" t="n">
        <v>0</v>
      </c>
      <c r="R141" s="4" t="n">
        <f aca="false">IF(OR(P141="",Q141=""),"",IFERROR(IF($K141="%",Q141-P141,Q141/P141-1),""))</f>
        <v>-1</v>
      </c>
      <c r="S141" s="5" t="str">
        <f aca="false">IF(OR(P141="",Q141=""),"",IF($F141="Maior Melhor",IF(Q141&gt;=P141,"Sim","Não"),IF(Q141&lt;=P141,"Sim","Não")))</f>
        <v>Sim</v>
      </c>
      <c r="T141" s="7" t="n">
        <v>6</v>
      </c>
      <c r="U141" s="7" t="n">
        <v>0</v>
      </c>
      <c r="V141" s="4" t="n">
        <f aca="false">IF(OR(T141="",U141=""),"",IFERROR(IF($K141="%",U141-T141,U141/T141-1),""))</f>
        <v>-1</v>
      </c>
      <c r="W141" s="5" t="str">
        <f aca="false">IF(OR(T141="",U141=""),"",IF($F141="Maior Melhor",IF(U141&gt;=T141,"Sim","Não"),IF(U141&lt;=T141,"Sim","Não")))</f>
        <v>Sim</v>
      </c>
      <c r="X141" s="7"/>
      <c r="Y141" s="7"/>
      <c r="Z141" s="4" t="str">
        <f aca="false">IF(OR(X141="",Y141=""),"",IFERROR(IF($K141="%",Y141-X141,Y141/X141-1),""))</f>
        <v/>
      </c>
      <c r="AA141" s="5" t="str">
        <f aca="false">IF(OR(X141="",Y141=""),"",IF($F141="Maior Melhor",IF(Y141&gt;=X141,"Sim","Não"),IF(Y141&lt;=X141,"Sim","Não")))</f>
        <v/>
      </c>
      <c r="AB141" s="7"/>
      <c r="AC141" s="7"/>
      <c r="AD141" s="4" t="str">
        <f aca="false">IF(OR(AB141="",AC141=""),"",IFERROR(IF($K141="%",AC141-AB141,AC141/AB141-1),""))</f>
        <v/>
      </c>
      <c r="AE141" s="5" t="str">
        <f aca="false">IF(OR(AB141="",AC141=""),"",IF($F141="Maior Melhor",IF(AC141&gt;=AB141,"Sim","Não"),IF(AC141&lt;=AB141,"Sim","Não")))</f>
        <v/>
      </c>
      <c r="AF141" s="7"/>
      <c r="AG141" s="7"/>
      <c r="AH141" s="4" t="str">
        <f aca="false">IF(OR(AF141="",AG141=""),"",IFERROR(IF($K141="%",AG141-AF141,AG141/AF141-1),""))</f>
        <v/>
      </c>
      <c r="AI141" s="5" t="str">
        <f aca="false">IF(OR(AF141="",AG141=""),"",IF($F141="Maior Melhor",IF(AG141&gt;=AF141,"Sim","Não"),IF(AG141&lt;=AF141,"Sim","Não")))</f>
        <v/>
      </c>
      <c r="AJ141" s="7"/>
      <c r="AK141" s="7"/>
      <c r="AL141" s="4" t="str">
        <f aca="false">IF(OR(AJ141="",AK141=""),"",IFERROR(IF($K141="%",AK141-AJ141,AK141/AJ141-1),""))</f>
        <v/>
      </c>
      <c r="AM141" s="5" t="str">
        <f aca="false">IF(OR(AJ141="",AK141=""),"",IF($F141="Maior Melhor",IF(AK141&gt;=AJ141,"Sim","Não"),IF(AK141&lt;=AJ141,"Sim","Não")))</f>
        <v/>
      </c>
      <c r="AN141" s="7"/>
      <c r="AO141" s="7"/>
      <c r="AP141" s="4" t="str">
        <f aca="false">IF(OR(AN141="",AO141=""),"",IFERROR(IF($K141="%",AO141-AN141,AO141/AN141-1),""))</f>
        <v/>
      </c>
      <c r="AQ141" s="5" t="str">
        <f aca="false">IF(OR(AN141="",AO141=""),"",IF($F141="Maior Melhor",IF(AO141&gt;=AN141,"Sim","Não"),IF(AO141&lt;=AN141,"Sim","Não")))</f>
        <v/>
      </c>
      <c r="AR141" s="7"/>
      <c r="AS141" s="7"/>
      <c r="AT141" s="4" t="str">
        <f aca="false">IF(OR(AR141="",AS141=""),"",IFERROR(IF($K141="%",AS141-AR141,AS141/AR141-1),""))</f>
        <v/>
      </c>
      <c r="AU141" s="5" t="str">
        <f aca="false">IF(OR(AR141="",AS141=""),"",IF($F141="Maior Melhor",IF(AS141&gt;=AR141,"Sim","Não"),IF(AS141&lt;=AR141,"Sim","Não")))</f>
        <v/>
      </c>
      <c r="AV141" s="7"/>
      <c r="AW141" s="7"/>
      <c r="AX141" s="4" t="str">
        <f aca="false">IF(OR(AV141="",AW141=""),"",IFERROR(IF($K141="%",AW141-AV141,AW141/AV141-1),""))</f>
        <v/>
      </c>
      <c r="AY141" s="5" t="str">
        <f aca="false">IF(OR(AV141="",AW141=""),"",IF($F141="Maior Melhor",IF(AW141&gt;=AV141,"Sim","Não"),IF(AW141&lt;=AV141,"Sim","Não")))</f>
        <v/>
      </c>
      <c r="AZ141" s="7"/>
      <c r="BA141" s="7"/>
      <c r="BB141" s="4" t="str">
        <f aca="false">IF(OR(AZ141="",BA141=""),"",IFERROR(IF($K141="%",BA141-AZ141,BA141/AZ141-1),""))</f>
        <v/>
      </c>
      <c r="BC141" s="5" t="str">
        <f aca="false">IF(OR(AZ141="",BA141=""),"",IF($F141="Maior Melhor",IF(BA141&gt;=AZ141,"Sim","Não"),IF(BA141&lt;=AZ141,"Sim","Não")))</f>
        <v/>
      </c>
      <c r="BD141" s="7"/>
      <c r="BE141" s="7"/>
      <c r="BF141" s="4" t="str">
        <f aca="false">IF(OR(BD141="",BE141=""),"",IFERROR(IF($K141="%",BE141-BD141,BE141/BD141-1),""))</f>
        <v/>
      </c>
      <c r="BG141" s="5" t="str">
        <f aca="false">IF(OR(BD141="",BE141=""),"",IF($F141="Maior Melhor",IF(BE141&gt;=BD141,"Sim","Não"),IF(BE141&lt;=BD141,"Sim","Não")))</f>
        <v/>
      </c>
      <c r="BH141" s="7"/>
      <c r="BI141" s="7"/>
      <c r="BJ141" s="4" t="str">
        <f aca="false">IF(OR(BH141="",BI141=""),"",IFERROR(IF($K141="%",BI141-BH141,BI141/BH141-1),""))</f>
        <v/>
      </c>
      <c r="BK141" s="5" t="str">
        <f aca="false">IF(OR(BH141="",BI141=""),"",IF($F141="Maior Melhor",IF(BI141&gt;=BH141,"Sim","Não"),IF(BI141&lt;=BH141,"Sim","Não")))</f>
        <v/>
      </c>
      <c r="BL141" s="8"/>
      <c r="BM141" s="8"/>
      <c r="BN141" s="4" t="str">
        <f aca="false">IF(OR(BL141="",BM141=""),"",IFERROR(IF($K141="%",BM141-BL141,BM141/BL141-1),""))</f>
        <v/>
      </c>
      <c r="BO141" s="5" t="str">
        <f aca="false">IF(OR(BL141="",BM141=""),"",IF($F141="Maior Melhor",IF(BM141&gt;=BL141,"Sim","Não"),IF(BM141&lt;=BL141,"Sim","Não")))</f>
        <v/>
      </c>
      <c r="BP141" s="8"/>
      <c r="BQ141" s="8"/>
      <c r="BR141" s="4" t="str">
        <f aca="false">IF(OR(BP141="",BQ141=""),"",IFERROR(IF($K141="%",BQ141-BP141,BQ141/BP141-1),""))</f>
        <v/>
      </c>
      <c r="BS141" s="5" t="str">
        <f aca="false">IF(OR(BP141="",BQ141=""),"",IF($F141="Maior Melhor",IF(BQ141&gt;=BP141,"Sim","Não"),IF(BQ141&lt;=BP141,"Sim","Não")))</f>
        <v/>
      </c>
      <c r="BT141" s="8"/>
      <c r="BU141" s="8"/>
      <c r="BV141" s="4" t="str">
        <f aca="false">IF(OR(BT141="",BU141=""),"",IFERROR(IF($K141="%",BU141-BT141,BU141/BT141-1),""))</f>
        <v/>
      </c>
      <c r="BW141" s="5" t="str">
        <f aca="false">IF(OR(BT141="",BU141=""),"",IF($F141="Maior Melhor",IF(BU141&gt;=BT141,"Sim","Não"),IF(BU141&lt;=BT141,"Sim","Não")))</f>
        <v/>
      </c>
      <c r="BX141" s="8"/>
      <c r="BY141" s="8"/>
      <c r="BZ141" s="4" t="str">
        <f aca="false">IF(OR(BX141="",BY141=""),"",IFERROR(IF($K141="%",BY141-BX141,BY141/BX141-1),""))</f>
        <v/>
      </c>
      <c r="CA141" s="5" t="str">
        <f aca="false">IF(OR(BX141="",BY141=""),"",IF($F141="Maior Melhor",IF(BY141&gt;=BX141,"Sim","Não"),IF(BY141&lt;=BX141,"Sim","Não")))</f>
        <v/>
      </c>
      <c r="CB141" s="8"/>
      <c r="CC141" s="8"/>
      <c r="CD141" s="4" t="str">
        <f aca="false">IF(OR(CB141="",CC141=""),"",IFERROR(IF($K141="%",CC141-CB141,CC141/CB141-1),""))</f>
        <v/>
      </c>
      <c r="CE141" s="5" t="str">
        <f aca="false">IF(OR(CB141="",CC141=""),"",IF($F141="Maior Melhor",IF(CC141&gt;=CB141,"Sim","Não"),IF(CC141&lt;=CB141,"Sim","Não")))</f>
        <v/>
      </c>
      <c r="CF141" s="8"/>
      <c r="CG141" s="8"/>
      <c r="CH141" s="4" t="str">
        <f aca="false">IF(OR(CF141="",CG141=""),"",IFERROR(IF($K141="%",CG141-CF141,CG141/CF141-1),""))</f>
        <v/>
      </c>
      <c r="CI141" s="5" t="str">
        <f aca="false">IF(OR(CF141="",CG141=""),"",IF($F141="Maior Melhor",IF(CG141&gt;=CF141,"Sim","Não"),IF(CG141&lt;=CF141,"Sim","Não")))</f>
        <v/>
      </c>
      <c r="CJ141" s="8"/>
      <c r="CK141" s="8"/>
      <c r="CL141" s="4" t="str">
        <f aca="false">IF(OR(CJ141="",CK141=""),"",IFERROR(IF($K141="%",CK141-CJ141,CK141/CJ141-1),""))</f>
        <v/>
      </c>
      <c r="CM141" s="5" t="str">
        <f aca="false">IF(OR(CJ141="",CK141=""),"",IF($F141="Maior Melhor",IF(CK141&gt;=CJ141,"Sim","Não"),IF(CK141&lt;=CJ141,"Sim","Não")))</f>
        <v/>
      </c>
      <c r="CN141" s="8"/>
      <c r="CO141" s="8"/>
      <c r="CP141" s="4" t="str">
        <f aca="false">IF(OR(CN141="",CO141=""),"",IFERROR(IF($K141="%",CO141-CN141,CO141/CN141-1),""))</f>
        <v/>
      </c>
      <c r="CQ141" s="5" t="str">
        <f aca="false">IF(OR(CN141="",CO141=""),"",IF($F141="Maior Melhor",IF(CO141&gt;=CN141,"Sim","Não"),IF(CO141&lt;=CN141,"Sim","Não")))</f>
        <v/>
      </c>
      <c r="CR141" s="2" t="s">
        <v>105</v>
      </c>
    </row>
    <row r="142" customFormat="false" ht="15" hidden="false" customHeight="false" outlineLevel="0" collapsed="false">
      <c r="A142" s="2" t="s">
        <v>144</v>
      </c>
      <c r="B142" s="2" t="s">
        <v>106</v>
      </c>
      <c r="C142" s="2" t="s">
        <v>127</v>
      </c>
      <c r="D142" s="2" t="s">
        <v>166</v>
      </c>
      <c r="E142" s="2" t="str">
        <f aca="false">C142&amp;D142</f>
        <v>UTD LUIS EDUARDO MAGALHAESDesvio de Telemetria</v>
      </c>
      <c r="F142" s="2" t="s">
        <v>167</v>
      </c>
      <c r="G142" s="2" t="s">
        <v>168</v>
      </c>
      <c r="H142" s="2" t="s">
        <v>102</v>
      </c>
      <c r="I142" s="2" t="s">
        <v>169</v>
      </c>
      <c r="J142" s="2" t="n">
        <v>2</v>
      </c>
      <c r="K142" s="2" t="s">
        <v>147</v>
      </c>
      <c r="L142" s="7" t="n">
        <v>10</v>
      </c>
      <c r="M142" s="7" t="n">
        <v>64</v>
      </c>
      <c r="N142" s="4" t="n">
        <f aca="false">IF(OR(L142="",M142=""),"",IFERROR(IF($K142="%",M142-L142,M142/L142-1),""))</f>
        <v>5.4</v>
      </c>
      <c r="O142" s="5" t="str">
        <f aca="false">IF(OR(L142="",M142=""),"",IF($F142="Maior Melhor",IF(M142&gt;=L142,"Sim","Não"),IF(M142&lt;=L142,"Sim","Não")))</f>
        <v>Não</v>
      </c>
      <c r="P142" s="7" t="n">
        <v>10</v>
      </c>
      <c r="Q142" s="7" t="n">
        <v>6</v>
      </c>
      <c r="R142" s="4" t="n">
        <f aca="false">IF(OR(P142="",Q142=""),"",IFERROR(IF($K142="%",Q142-P142,Q142/P142-1),""))</f>
        <v>-0.4</v>
      </c>
      <c r="S142" s="5" t="str">
        <f aca="false">IF(OR(P142="",Q142=""),"",IF($F142="Maior Melhor",IF(Q142&gt;=P142,"Sim","Não"),IF(Q142&lt;=P142,"Sim","Não")))</f>
        <v>Sim</v>
      </c>
      <c r="T142" s="7" t="n">
        <v>10</v>
      </c>
      <c r="U142" s="7" t="n">
        <v>3</v>
      </c>
      <c r="V142" s="4" t="n">
        <f aca="false">IF(OR(T142="",U142=""),"",IFERROR(IF($K142="%",U142-T142,U142/T142-1),""))</f>
        <v>-0.7</v>
      </c>
      <c r="W142" s="5" t="str">
        <f aca="false">IF(OR(T142="",U142=""),"",IF($F142="Maior Melhor",IF(U142&gt;=T142,"Sim","Não"),IF(U142&lt;=T142,"Sim","Não")))</f>
        <v>Sim</v>
      </c>
      <c r="X142" s="7"/>
      <c r="Y142" s="7"/>
      <c r="Z142" s="4" t="str">
        <f aca="false">IF(OR(X142="",Y142=""),"",IFERROR(IF($K142="%",Y142-X142,Y142/X142-1),""))</f>
        <v/>
      </c>
      <c r="AA142" s="5" t="str">
        <f aca="false">IF(OR(X142="",Y142=""),"",IF($F142="Maior Melhor",IF(Y142&gt;=X142,"Sim","Não"),IF(Y142&lt;=X142,"Sim","Não")))</f>
        <v/>
      </c>
      <c r="AB142" s="7"/>
      <c r="AC142" s="7"/>
      <c r="AD142" s="4" t="str">
        <f aca="false">IF(OR(AB142="",AC142=""),"",IFERROR(IF($K142="%",AC142-AB142,AC142/AB142-1),""))</f>
        <v/>
      </c>
      <c r="AE142" s="5" t="str">
        <f aca="false">IF(OR(AB142="",AC142=""),"",IF($F142="Maior Melhor",IF(AC142&gt;=AB142,"Sim","Não"),IF(AC142&lt;=AB142,"Sim","Não")))</f>
        <v/>
      </c>
      <c r="AF142" s="7"/>
      <c r="AG142" s="7"/>
      <c r="AH142" s="4" t="str">
        <f aca="false">IF(OR(AF142="",AG142=""),"",IFERROR(IF($K142="%",AG142-AF142,AG142/AF142-1),""))</f>
        <v/>
      </c>
      <c r="AI142" s="5" t="str">
        <f aca="false">IF(OR(AF142="",AG142=""),"",IF($F142="Maior Melhor",IF(AG142&gt;=AF142,"Sim","Não"),IF(AG142&lt;=AF142,"Sim","Não")))</f>
        <v/>
      </c>
      <c r="AJ142" s="7"/>
      <c r="AK142" s="7"/>
      <c r="AL142" s="4" t="str">
        <f aca="false">IF(OR(AJ142="",AK142=""),"",IFERROR(IF($K142="%",AK142-AJ142,AK142/AJ142-1),""))</f>
        <v/>
      </c>
      <c r="AM142" s="5" t="str">
        <f aca="false">IF(OR(AJ142="",AK142=""),"",IF($F142="Maior Melhor",IF(AK142&gt;=AJ142,"Sim","Não"),IF(AK142&lt;=AJ142,"Sim","Não")))</f>
        <v/>
      </c>
      <c r="AN142" s="7"/>
      <c r="AO142" s="7"/>
      <c r="AP142" s="4" t="str">
        <f aca="false">IF(OR(AN142="",AO142=""),"",IFERROR(IF($K142="%",AO142-AN142,AO142/AN142-1),""))</f>
        <v/>
      </c>
      <c r="AQ142" s="5" t="str">
        <f aca="false">IF(OR(AN142="",AO142=""),"",IF($F142="Maior Melhor",IF(AO142&gt;=AN142,"Sim","Não"),IF(AO142&lt;=AN142,"Sim","Não")))</f>
        <v/>
      </c>
      <c r="AR142" s="7"/>
      <c r="AS142" s="7"/>
      <c r="AT142" s="4" t="str">
        <f aca="false">IF(OR(AR142="",AS142=""),"",IFERROR(IF($K142="%",AS142-AR142,AS142/AR142-1),""))</f>
        <v/>
      </c>
      <c r="AU142" s="5" t="str">
        <f aca="false">IF(OR(AR142="",AS142=""),"",IF($F142="Maior Melhor",IF(AS142&gt;=AR142,"Sim","Não"),IF(AS142&lt;=AR142,"Sim","Não")))</f>
        <v/>
      </c>
      <c r="AV142" s="7"/>
      <c r="AW142" s="7"/>
      <c r="AX142" s="4" t="str">
        <f aca="false">IF(OR(AV142="",AW142=""),"",IFERROR(IF($K142="%",AW142-AV142,AW142/AV142-1),""))</f>
        <v/>
      </c>
      <c r="AY142" s="5" t="str">
        <f aca="false">IF(OR(AV142="",AW142=""),"",IF($F142="Maior Melhor",IF(AW142&gt;=AV142,"Sim","Não"),IF(AW142&lt;=AV142,"Sim","Não")))</f>
        <v/>
      </c>
      <c r="AZ142" s="7"/>
      <c r="BA142" s="7"/>
      <c r="BB142" s="4" t="str">
        <f aca="false">IF(OR(AZ142="",BA142=""),"",IFERROR(IF($K142="%",BA142-AZ142,BA142/AZ142-1),""))</f>
        <v/>
      </c>
      <c r="BC142" s="5" t="str">
        <f aca="false">IF(OR(AZ142="",BA142=""),"",IF($F142="Maior Melhor",IF(BA142&gt;=AZ142,"Sim","Não"),IF(BA142&lt;=AZ142,"Sim","Não")))</f>
        <v/>
      </c>
      <c r="BD142" s="7"/>
      <c r="BE142" s="7"/>
      <c r="BF142" s="4" t="str">
        <f aca="false">IF(OR(BD142="",BE142=""),"",IFERROR(IF($K142="%",BE142-BD142,BE142/BD142-1),""))</f>
        <v/>
      </c>
      <c r="BG142" s="5" t="str">
        <f aca="false">IF(OR(BD142="",BE142=""),"",IF($F142="Maior Melhor",IF(BE142&gt;=BD142,"Sim","Não"),IF(BE142&lt;=BD142,"Sim","Não")))</f>
        <v/>
      </c>
      <c r="BH142" s="7"/>
      <c r="BI142" s="7"/>
      <c r="BJ142" s="4" t="str">
        <f aca="false">IF(OR(BH142="",BI142=""),"",IFERROR(IF($K142="%",BI142-BH142,BI142/BH142-1),""))</f>
        <v/>
      </c>
      <c r="BK142" s="5" t="str">
        <f aca="false">IF(OR(BH142="",BI142=""),"",IF($F142="Maior Melhor",IF(BI142&gt;=BH142,"Sim","Não"),IF(BI142&lt;=BH142,"Sim","Não")))</f>
        <v/>
      </c>
      <c r="BL142" s="8"/>
      <c r="BM142" s="8"/>
      <c r="BN142" s="4" t="str">
        <f aca="false">IF(OR(BL142="",BM142=""),"",IFERROR(IF($K142="%",BM142-BL142,BM142/BL142-1),""))</f>
        <v/>
      </c>
      <c r="BO142" s="5" t="str">
        <f aca="false">IF(OR(BL142="",BM142=""),"",IF($F142="Maior Melhor",IF(BM142&gt;=BL142,"Sim","Não"),IF(BM142&lt;=BL142,"Sim","Não")))</f>
        <v/>
      </c>
      <c r="BP142" s="8"/>
      <c r="BQ142" s="8"/>
      <c r="BR142" s="4" t="str">
        <f aca="false">IF(OR(BP142="",BQ142=""),"",IFERROR(IF($K142="%",BQ142-BP142,BQ142/BP142-1),""))</f>
        <v/>
      </c>
      <c r="BS142" s="5" t="str">
        <f aca="false">IF(OR(BP142="",BQ142=""),"",IF($F142="Maior Melhor",IF(BQ142&gt;=BP142,"Sim","Não"),IF(BQ142&lt;=BP142,"Sim","Não")))</f>
        <v/>
      </c>
      <c r="BT142" s="8"/>
      <c r="BU142" s="8"/>
      <c r="BV142" s="4" t="str">
        <f aca="false">IF(OR(BT142="",BU142=""),"",IFERROR(IF($K142="%",BU142-BT142,BU142/BT142-1),""))</f>
        <v/>
      </c>
      <c r="BW142" s="5" t="str">
        <f aca="false">IF(OR(BT142="",BU142=""),"",IF($F142="Maior Melhor",IF(BU142&gt;=BT142,"Sim","Não"),IF(BU142&lt;=BT142,"Sim","Não")))</f>
        <v/>
      </c>
      <c r="BX142" s="8"/>
      <c r="BY142" s="8"/>
      <c r="BZ142" s="4" t="str">
        <f aca="false">IF(OR(BX142="",BY142=""),"",IFERROR(IF($K142="%",BY142-BX142,BY142/BX142-1),""))</f>
        <v/>
      </c>
      <c r="CA142" s="5" t="str">
        <f aca="false">IF(OR(BX142="",BY142=""),"",IF($F142="Maior Melhor",IF(BY142&gt;=BX142,"Sim","Não"),IF(BY142&lt;=BX142,"Sim","Não")))</f>
        <v/>
      </c>
      <c r="CB142" s="8"/>
      <c r="CC142" s="8"/>
      <c r="CD142" s="4" t="str">
        <f aca="false">IF(OR(CB142="",CC142=""),"",IFERROR(IF($K142="%",CC142-CB142,CC142/CB142-1),""))</f>
        <v/>
      </c>
      <c r="CE142" s="5" t="str">
        <f aca="false">IF(OR(CB142="",CC142=""),"",IF($F142="Maior Melhor",IF(CC142&gt;=CB142,"Sim","Não"),IF(CC142&lt;=CB142,"Sim","Não")))</f>
        <v/>
      </c>
      <c r="CF142" s="8"/>
      <c r="CG142" s="8"/>
      <c r="CH142" s="4" t="str">
        <f aca="false">IF(OR(CF142="",CG142=""),"",IFERROR(IF($K142="%",CG142-CF142,CG142/CF142-1),""))</f>
        <v/>
      </c>
      <c r="CI142" s="5" t="str">
        <f aca="false">IF(OR(CF142="",CG142=""),"",IF($F142="Maior Melhor",IF(CG142&gt;=CF142,"Sim","Não"),IF(CG142&lt;=CF142,"Sim","Não")))</f>
        <v/>
      </c>
      <c r="CJ142" s="8"/>
      <c r="CK142" s="8"/>
      <c r="CL142" s="4" t="str">
        <f aca="false">IF(OR(CJ142="",CK142=""),"",IFERROR(IF($K142="%",CK142-CJ142,CK142/CJ142-1),""))</f>
        <v/>
      </c>
      <c r="CM142" s="5" t="str">
        <f aca="false">IF(OR(CJ142="",CK142=""),"",IF($F142="Maior Melhor",IF(CK142&gt;=CJ142,"Sim","Não"),IF(CK142&lt;=CJ142,"Sim","Não")))</f>
        <v/>
      </c>
      <c r="CN142" s="8"/>
      <c r="CO142" s="8"/>
      <c r="CP142" s="4" t="str">
        <f aca="false">IF(OR(CN142="",CO142=""),"",IFERROR(IF($K142="%",CO142-CN142,CO142/CN142-1),""))</f>
        <v/>
      </c>
      <c r="CQ142" s="5" t="str">
        <f aca="false">IF(OR(CN142="",CO142=""),"",IF($F142="Maior Melhor",IF(CO142&gt;=CN142,"Sim","Não"),IF(CO142&lt;=CN142,"Sim","Não")))</f>
        <v/>
      </c>
      <c r="CR142" s="2" t="s">
        <v>105</v>
      </c>
    </row>
    <row r="143" customFormat="false" ht="15" hidden="false" customHeight="false" outlineLevel="0" collapsed="false">
      <c r="A143" s="2" t="s">
        <v>144</v>
      </c>
      <c r="B143" s="2" t="s">
        <v>106</v>
      </c>
      <c r="C143" s="2" t="s">
        <v>128</v>
      </c>
      <c r="D143" s="2" t="s">
        <v>166</v>
      </c>
      <c r="E143" s="2" t="str">
        <f aca="false">C143&amp;D143</f>
        <v>UTD SANTA MARIA DA VITORIADesvio de Telemetria</v>
      </c>
      <c r="F143" s="2" t="s">
        <v>167</v>
      </c>
      <c r="G143" s="2" t="s">
        <v>168</v>
      </c>
      <c r="H143" s="2" t="s">
        <v>102</v>
      </c>
      <c r="I143" s="2" t="s">
        <v>169</v>
      </c>
      <c r="J143" s="2" t="n">
        <v>2</v>
      </c>
      <c r="K143" s="2" t="s">
        <v>147</v>
      </c>
      <c r="L143" s="7" t="n">
        <v>7</v>
      </c>
      <c r="M143" s="7" t="n">
        <v>107</v>
      </c>
      <c r="N143" s="4" t="n">
        <f aca="false">IF(OR(L143="",M143=""),"",IFERROR(IF($K143="%",M143-L143,M143/L143-1),""))</f>
        <v>14.2857142857143</v>
      </c>
      <c r="O143" s="5" t="str">
        <f aca="false">IF(OR(L143="",M143=""),"",IF($F143="Maior Melhor",IF(M143&gt;=L143,"Sim","Não"),IF(M143&lt;=L143,"Sim","Não")))</f>
        <v>Não</v>
      </c>
      <c r="P143" s="7" t="n">
        <v>7</v>
      </c>
      <c r="Q143" s="7" t="n">
        <v>110</v>
      </c>
      <c r="R143" s="4" t="n">
        <f aca="false">IF(OR(P143="",Q143=""),"",IFERROR(IF($K143="%",Q143-P143,Q143/P143-1),""))</f>
        <v>14.7142857142857</v>
      </c>
      <c r="S143" s="5" t="str">
        <f aca="false">IF(OR(P143="",Q143=""),"",IF($F143="Maior Melhor",IF(Q143&gt;=P143,"Sim","Não"),IF(Q143&lt;=P143,"Sim","Não")))</f>
        <v>Não</v>
      </c>
      <c r="T143" s="7" t="n">
        <v>7</v>
      </c>
      <c r="U143" s="7" t="n">
        <v>100</v>
      </c>
      <c r="V143" s="4" t="n">
        <f aca="false">IF(OR(T143="",U143=""),"",IFERROR(IF($K143="%",U143-T143,U143/T143-1),""))</f>
        <v>13.2857142857143</v>
      </c>
      <c r="W143" s="5" t="str">
        <f aca="false">IF(OR(T143="",U143=""),"",IF($F143="Maior Melhor",IF(U143&gt;=T143,"Sim","Não"),IF(U143&lt;=T143,"Sim","Não")))</f>
        <v>Não</v>
      </c>
      <c r="X143" s="7"/>
      <c r="Y143" s="7"/>
      <c r="Z143" s="4" t="str">
        <f aca="false">IF(OR(X143="",Y143=""),"",IFERROR(IF($K143="%",Y143-X143,Y143/X143-1),""))</f>
        <v/>
      </c>
      <c r="AA143" s="5" t="str">
        <f aca="false">IF(OR(X143="",Y143=""),"",IF($F143="Maior Melhor",IF(Y143&gt;=X143,"Sim","Não"),IF(Y143&lt;=X143,"Sim","Não")))</f>
        <v/>
      </c>
      <c r="AB143" s="7"/>
      <c r="AC143" s="7"/>
      <c r="AD143" s="4" t="str">
        <f aca="false">IF(OR(AB143="",AC143=""),"",IFERROR(IF($K143="%",AC143-AB143,AC143/AB143-1),""))</f>
        <v/>
      </c>
      <c r="AE143" s="5" t="str">
        <f aca="false">IF(OR(AB143="",AC143=""),"",IF($F143="Maior Melhor",IF(AC143&gt;=AB143,"Sim","Não"),IF(AC143&lt;=AB143,"Sim","Não")))</f>
        <v/>
      </c>
      <c r="AF143" s="7"/>
      <c r="AG143" s="7"/>
      <c r="AH143" s="4" t="str">
        <f aca="false">IF(OR(AF143="",AG143=""),"",IFERROR(IF($K143="%",AG143-AF143,AG143/AF143-1),""))</f>
        <v/>
      </c>
      <c r="AI143" s="5" t="str">
        <f aca="false">IF(OR(AF143="",AG143=""),"",IF($F143="Maior Melhor",IF(AG143&gt;=AF143,"Sim","Não"),IF(AG143&lt;=AF143,"Sim","Não")))</f>
        <v/>
      </c>
      <c r="AJ143" s="7"/>
      <c r="AK143" s="7"/>
      <c r="AL143" s="4" t="str">
        <f aca="false">IF(OR(AJ143="",AK143=""),"",IFERROR(IF($K143="%",AK143-AJ143,AK143/AJ143-1),""))</f>
        <v/>
      </c>
      <c r="AM143" s="5" t="str">
        <f aca="false">IF(OR(AJ143="",AK143=""),"",IF($F143="Maior Melhor",IF(AK143&gt;=AJ143,"Sim","Não"),IF(AK143&lt;=AJ143,"Sim","Não")))</f>
        <v/>
      </c>
      <c r="AN143" s="7"/>
      <c r="AO143" s="7"/>
      <c r="AP143" s="4" t="str">
        <f aca="false">IF(OR(AN143="",AO143=""),"",IFERROR(IF($K143="%",AO143-AN143,AO143/AN143-1),""))</f>
        <v/>
      </c>
      <c r="AQ143" s="5" t="str">
        <f aca="false">IF(OR(AN143="",AO143=""),"",IF($F143="Maior Melhor",IF(AO143&gt;=AN143,"Sim","Não"),IF(AO143&lt;=AN143,"Sim","Não")))</f>
        <v/>
      </c>
      <c r="AR143" s="7"/>
      <c r="AS143" s="7"/>
      <c r="AT143" s="4" t="str">
        <f aca="false">IF(OR(AR143="",AS143=""),"",IFERROR(IF($K143="%",AS143-AR143,AS143/AR143-1),""))</f>
        <v/>
      </c>
      <c r="AU143" s="5" t="str">
        <f aca="false">IF(OR(AR143="",AS143=""),"",IF($F143="Maior Melhor",IF(AS143&gt;=AR143,"Sim","Não"),IF(AS143&lt;=AR143,"Sim","Não")))</f>
        <v/>
      </c>
      <c r="AV143" s="7"/>
      <c r="AW143" s="7"/>
      <c r="AX143" s="4" t="str">
        <f aca="false">IF(OR(AV143="",AW143=""),"",IFERROR(IF($K143="%",AW143-AV143,AW143/AV143-1),""))</f>
        <v/>
      </c>
      <c r="AY143" s="5" t="str">
        <f aca="false">IF(OR(AV143="",AW143=""),"",IF($F143="Maior Melhor",IF(AW143&gt;=AV143,"Sim","Não"),IF(AW143&lt;=AV143,"Sim","Não")))</f>
        <v/>
      </c>
      <c r="AZ143" s="7"/>
      <c r="BA143" s="7"/>
      <c r="BB143" s="4" t="str">
        <f aca="false">IF(OR(AZ143="",BA143=""),"",IFERROR(IF($K143="%",BA143-AZ143,BA143/AZ143-1),""))</f>
        <v/>
      </c>
      <c r="BC143" s="5" t="str">
        <f aca="false">IF(OR(AZ143="",BA143=""),"",IF($F143="Maior Melhor",IF(BA143&gt;=AZ143,"Sim","Não"),IF(BA143&lt;=AZ143,"Sim","Não")))</f>
        <v/>
      </c>
      <c r="BD143" s="7"/>
      <c r="BE143" s="7"/>
      <c r="BF143" s="4" t="str">
        <f aca="false">IF(OR(BD143="",BE143=""),"",IFERROR(IF($K143="%",BE143-BD143,BE143/BD143-1),""))</f>
        <v/>
      </c>
      <c r="BG143" s="5" t="str">
        <f aca="false">IF(OR(BD143="",BE143=""),"",IF($F143="Maior Melhor",IF(BE143&gt;=BD143,"Sim","Não"),IF(BE143&lt;=BD143,"Sim","Não")))</f>
        <v/>
      </c>
      <c r="BH143" s="7"/>
      <c r="BI143" s="7"/>
      <c r="BJ143" s="4" t="str">
        <f aca="false">IF(OR(BH143="",BI143=""),"",IFERROR(IF($K143="%",BI143-BH143,BI143/BH143-1),""))</f>
        <v/>
      </c>
      <c r="BK143" s="5" t="str">
        <f aca="false">IF(OR(BH143="",BI143=""),"",IF($F143="Maior Melhor",IF(BI143&gt;=BH143,"Sim","Não"),IF(BI143&lt;=BH143,"Sim","Não")))</f>
        <v/>
      </c>
      <c r="BL143" s="8"/>
      <c r="BM143" s="8"/>
      <c r="BN143" s="4" t="str">
        <f aca="false">IF(OR(BL143="",BM143=""),"",IFERROR(IF($K143="%",BM143-BL143,BM143/BL143-1),""))</f>
        <v/>
      </c>
      <c r="BO143" s="5" t="str">
        <f aca="false">IF(OR(BL143="",BM143=""),"",IF($F143="Maior Melhor",IF(BM143&gt;=BL143,"Sim","Não"),IF(BM143&lt;=BL143,"Sim","Não")))</f>
        <v/>
      </c>
      <c r="BP143" s="8"/>
      <c r="BQ143" s="8"/>
      <c r="BR143" s="4" t="str">
        <f aca="false">IF(OR(BP143="",BQ143=""),"",IFERROR(IF($K143="%",BQ143-BP143,BQ143/BP143-1),""))</f>
        <v/>
      </c>
      <c r="BS143" s="5" t="str">
        <f aca="false">IF(OR(BP143="",BQ143=""),"",IF($F143="Maior Melhor",IF(BQ143&gt;=BP143,"Sim","Não"),IF(BQ143&lt;=BP143,"Sim","Não")))</f>
        <v/>
      </c>
      <c r="BT143" s="8"/>
      <c r="BU143" s="8"/>
      <c r="BV143" s="4" t="str">
        <f aca="false">IF(OR(BT143="",BU143=""),"",IFERROR(IF($K143="%",BU143-BT143,BU143/BT143-1),""))</f>
        <v/>
      </c>
      <c r="BW143" s="5" t="str">
        <f aca="false">IF(OR(BT143="",BU143=""),"",IF($F143="Maior Melhor",IF(BU143&gt;=BT143,"Sim","Não"),IF(BU143&lt;=BT143,"Sim","Não")))</f>
        <v/>
      </c>
      <c r="BX143" s="8"/>
      <c r="BY143" s="8"/>
      <c r="BZ143" s="4" t="str">
        <f aca="false">IF(OR(BX143="",BY143=""),"",IFERROR(IF($K143="%",BY143-BX143,BY143/BX143-1),""))</f>
        <v/>
      </c>
      <c r="CA143" s="5" t="str">
        <f aca="false">IF(OR(BX143="",BY143=""),"",IF($F143="Maior Melhor",IF(BY143&gt;=BX143,"Sim","Não"),IF(BY143&lt;=BX143,"Sim","Não")))</f>
        <v/>
      </c>
      <c r="CB143" s="8"/>
      <c r="CC143" s="8"/>
      <c r="CD143" s="4" t="str">
        <f aca="false">IF(OR(CB143="",CC143=""),"",IFERROR(IF($K143="%",CC143-CB143,CC143/CB143-1),""))</f>
        <v/>
      </c>
      <c r="CE143" s="5" t="str">
        <f aca="false">IF(OR(CB143="",CC143=""),"",IF($F143="Maior Melhor",IF(CC143&gt;=CB143,"Sim","Não"),IF(CC143&lt;=CB143,"Sim","Não")))</f>
        <v/>
      </c>
      <c r="CF143" s="8"/>
      <c r="CG143" s="8"/>
      <c r="CH143" s="4" t="str">
        <f aca="false">IF(OR(CF143="",CG143=""),"",IFERROR(IF($K143="%",CG143-CF143,CG143/CF143-1),""))</f>
        <v/>
      </c>
      <c r="CI143" s="5" t="str">
        <f aca="false">IF(OR(CF143="",CG143=""),"",IF($F143="Maior Melhor",IF(CG143&gt;=CF143,"Sim","Não"),IF(CG143&lt;=CF143,"Sim","Não")))</f>
        <v/>
      </c>
      <c r="CJ143" s="8"/>
      <c r="CK143" s="8"/>
      <c r="CL143" s="4" t="str">
        <f aca="false">IF(OR(CJ143="",CK143=""),"",IFERROR(IF($K143="%",CK143-CJ143,CK143/CJ143-1),""))</f>
        <v/>
      </c>
      <c r="CM143" s="5" t="str">
        <f aca="false">IF(OR(CJ143="",CK143=""),"",IF($F143="Maior Melhor",IF(CK143&gt;=CJ143,"Sim","Não"),IF(CK143&lt;=CJ143,"Sim","Não")))</f>
        <v/>
      </c>
      <c r="CN143" s="8"/>
      <c r="CO143" s="8"/>
      <c r="CP143" s="4" t="str">
        <f aca="false">IF(OR(CN143="",CO143=""),"",IFERROR(IF($K143="%",CO143-CN143,CO143/CN143-1),""))</f>
        <v/>
      </c>
      <c r="CQ143" s="5" t="str">
        <f aca="false">IF(OR(CN143="",CO143=""),"",IF($F143="Maior Melhor",IF(CO143&gt;=CN143,"Sim","Não"),IF(CO143&lt;=CN143,"Sim","Não")))</f>
        <v/>
      </c>
      <c r="CR143" s="2" t="s">
        <v>160</v>
      </c>
    </row>
    <row r="144" customFormat="false" ht="15" hidden="false" customHeight="false" outlineLevel="0" collapsed="false">
      <c r="A144" s="2" t="s">
        <v>144</v>
      </c>
      <c r="B144" s="2" t="s">
        <v>97</v>
      </c>
      <c r="C144" s="2" t="s">
        <v>130</v>
      </c>
      <c r="D144" s="2" t="s">
        <v>166</v>
      </c>
      <c r="E144" s="2" t="str">
        <f aca="false">C144&amp;D144</f>
        <v>UTD SEABRADesvio de Telemetria</v>
      </c>
      <c r="F144" s="2" t="s">
        <v>167</v>
      </c>
      <c r="G144" s="2" t="s">
        <v>168</v>
      </c>
      <c r="H144" s="2" t="s">
        <v>102</v>
      </c>
      <c r="I144" s="2" t="s">
        <v>169</v>
      </c>
      <c r="J144" s="2" t="n">
        <v>2</v>
      </c>
      <c r="K144" s="2" t="s">
        <v>147</v>
      </c>
      <c r="L144" s="7" t="n">
        <v>5</v>
      </c>
      <c r="M144" s="7" t="n">
        <v>0</v>
      </c>
      <c r="N144" s="4" t="n">
        <f aca="false">IF(OR(L144="",M144=""),"",IFERROR(IF($K144="%",M144-L144,M144/L144-1),""))</f>
        <v>-1</v>
      </c>
      <c r="O144" s="5" t="str">
        <f aca="false">IF(OR(L144="",M144=""),"",IF($F144="Maior Melhor",IF(M144&gt;=L144,"Sim","Não"),IF(M144&lt;=L144,"Sim","Não")))</f>
        <v>Sim</v>
      </c>
      <c r="P144" s="7" t="n">
        <v>5</v>
      </c>
      <c r="Q144" s="7" t="n">
        <v>1</v>
      </c>
      <c r="R144" s="4" t="n">
        <f aca="false">IF(OR(P144="",Q144=""),"",IFERROR(IF($K144="%",Q144-P144,Q144/P144-1),""))</f>
        <v>-0.8</v>
      </c>
      <c r="S144" s="5" t="str">
        <f aca="false">IF(OR(P144="",Q144=""),"",IF($F144="Maior Melhor",IF(Q144&gt;=P144,"Sim","Não"),IF(Q144&lt;=P144,"Sim","Não")))</f>
        <v>Sim</v>
      </c>
      <c r="T144" s="7" t="n">
        <v>5</v>
      </c>
      <c r="U144" s="7" t="n">
        <v>1</v>
      </c>
      <c r="V144" s="4" t="n">
        <f aca="false">IF(OR(T144="",U144=""),"",IFERROR(IF($K144="%",U144-T144,U144/T144-1),""))</f>
        <v>-0.8</v>
      </c>
      <c r="W144" s="5" t="str">
        <f aca="false">IF(OR(T144="",U144=""),"",IF($F144="Maior Melhor",IF(U144&gt;=T144,"Sim","Não"),IF(U144&lt;=T144,"Sim","Não")))</f>
        <v>Sim</v>
      </c>
      <c r="X144" s="7"/>
      <c r="Y144" s="7"/>
      <c r="Z144" s="4" t="str">
        <f aca="false">IF(OR(X144="",Y144=""),"",IFERROR(IF($K144="%",Y144-X144,Y144/X144-1),""))</f>
        <v/>
      </c>
      <c r="AA144" s="5" t="str">
        <f aca="false">IF(OR(X144="",Y144=""),"",IF($F144="Maior Melhor",IF(Y144&gt;=X144,"Sim","Não"),IF(Y144&lt;=X144,"Sim","Não")))</f>
        <v/>
      </c>
      <c r="AB144" s="7"/>
      <c r="AC144" s="7"/>
      <c r="AD144" s="4" t="str">
        <f aca="false">IF(OR(AB144="",AC144=""),"",IFERROR(IF($K144="%",AC144-AB144,AC144/AB144-1),""))</f>
        <v/>
      </c>
      <c r="AE144" s="5" t="str">
        <f aca="false">IF(OR(AB144="",AC144=""),"",IF($F144="Maior Melhor",IF(AC144&gt;=AB144,"Sim","Não"),IF(AC144&lt;=AB144,"Sim","Não")))</f>
        <v/>
      </c>
      <c r="AF144" s="7"/>
      <c r="AG144" s="7"/>
      <c r="AH144" s="4" t="str">
        <f aca="false">IF(OR(AF144="",AG144=""),"",IFERROR(IF($K144="%",AG144-AF144,AG144/AF144-1),""))</f>
        <v/>
      </c>
      <c r="AI144" s="5" t="str">
        <f aca="false">IF(OR(AF144="",AG144=""),"",IF($F144="Maior Melhor",IF(AG144&gt;=AF144,"Sim","Não"),IF(AG144&lt;=AF144,"Sim","Não")))</f>
        <v/>
      </c>
      <c r="AJ144" s="7"/>
      <c r="AK144" s="7"/>
      <c r="AL144" s="4" t="str">
        <f aca="false">IF(OR(AJ144="",AK144=""),"",IFERROR(IF($K144="%",AK144-AJ144,AK144/AJ144-1),""))</f>
        <v/>
      </c>
      <c r="AM144" s="5" t="str">
        <f aca="false">IF(OR(AJ144="",AK144=""),"",IF($F144="Maior Melhor",IF(AK144&gt;=AJ144,"Sim","Não"),IF(AK144&lt;=AJ144,"Sim","Não")))</f>
        <v/>
      </c>
      <c r="AN144" s="7"/>
      <c r="AO144" s="7"/>
      <c r="AP144" s="4" t="str">
        <f aca="false">IF(OR(AN144="",AO144=""),"",IFERROR(IF($K144="%",AO144-AN144,AO144/AN144-1),""))</f>
        <v/>
      </c>
      <c r="AQ144" s="5" t="str">
        <f aca="false">IF(OR(AN144="",AO144=""),"",IF($F144="Maior Melhor",IF(AO144&gt;=AN144,"Sim","Não"),IF(AO144&lt;=AN144,"Sim","Não")))</f>
        <v/>
      </c>
      <c r="AR144" s="7"/>
      <c r="AS144" s="7"/>
      <c r="AT144" s="4" t="str">
        <f aca="false">IF(OR(AR144="",AS144=""),"",IFERROR(IF($K144="%",AS144-AR144,AS144/AR144-1),""))</f>
        <v/>
      </c>
      <c r="AU144" s="5" t="str">
        <f aca="false">IF(OR(AR144="",AS144=""),"",IF($F144="Maior Melhor",IF(AS144&gt;=AR144,"Sim","Não"),IF(AS144&lt;=AR144,"Sim","Não")))</f>
        <v/>
      </c>
      <c r="AV144" s="7"/>
      <c r="AW144" s="7"/>
      <c r="AX144" s="4" t="str">
        <f aca="false">IF(OR(AV144="",AW144=""),"",IFERROR(IF($K144="%",AW144-AV144,AW144/AV144-1),""))</f>
        <v/>
      </c>
      <c r="AY144" s="5" t="str">
        <f aca="false">IF(OR(AV144="",AW144=""),"",IF($F144="Maior Melhor",IF(AW144&gt;=AV144,"Sim","Não"),IF(AW144&lt;=AV144,"Sim","Não")))</f>
        <v/>
      </c>
      <c r="AZ144" s="7"/>
      <c r="BA144" s="7"/>
      <c r="BB144" s="4" t="str">
        <f aca="false">IF(OR(AZ144="",BA144=""),"",IFERROR(IF($K144="%",BA144-AZ144,BA144/AZ144-1),""))</f>
        <v/>
      </c>
      <c r="BC144" s="5" t="str">
        <f aca="false">IF(OR(AZ144="",BA144=""),"",IF($F144="Maior Melhor",IF(BA144&gt;=AZ144,"Sim","Não"),IF(BA144&lt;=AZ144,"Sim","Não")))</f>
        <v/>
      </c>
      <c r="BD144" s="7"/>
      <c r="BE144" s="7"/>
      <c r="BF144" s="4" t="str">
        <f aca="false">IF(OR(BD144="",BE144=""),"",IFERROR(IF($K144="%",BE144-BD144,BE144/BD144-1),""))</f>
        <v/>
      </c>
      <c r="BG144" s="5" t="str">
        <f aca="false">IF(OR(BD144="",BE144=""),"",IF($F144="Maior Melhor",IF(BE144&gt;=BD144,"Sim","Não"),IF(BE144&lt;=BD144,"Sim","Não")))</f>
        <v/>
      </c>
      <c r="BH144" s="7"/>
      <c r="BI144" s="7"/>
      <c r="BJ144" s="4" t="str">
        <f aca="false">IF(OR(BH144="",BI144=""),"",IFERROR(IF($K144="%",BI144-BH144,BI144/BH144-1),""))</f>
        <v/>
      </c>
      <c r="BK144" s="5" t="str">
        <f aca="false">IF(OR(BH144="",BI144=""),"",IF($F144="Maior Melhor",IF(BI144&gt;=BH144,"Sim","Não"),IF(BI144&lt;=BH144,"Sim","Não")))</f>
        <v/>
      </c>
      <c r="BL144" s="8"/>
      <c r="BM144" s="8"/>
      <c r="BN144" s="4" t="str">
        <f aca="false">IF(OR(BL144="",BM144=""),"",IFERROR(IF($K144="%",BM144-BL144,BM144/BL144-1),""))</f>
        <v/>
      </c>
      <c r="BO144" s="5" t="str">
        <f aca="false">IF(OR(BL144="",BM144=""),"",IF($F144="Maior Melhor",IF(BM144&gt;=BL144,"Sim","Não"),IF(BM144&lt;=BL144,"Sim","Não")))</f>
        <v/>
      </c>
      <c r="BP144" s="8"/>
      <c r="BQ144" s="8"/>
      <c r="BR144" s="4" t="str">
        <f aca="false">IF(OR(BP144="",BQ144=""),"",IFERROR(IF($K144="%",BQ144-BP144,BQ144/BP144-1),""))</f>
        <v/>
      </c>
      <c r="BS144" s="5" t="str">
        <f aca="false">IF(OR(BP144="",BQ144=""),"",IF($F144="Maior Melhor",IF(BQ144&gt;=BP144,"Sim","Não"),IF(BQ144&lt;=BP144,"Sim","Não")))</f>
        <v/>
      </c>
      <c r="BT144" s="8"/>
      <c r="BU144" s="8"/>
      <c r="BV144" s="4" t="str">
        <f aca="false">IF(OR(BT144="",BU144=""),"",IFERROR(IF($K144="%",BU144-BT144,BU144/BT144-1),""))</f>
        <v/>
      </c>
      <c r="BW144" s="5" t="str">
        <f aca="false">IF(OR(BT144="",BU144=""),"",IF($F144="Maior Melhor",IF(BU144&gt;=BT144,"Sim","Não"),IF(BU144&lt;=BT144,"Sim","Não")))</f>
        <v/>
      </c>
      <c r="BX144" s="8"/>
      <c r="BY144" s="8"/>
      <c r="BZ144" s="4" t="str">
        <f aca="false">IF(OR(BX144="",BY144=""),"",IFERROR(IF($K144="%",BY144-BX144,BY144/BX144-1),""))</f>
        <v/>
      </c>
      <c r="CA144" s="5" t="str">
        <f aca="false">IF(OR(BX144="",BY144=""),"",IF($F144="Maior Melhor",IF(BY144&gt;=BX144,"Sim","Não"),IF(BY144&lt;=BX144,"Sim","Não")))</f>
        <v/>
      </c>
      <c r="CB144" s="8"/>
      <c r="CC144" s="8"/>
      <c r="CD144" s="4" t="str">
        <f aca="false">IF(OR(CB144="",CC144=""),"",IFERROR(IF($K144="%",CC144-CB144,CC144/CB144-1),""))</f>
        <v/>
      </c>
      <c r="CE144" s="5" t="str">
        <f aca="false">IF(OR(CB144="",CC144=""),"",IF($F144="Maior Melhor",IF(CC144&gt;=CB144,"Sim","Não"),IF(CC144&lt;=CB144,"Sim","Não")))</f>
        <v/>
      </c>
      <c r="CF144" s="8"/>
      <c r="CG144" s="8"/>
      <c r="CH144" s="4" t="str">
        <f aca="false">IF(OR(CF144="",CG144=""),"",IFERROR(IF($K144="%",CG144-CF144,CG144/CF144-1),""))</f>
        <v/>
      </c>
      <c r="CI144" s="5" t="str">
        <f aca="false">IF(OR(CF144="",CG144=""),"",IF($F144="Maior Melhor",IF(CG144&gt;=CF144,"Sim","Não"),IF(CG144&lt;=CF144,"Sim","Não")))</f>
        <v/>
      </c>
      <c r="CJ144" s="8"/>
      <c r="CK144" s="8"/>
      <c r="CL144" s="4" t="str">
        <f aca="false">IF(OR(CJ144="",CK144=""),"",IFERROR(IF($K144="%",CK144-CJ144,CK144/CJ144-1),""))</f>
        <v/>
      </c>
      <c r="CM144" s="5" t="str">
        <f aca="false">IF(OR(CJ144="",CK144=""),"",IF($F144="Maior Melhor",IF(CK144&gt;=CJ144,"Sim","Não"),IF(CK144&lt;=CJ144,"Sim","Não")))</f>
        <v/>
      </c>
      <c r="CN144" s="8"/>
      <c r="CO144" s="8"/>
      <c r="CP144" s="4" t="str">
        <f aca="false">IF(OR(CN144="",CO144=""),"",IFERROR(IF($K144="%",CO144-CN144,CO144/CN144-1),""))</f>
        <v/>
      </c>
      <c r="CQ144" s="5" t="str">
        <f aca="false">IF(OR(CN144="",CO144=""),"",IF($F144="Maior Melhor",IF(CO144&gt;=CN144,"Sim","Não"),IF(CO144&lt;=CN144,"Sim","Não")))</f>
        <v/>
      </c>
      <c r="CR144" s="2" t="s">
        <v>105</v>
      </c>
    </row>
    <row r="145" customFormat="false" ht="15" hidden="false" customHeight="false" outlineLevel="0" collapsed="false">
      <c r="A145" s="2" t="s">
        <v>144</v>
      </c>
      <c r="B145" s="2" t="s">
        <v>108</v>
      </c>
      <c r="C145" s="2" t="s">
        <v>131</v>
      </c>
      <c r="D145" s="2" t="s">
        <v>166</v>
      </c>
      <c r="E145" s="2" t="str">
        <f aca="false">C145&amp;D145</f>
        <v>UTD VITORIA DA CONQUISTADesvio de Telemetria</v>
      </c>
      <c r="F145" s="2" t="s">
        <v>167</v>
      </c>
      <c r="G145" s="2" t="s">
        <v>168</v>
      </c>
      <c r="H145" s="2" t="s">
        <v>102</v>
      </c>
      <c r="I145" s="2" t="s">
        <v>169</v>
      </c>
      <c r="J145" s="2" t="n">
        <v>2</v>
      </c>
      <c r="K145" s="2" t="s">
        <v>147</v>
      </c>
      <c r="L145" s="7" t="n">
        <v>17</v>
      </c>
      <c r="M145" s="7" t="n">
        <v>156</v>
      </c>
      <c r="N145" s="4" t="n">
        <f aca="false">IF(OR(L145="",M145=""),"",IFERROR(IF($K145="%",M145-L145,M145/L145-1),""))</f>
        <v>8.17647058823529</v>
      </c>
      <c r="O145" s="5" t="str">
        <f aca="false">IF(OR(L145="",M145=""),"",IF($F145="Maior Melhor",IF(M145&gt;=L145,"Sim","Não"),IF(M145&lt;=L145,"Sim","Não")))</f>
        <v>Não</v>
      </c>
      <c r="P145" s="7" t="n">
        <v>17</v>
      </c>
      <c r="Q145" s="7" t="n">
        <v>109</v>
      </c>
      <c r="R145" s="4" t="n">
        <f aca="false">IF(OR(P145="",Q145=""),"",IFERROR(IF($K145="%",Q145-P145,Q145/P145-1),""))</f>
        <v>5.41176470588235</v>
      </c>
      <c r="S145" s="5" t="str">
        <f aca="false">IF(OR(P145="",Q145=""),"",IF($F145="Maior Melhor",IF(Q145&gt;=P145,"Sim","Não"),IF(Q145&lt;=P145,"Sim","Não")))</f>
        <v>Não</v>
      </c>
      <c r="T145" s="7" t="n">
        <v>17</v>
      </c>
      <c r="U145" s="7" t="n">
        <v>98</v>
      </c>
      <c r="V145" s="4" t="n">
        <f aca="false">IF(OR(T145="",U145=""),"",IFERROR(IF($K145="%",U145-T145,U145/T145-1),""))</f>
        <v>4.76470588235294</v>
      </c>
      <c r="W145" s="5" t="str">
        <f aca="false">IF(OR(T145="",U145=""),"",IF($F145="Maior Melhor",IF(U145&gt;=T145,"Sim","Não"),IF(U145&lt;=T145,"Sim","Não")))</f>
        <v>Não</v>
      </c>
      <c r="X145" s="7"/>
      <c r="Y145" s="7"/>
      <c r="Z145" s="4" t="str">
        <f aca="false">IF(OR(X145="",Y145=""),"",IFERROR(IF($K145="%",Y145-X145,Y145/X145-1),""))</f>
        <v/>
      </c>
      <c r="AA145" s="5" t="str">
        <f aca="false">IF(OR(X145="",Y145=""),"",IF($F145="Maior Melhor",IF(Y145&gt;=X145,"Sim","Não"),IF(Y145&lt;=X145,"Sim","Não")))</f>
        <v/>
      </c>
      <c r="AB145" s="7"/>
      <c r="AC145" s="7"/>
      <c r="AD145" s="4" t="str">
        <f aca="false">IF(OR(AB145="",AC145=""),"",IFERROR(IF($K145="%",AC145-AB145,AC145/AB145-1),""))</f>
        <v/>
      </c>
      <c r="AE145" s="5" t="str">
        <f aca="false">IF(OR(AB145="",AC145=""),"",IF($F145="Maior Melhor",IF(AC145&gt;=AB145,"Sim","Não"),IF(AC145&lt;=AB145,"Sim","Não")))</f>
        <v/>
      </c>
      <c r="AF145" s="7"/>
      <c r="AG145" s="7"/>
      <c r="AH145" s="4" t="str">
        <f aca="false">IF(OR(AF145="",AG145=""),"",IFERROR(IF($K145="%",AG145-AF145,AG145/AF145-1),""))</f>
        <v/>
      </c>
      <c r="AI145" s="5" t="str">
        <f aca="false">IF(OR(AF145="",AG145=""),"",IF($F145="Maior Melhor",IF(AG145&gt;=AF145,"Sim","Não"),IF(AG145&lt;=AF145,"Sim","Não")))</f>
        <v/>
      </c>
      <c r="AJ145" s="7"/>
      <c r="AK145" s="7"/>
      <c r="AL145" s="4" t="str">
        <f aca="false">IF(OR(AJ145="",AK145=""),"",IFERROR(IF($K145="%",AK145-AJ145,AK145/AJ145-1),""))</f>
        <v/>
      </c>
      <c r="AM145" s="5" t="str">
        <f aca="false">IF(OR(AJ145="",AK145=""),"",IF($F145="Maior Melhor",IF(AK145&gt;=AJ145,"Sim","Não"),IF(AK145&lt;=AJ145,"Sim","Não")))</f>
        <v/>
      </c>
      <c r="AN145" s="7"/>
      <c r="AO145" s="7"/>
      <c r="AP145" s="4" t="str">
        <f aca="false">IF(OR(AN145="",AO145=""),"",IFERROR(IF($K145="%",AO145-AN145,AO145/AN145-1),""))</f>
        <v/>
      </c>
      <c r="AQ145" s="5" t="str">
        <f aca="false">IF(OR(AN145="",AO145=""),"",IF($F145="Maior Melhor",IF(AO145&gt;=AN145,"Sim","Não"),IF(AO145&lt;=AN145,"Sim","Não")))</f>
        <v/>
      </c>
      <c r="AR145" s="7"/>
      <c r="AS145" s="7"/>
      <c r="AT145" s="4" t="str">
        <f aca="false">IF(OR(AR145="",AS145=""),"",IFERROR(IF($K145="%",AS145-AR145,AS145/AR145-1),""))</f>
        <v/>
      </c>
      <c r="AU145" s="5" t="str">
        <f aca="false">IF(OR(AR145="",AS145=""),"",IF($F145="Maior Melhor",IF(AS145&gt;=AR145,"Sim","Não"),IF(AS145&lt;=AR145,"Sim","Não")))</f>
        <v/>
      </c>
      <c r="AV145" s="7"/>
      <c r="AW145" s="7"/>
      <c r="AX145" s="4" t="str">
        <f aca="false">IF(OR(AV145="",AW145=""),"",IFERROR(IF($K145="%",AW145-AV145,AW145/AV145-1),""))</f>
        <v/>
      </c>
      <c r="AY145" s="5" t="str">
        <f aca="false">IF(OR(AV145="",AW145=""),"",IF($F145="Maior Melhor",IF(AW145&gt;=AV145,"Sim","Não"),IF(AW145&lt;=AV145,"Sim","Não")))</f>
        <v/>
      </c>
      <c r="AZ145" s="7"/>
      <c r="BA145" s="7"/>
      <c r="BB145" s="4" t="str">
        <f aca="false">IF(OR(AZ145="",BA145=""),"",IFERROR(IF($K145="%",BA145-AZ145,BA145/AZ145-1),""))</f>
        <v/>
      </c>
      <c r="BC145" s="5" t="str">
        <f aca="false">IF(OR(AZ145="",BA145=""),"",IF($F145="Maior Melhor",IF(BA145&gt;=AZ145,"Sim","Não"),IF(BA145&lt;=AZ145,"Sim","Não")))</f>
        <v/>
      </c>
      <c r="BD145" s="7"/>
      <c r="BE145" s="7"/>
      <c r="BF145" s="4" t="str">
        <f aca="false">IF(OR(BD145="",BE145=""),"",IFERROR(IF($K145="%",BE145-BD145,BE145/BD145-1),""))</f>
        <v/>
      </c>
      <c r="BG145" s="5" t="str">
        <f aca="false">IF(OR(BD145="",BE145=""),"",IF($F145="Maior Melhor",IF(BE145&gt;=BD145,"Sim","Não"),IF(BE145&lt;=BD145,"Sim","Não")))</f>
        <v/>
      </c>
      <c r="BH145" s="7"/>
      <c r="BI145" s="7"/>
      <c r="BJ145" s="4" t="str">
        <f aca="false">IF(OR(BH145="",BI145=""),"",IFERROR(IF($K145="%",BI145-BH145,BI145/BH145-1),""))</f>
        <v/>
      </c>
      <c r="BK145" s="5" t="str">
        <f aca="false">IF(OR(BH145="",BI145=""),"",IF($F145="Maior Melhor",IF(BI145&gt;=BH145,"Sim","Não"),IF(BI145&lt;=BH145,"Sim","Não")))</f>
        <v/>
      </c>
      <c r="BL145" s="8"/>
      <c r="BM145" s="8"/>
      <c r="BN145" s="4" t="str">
        <f aca="false">IF(OR(BL145="",BM145=""),"",IFERROR(IF($K145="%",BM145-BL145,BM145/BL145-1),""))</f>
        <v/>
      </c>
      <c r="BO145" s="5" t="str">
        <f aca="false">IF(OR(BL145="",BM145=""),"",IF($F145="Maior Melhor",IF(BM145&gt;=BL145,"Sim","Não"),IF(BM145&lt;=BL145,"Sim","Não")))</f>
        <v/>
      </c>
      <c r="BP145" s="8"/>
      <c r="BQ145" s="8"/>
      <c r="BR145" s="4" t="str">
        <f aca="false">IF(OR(BP145="",BQ145=""),"",IFERROR(IF($K145="%",BQ145-BP145,BQ145/BP145-1),""))</f>
        <v/>
      </c>
      <c r="BS145" s="5" t="str">
        <f aca="false">IF(OR(BP145="",BQ145=""),"",IF($F145="Maior Melhor",IF(BQ145&gt;=BP145,"Sim","Não"),IF(BQ145&lt;=BP145,"Sim","Não")))</f>
        <v/>
      </c>
      <c r="BT145" s="8"/>
      <c r="BU145" s="8"/>
      <c r="BV145" s="4" t="str">
        <f aca="false">IF(OR(BT145="",BU145=""),"",IFERROR(IF($K145="%",BU145-BT145,BU145/BT145-1),""))</f>
        <v/>
      </c>
      <c r="BW145" s="5" t="str">
        <f aca="false">IF(OR(BT145="",BU145=""),"",IF($F145="Maior Melhor",IF(BU145&gt;=BT145,"Sim","Não"),IF(BU145&lt;=BT145,"Sim","Não")))</f>
        <v/>
      </c>
      <c r="BX145" s="8"/>
      <c r="BY145" s="8"/>
      <c r="BZ145" s="4" t="str">
        <f aca="false">IF(OR(BX145="",BY145=""),"",IFERROR(IF($K145="%",BY145-BX145,BY145/BX145-1),""))</f>
        <v/>
      </c>
      <c r="CA145" s="5" t="str">
        <f aca="false">IF(OR(BX145="",BY145=""),"",IF($F145="Maior Melhor",IF(BY145&gt;=BX145,"Sim","Não"),IF(BY145&lt;=BX145,"Sim","Não")))</f>
        <v/>
      </c>
      <c r="CB145" s="8"/>
      <c r="CC145" s="8"/>
      <c r="CD145" s="4" t="str">
        <f aca="false">IF(OR(CB145="",CC145=""),"",IFERROR(IF($K145="%",CC145-CB145,CC145/CB145-1),""))</f>
        <v/>
      </c>
      <c r="CE145" s="5" t="str">
        <f aca="false">IF(OR(CB145="",CC145=""),"",IF($F145="Maior Melhor",IF(CC145&gt;=CB145,"Sim","Não"),IF(CC145&lt;=CB145,"Sim","Não")))</f>
        <v/>
      </c>
      <c r="CF145" s="8"/>
      <c r="CG145" s="8"/>
      <c r="CH145" s="4" t="str">
        <f aca="false">IF(OR(CF145="",CG145=""),"",IFERROR(IF($K145="%",CG145-CF145,CG145/CF145-1),""))</f>
        <v/>
      </c>
      <c r="CI145" s="5" t="str">
        <f aca="false">IF(OR(CF145="",CG145=""),"",IF($F145="Maior Melhor",IF(CG145&gt;=CF145,"Sim","Não"),IF(CG145&lt;=CF145,"Sim","Não")))</f>
        <v/>
      </c>
      <c r="CJ145" s="8"/>
      <c r="CK145" s="8"/>
      <c r="CL145" s="4" t="str">
        <f aca="false">IF(OR(CJ145="",CK145=""),"",IFERROR(IF($K145="%",CK145-CJ145,CK145/CJ145-1),""))</f>
        <v/>
      </c>
      <c r="CM145" s="5" t="str">
        <f aca="false">IF(OR(CJ145="",CK145=""),"",IF($F145="Maior Melhor",IF(CK145&gt;=CJ145,"Sim","Não"),IF(CK145&lt;=CJ145,"Sim","Não")))</f>
        <v/>
      </c>
      <c r="CN145" s="8"/>
      <c r="CO145" s="8"/>
      <c r="CP145" s="4" t="str">
        <f aca="false">IF(OR(CN145="",CO145=""),"",IFERROR(IF($K145="%",CO145-CN145,CO145/CN145-1),""))</f>
        <v/>
      </c>
      <c r="CQ145" s="5" t="str">
        <f aca="false">IF(OR(CN145="",CO145=""),"",IF($F145="Maior Melhor",IF(CO145&gt;=CN145,"Sim","Não"),IF(CO145&lt;=CN145,"Sim","Não")))</f>
        <v/>
      </c>
      <c r="CR145" s="2" t="s">
        <v>105</v>
      </c>
    </row>
    <row r="146" customFormat="false" ht="15" hidden="false" customHeight="false" outlineLevel="0" collapsed="false">
      <c r="A146" s="2" t="s">
        <v>96</v>
      </c>
      <c r="B146" s="2" t="s">
        <v>97</v>
      </c>
      <c r="C146" s="2" t="s">
        <v>98</v>
      </c>
      <c r="D146" s="2" t="s">
        <v>170</v>
      </c>
      <c r="E146" s="2" t="str">
        <f aca="false">C146&amp;D146</f>
        <v>Gerência Centro OesteEfetividade Financeira do Corte (EFC) - UTDs</v>
      </c>
      <c r="F146" s="2" t="s">
        <v>100</v>
      </c>
      <c r="G146" s="2" t="s">
        <v>171</v>
      </c>
      <c r="H146" s="2" t="s">
        <v>102</v>
      </c>
      <c r="I146" s="2" t="s">
        <v>103</v>
      </c>
      <c r="J146" s="2" t="n">
        <v>1</v>
      </c>
      <c r="K146" s="2" t="s">
        <v>104</v>
      </c>
      <c r="L146" s="3" t="n">
        <v>0.644</v>
      </c>
      <c r="M146" s="3" t="n">
        <v>0.56</v>
      </c>
      <c r="N146" s="4" t="n">
        <f aca="false">IF(OR(L146="",M146=""),"",IFERROR(IF($K146="%",M146-L146,M146/L146-1),""))</f>
        <v>-0.084</v>
      </c>
      <c r="O146" s="5" t="str">
        <f aca="false">IF(OR(L146="",M146=""),"",IF($F146="Maior Melhor",IF(M146&gt;=L146,"Sim","Não"),IF(M146&lt;=L146,"Sim","Não")))</f>
        <v>Não</v>
      </c>
      <c r="P146" s="3" t="n">
        <v>0.644</v>
      </c>
      <c r="Q146" s="3" t="n">
        <v>0.596</v>
      </c>
      <c r="R146" s="4" t="n">
        <f aca="false">IF(OR(P146="",Q146=""),"",IFERROR(IF($K146="%",Q146-P146,Q146/P146-1),""))</f>
        <v>-0.048</v>
      </c>
      <c r="S146" s="5" t="str">
        <f aca="false">IF(OR(P146="",Q146=""),"",IF($F146="Maior Melhor",IF(Q146&gt;=P146,"Sim","Não"),IF(Q146&lt;=P146,"Sim","Não")))</f>
        <v>Não</v>
      </c>
      <c r="T146" s="3" t="n">
        <v>0.644</v>
      </c>
      <c r="U146" s="3" t="n">
        <v>0.51</v>
      </c>
      <c r="V146" s="4" t="n">
        <f aca="false">IF(OR(T146="",U146=""),"",IFERROR(IF($K146="%",U146-T146,U146/T146-1),""))</f>
        <v>-0.134</v>
      </c>
      <c r="W146" s="5" t="str">
        <f aca="false">IF(OR(T146="",U146=""),"",IF($F146="Maior Melhor",IF(U146&gt;=T146,"Sim","Não"),IF(U146&lt;=T146,"Sim","Não")))</f>
        <v>Não</v>
      </c>
      <c r="X146" s="3" t="n">
        <v>0.644</v>
      </c>
      <c r="Y146" s="3" t="n">
        <v>0.632</v>
      </c>
      <c r="Z146" s="4" t="n">
        <f aca="false">IF(OR(X146="",Y146=""),"",IFERROR(IF($K146="%",Y146-X146,Y146/X146-1),""))</f>
        <v>-0.012</v>
      </c>
      <c r="AA146" s="5" t="str">
        <f aca="false">IF(OR(X146="",Y146=""),"",IF($F146="Maior Melhor",IF(Y146&gt;=X146,"Sim","Não"),IF(Y146&lt;=X146,"Sim","Não")))</f>
        <v>Não</v>
      </c>
      <c r="AB146" s="3" t="n">
        <v>0.644</v>
      </c>
      <c r="AC146" s="3" t="n">
        <v>0.575</v>
      </c>
      <c r="AD146" s="4" t="n">
        <f aca="false">IF(OR(AB146="",AC146=""),"",IFERROR(IF($K146="%",AC146-AB146,AC146/AB146-1),""))</f>
        <v>-0.0690000000000001</v>
      </c>
      <c r="AE146" s="5" t="str">
        <f aca="false">IF(OR(AB146="",AC146=""),"",IF($F146="Maior Melhor",IF(AC146&gt;=AB146,"Sim","Não"),IF(AC146&lt;=AB146,"Sim","Não")))</f>
        <v>Não</v>
      </c>
      <c r="AF146" s="3" t="n">
        <v>0.644</v>
      </c>
      <c r="AG146" s="3" t="n">
        <v>0.656</v>
      </c>
      <c r="AH146" s="4" t="n">
        <f aca="false">IF(OR(AF146="",AG146=""),"",IFERROR(IF($K146="%",AG146-AF146,AG146/AF146-1),""))</f>
        <v>0.012</v>
      </c>
      <c r="AI146" s="5" t="str">
        <f aca="false">IF(OR(AF146="",AG146=""),"",IF($F146="Maior Melhor",IF(AG146&gt;=AF146,"Sim","Não"),IF(AG146&lt;=AF146,"Sim","Não")))</f>
        <v>Sim</v>
      </c>
      <c r="AJ146" s="3" t="n">
        <v>0.644</v>
      </c>
      <c r="AK146" s="3" t="n">
        <v>0.595</v>
      </c>
      <c r="AL146" s="4" t="n">
        <f aca="false">IF(OR(AJ146="",AK146=""),"",IFERROR(IF($K146="%",AK146-AJ146,AK146/AJ146-1),""))</f>
        <v>-0.049</v>
      </c>
      <c r="AM146" s="5" t="str">
        <f aca="false">IF(OR(AJ146="",AK146=""),"",IF($F146="Maior Melhor",IF(AK146&gt;=AJ146,"Sim","Não"),IF(AK146&lt;=AJ146,"Sim","Não")))</f>
        <v>Não</v>
      </c>
      <c r="AN146" s="3" t="n">
        <v>0.644</v>
      </c>
      <c r="AO146" s="3" t="n">
        <v>0.657</v>
      </c>
      <c r="AP146" s="4" t="n">
        <f aca="false">IF(OR(AN146="",AO146=""),"",IFERROR(IF($K146="%",AO146-AN146,AO146/AN146-1),""))</f>
        <v>0.013</v>
      </c>
      <c r="AQ146" s="5" t="str">
        <f aca="false">IF(OR(AN146="",AO146=""),"",IF($F146="Maior Melhor",IF(AO146&gt;=AN146,"Sim","Não"),IF(AO146&lt;=AN146,"Sim","Não")))</f>
        <v>Sim</v>
      </c>
      <c r="AR146" s="3" t="n">
        <v>0.644</v>
      </c>
      <c r="AS146" s="3" t="n">
        <v>0.608</v>
      </c>
      <c r="AT146" s="4" t="n">
        <f aca="false">IF(OR(AR146="",AS146=""),"",IFERROR(IF($K146="%",AS146-AR146,AS146/AR146-1),""))</f>
        <v>-0.036</v>
      </c>
      <c r="AU146" s="5" t="str">
        <f aca="false">IF(OR(AR146="",AS146=""),"",IF($F146="Maior Melhor",IF(AS146&gt;=AR146,"Sim","Não"),IF(AS146&lt;=AR146,"Sim","Não")))</f>
        <v>Não</v>
      </c>
      <c r="AV146" s="3" t="n">
        <v>0.644</v>
      </c>
      <c r="AW146" s="3" t="n">
        <v>0.575</v>
      </c>
      <c r="AX146" s="4" t="n">
        <f aca="false">IF(OR(AV146="",AW146=""),"",IFERROR(IF($K146="%",AW146-AV146,AW146/AV146-1),""))</f>
        <v>-0.0690000000000001</v>
      </c>
      <c r="AY146" s="5" t="str">
        <f aca="false">IF(OR(AV146="",AW146=""),"",IF($F146="Maior Melhor",IF(AW146&gt;=AV146,"Sim","Não"),IF(AW146&lt;=AV146,"Sim","Não")))</f>
        <v>Não</v>
      </c>
      <c r="AZ146" s="3" t="n">
        <v>0.644</v>
      </c>
      <c r="BA146" s="3" t="n">
        <v>0.602</v>
      </c>
      <c r="BB146" s="4" t="n">
        <f aca="false">IF(OR(AZ146="",BA146=""),"",IFERROR(IF($K146="%",BA146-AZ146,BA146/AZ146-1),""))</f>
        <v>-0.042</v>
      </c>
      <c r="BC146" s="5" t="str">
        <f aca="false">IF(OR(AZ146="",BA146=""),"",IF($F146="Maior Melhor",IF(BA146&gt;=AZ146,"Sim","Não"),IF(BA146&lt;=AZ146,"Sim","Não")))</f>
        <v>Não</v>
      </c>
      <c r="BD146" s="3" t="n">
        <v>0.644</v>
      </c>
      <c r="BE146" s="3" t="n">
        <v>0.723</v>
      </c>
      <c r="BF146" s="4" t="n">
        <f aca="false">IF(OR(BD146="",BE146=""),"",IFERROR(IF($K146="%",BE146-BD146,BE146/BD146-1),""))</f>
        <v>0.079</v>
      </c>
      <c r="BG146" s="5" t="str">
        <f aca="false">IF(OR(BD146="",BE146=""),"",IF($F146="Maior Melhor",IF(BE146&gt;=BD146,"Sim","Não"),IF(BE146&lt;=BD146,"Sim","Não")))</f>
        <v>Sim</v>
      </c>
      <c r="BH146" s="3" t="n">
        <v>0.644</v>
      </c>
      <c r="BI146" s="3" t="n">
        <v>0.622</v>
      </c>
      <c r="BJ146" s="4" t="n">
        <f aca="false">IF(OR(BH146="",BI146=""),"",IFERROR(IF($K146="%",BI146-BH146,BI146/BH146-1),""))</f>
        <v>-0.022</v>
      </c>
      <c r="BK146" s="5" t="str">
        <f aca="false">IF(OR(BH146="",BI146=""),"",IF($F146="Maior Melhor",IF(BI146&gt;=BH146,"Sim","Não"),IF(BI146&lt;=BH146,"Sim","Não")))</f>
        <v>Não</v>
      </c>
      <c r="BL146" s="6"/>
      <c r="BM146" s="6"/>
      <c r="BN146" s="4" t="str">
        <f aca="false">IF(OR(BL146="",BM146=""),"",IFERROR(IF($K146="%",BM146-BL146,BM146/BL146-1),""))</f>
        <v/>
      </c>
      <c r="BO146" s="5" t="str">
        <f aca="false">IF(OR(BL146="",BM146=""),"",IF($F146="Maior Melhor",IF(BM146&gt;=BL146,"Sim","Não"),IF(BM146&lt;=BL146,"Sim","Não")))</f>
        <v/>
      </c>
      <c r="BP146" s="6"/>
      <c r="BQ146" s="6"/>
      <c r="BR146" s="4" t="str">
        <f aca="false">IF(OR(BP146="",BQ146=""),"",IFERROR(IF($K146="%",BQ146-BP146,BQ146/BP146-1),""))</f>
        <v/>
      </c>
      <c r="BS146" s="5" t="str">
        <f aca="false">IF(OR(BP146="",BQ146=""),"",IF($F146="Maior Melhor",IF(BQ146&gt;=BP146,"Sim","Não"),IF(BQ146&lt;=BP146,"Sim","Não")))</f>
        <v/>
      </c>
      <c r="BT146" s="6"/>
      <c r="BU146" s="6"/>
      <c r="BV146" s="4" t="str">
        <f aca="false">IF(OR(BT146="",BU146=""),"",IFERROR(IF($K146="%",BU146-BT146,BU146/BT146-1),""))</f>
        <v/>
      </c>
      <c r="BW146" s="5" t="str">
        <f aca="false">IF(OR(BT146="",BU146=""),"",IF($F146="Maior Melhor",IF(BU146&gt;=BT146,"Sim","Não"),IF(BU146&lt;=BT146,"Sim","Não")))</f>
        <v/>
      </c>
      <c r="BX146" s="6"/>
      <c r="BY146" s="6"/>
      <c r="BZ146" s="4" t="str">
        <f aca="false">IF(OR(BX146="",BY146=""),"",IFERROR(IF($K146="%",BY146-BX146,BY146/BX146-1),""))</f>
        <v/>
      </c>
      <c r="CA146" s="5" t="str">
        <f aca="false">IF(OR(BX146="",BY146=""),"",IF($F146="Maior Melhor",IF(BY146&gt;=BX146,"Sim","Não"),IF(BY146&lt;=BX146,"Sim","Não")))</f>
        <v/>
      </c>
      <c r="CB146" s="6"/>
      <c r="CC146" s="6"/>
      <c r="CD146" s="4" t="str">
        <f aca="false">IF(OR(CB146="",CC146=""),"",IFERROR(IF($K146="%",CC146-CB146,CC146/CB146-1),""))</f>
        <v/>
      </c>
      <c r="CE146" s="5" t="str">
        <f aca="false">IF(OR(CB146="",CC146=""),"",IF($F146="Maior Melhor",IF(CC146&gt;=CB146,"Sim","Não"),IF(CC146&lt;=CB146,"Sim","Não")))</f>
        <v/>
      </c>
      <c r="CF146" s="6"/>
      <c r="CG146" s="6"/>
      <c r="CH146" s="4" t="str">
        <f aca="false">IF(OR(CF146="",CG146=""),"",IFERROR(IF($K146="%",CG146-CF146,CG146/CF146-1),""))</f>
        <v/>
      </c>
      <c r="CI146" s="5" t="str">
        <f aca="false">IF(OR(CF146="",CG146=""),"",IF($F146="Maior Melhor",IF(CG146&gt;=CF146,"Sim","Não"),IF(CG146&lt;=CF146,"Sim","Não")))</f>
        <v/>
      </c>
      <c r="CJ146" s="6"/>
      <c r="CK146" s="6"/>
      <c r="CL146" s="4" t="str">
        <f aca="false">IF(OR(CJ146="",CK146=""),"",IFERROR(IF($K146="%",CK146-CJ146,CK146/CJ146-1),""))</f>
        <v/>
      </c>
      <c r="CM146" s="5" t="str">
        <f aca="false">IF(OR(CJ146="",CK146=""),"",IF($F146="Maior Melhor",IF(CK146&gt;=CJ146,"Sim","Não"),IF(CK146&lt;=CJ146,"Sim","Não")))</f>
        <v/>
      </c>
      <c r="CN146" s="6"/>
      <c r="CO146" s="6"/>
      <c r="CP146" s="4" t="str">
        <f aca="false">IF(OR(CN146="",CO146=""),"",IFERROR(IF($K146="%",CO146-CN146,CO146/CN146-1),""))</f>
        <v/>
      </c>
      <c r="CQ146" s="5" t="str">
        <f aca="false">IF(OR(CN146="",CO146=""),"",IF($F146="Maior Melhor",IF(CO146&gt;=CN146,"Sim","Não"),IF(CO146&lt;=CN146,"Sim","Não")))</f>
        <v/>
      </c>
      <c r="CR146" s="2" t="s">
        <v>105</v>
      </c>
    </row>
    <row r="147" customFormat="false" ht="15" hidden="false" customHeight="false" outlineLevel="0" collapsed="false">
      <c r="A147" s="2" t="s">
        <v>96</v>
      </c>
      <c r="B147" s="2" t="s">
        <v>106</v>
      </c>
      <c r="C147" s="2" t="s">
        <v>107</v>
      </c>
      <c r="D147" s="2" t="s">
        <v>170</v>
      </c>
      <c r="E147" s="2" t="str">
        <f aca="false">C147&amp;D147</f>
        <v>Gerência OesteEfetividade Financeira do Corte (EFC) - UTDs</v>
      </c>
      <c r="F147" s="2" t="s">
        <v>100</v>
      </c>
      <c r="G147" s="2" t="s">
        <v>171</v>
      </c>
      <c r="H147" s="2" t="s">
        <v>102</v>
      </c>
      <c r="I147" s="2" t="s">
        <v>103</v>
      </c>
      <c r="J147" s="2" t="n">
        <v>1</v>
      </c>
      <c r="K147" s="2" t="s">
        <v>104</v>
      </c>
      <c r="L147" s="3" t="n">
        <v>0.698</v>
      </c>
      <c r="M147" s="3" t="n">
        <v>0.699</v>
      </c>
      <c r="N147" s="4" t="n">
        <f aca="false">IF(OR(L147="",M147=""),"",IFERROR(IF($K147="%",M147-L147,M147/L147-1),""))</f>
        <v>0.001</v>
      </c>
      <c r="O147" s="5" t="str">
        <f aca="false">IF(OR(L147="",M147=""),"",IF($F147="Maior Melhor",IF(M147&gt;=L147,"Sim","Não"),IF(M147&lt;=L147,"Sim","Não")))</f>
        <v>Sim</v>
      </c>
      <c r="P147" s="3" t="n">
        <v>0.698</v>
      </c>
      <c r="Q147" s="3" t="n">
        <v>0.574</v>
      </c>
      <c r="R147" s="4" t="n">
        <f aca="false">IF(OR(P147="",Q147=""),"",IFERROR(IF($K147="%",Q147-P147,Q147/P147-1),""))</f>
        <v>-0.124</v>
      </c>
      <c r="S147" s="5" t="str">
        <f aca="false">IF(OR(P147="",Q147=""),"",IF($F147="Maior Melhor",IF(Q147&gt;=P147,"Sim","Não"),IF(Q147&lt;=P147,"Sim","Não")))</f>
        <v>Não</v>
      </c>
      <c r="T147" s="3" t="n">
        <v>0.698</v>
      </c>
      <c r="U147" s="3" t="n">
        <v>0.653</v>
      </c>
      <c r="V147" s="4" t="n">
        <f aca="false">IF(OR(T147="",U147=""),"",IFERROR(IF($K147="%",U147-T147,U147/T147-1),""))</f>
        <v>-0.0449999999999999</v>
      </c>
      <c r="W147" s="5" t="str">
        <f aca="false">IF(OR(T147="",U147=""),"",IF($F147="Maior Melhor",IF(U147&gt;=T147,"Sim","Não"),IF(U147&lt;=T147,"Sim","Não")))</f>
        <v>Não</v>
      </c>
      <c r="X147" s="3" t="n">
        <v>0.698</v>
      </c>
      <c r="Y147" s="3" t="n">
        <v>0.741</v>
      </c>
      <c r="Z147" s="4" t="n">
        <f aca="false">IF(OR(X147="",Y147=""),"",IFERROR(IF($K147="%",Y147-X147,Y147/X147-1),""))</f>
        <v>0.043</v>
      </c>
      <c r="AA147" s="5" t="str">
        <f aca="false">IF(OR(X147="",Y147=""),"",IF($F147="Maior Melhor",IF(Y147&gt;=X147,"Sim","Não"),IF(Y147&lt;=X147,"Sim","Não")))</f>
        <v>Sim</v>
      </c>
      <c r="AB147" s="3" t="n">
        <v>0.698</v>
      </c>
      <c r="AC147" s="3" t="n">
        <v>0.667</v>
      </c>
      <c r="AD147" s="4" t="n">
        <f aca="false">IF(OR(AB147="",AC147=""),"",IFERROR(IF($K147="%",AC147-AB147,AC147/AB147-1),""))</f>
        <v>-0.0309999999999999</v>
      </c>
      <c r="AE147" s="5" t="str">
        <f aca="false">IF(OR(AB147="",AC147=""),"",IF($F147="Maior Melhor",IF(AC147&gt;=AB147,"Sim","Não"),IF(AC147&lt;=AB147,"Sim","Não")))</f>
        <v>Não</v>
      </c>
      <c r="AF147" s="3" t="n">
        <v>0.698</v>
      </c>
      <c r="AG147" s="3" t="n">
        <v>0.707</v>
      </c>
      <c r="AH147" s="4" t="n">
        <f aca="false">IF(OR(AF147="",AG147=""),"",IFERROR(IF($K147="%",AG147-AF147,AG147/AF147-1),""))</f>
        <v>0.00900000000000001</v>
      </c>
      <c r="AI147" s="5" t="str">
        <f aca="false">IF(OR(AF147="",AG147=""),"",IF($F147="Maior Melhor",IF(AG147&gt;=AF147,"Sim","Não"),IF(AG147&lt;=AF147,"Sim","Não")))</f>
        <v>Sim</v>
      </c>
      <c r="AJ147" s="3" t="n">
        <v>0.698</v>
      </c>
      <c r="AK147" s="3" t="n">
        <v>0.677</v>
      </c>
      <c r="AL147" s="4" t="n">
        <f aca="false">IF(OR(AJ147="",AK147=""),"",IFERROR(IF($K147="%",AK147-AJ147,AK147/AJ147-1),""))</f>
        <v>-0.0209999999999999</v>
      </c>
      <c r="AM147" s="5" t="str">
        <f aca="false">IF(OR(AJ147="",AK147=""),"",IF($F147="Maior Melhor",IF(AK147&gt;=AJ147,"Sim","Não"),IF(AK147&lt;=AJ147,"Sim","Não")))</f>
        <v>Não</v>
      </c>
      <c r="AN147" s="3" t="n">
        <v>0.698</v>
      </c>
      <c r="AO147" s="3" t="n">
        <v>0.891</v>
      </c>
      <c r="AP147" s="4" t="n">
        <f aca="false">IF(OR(AN147="",AO147=""),"",IFERROR(IF($K147="%",AO147-AN147,AO147/AN147-1),""))</f>
        <v>0.193</v>
      </c>
      <c r="AQ147" s="5" t="str">
        <f aca="false">IF(OR(AN147="",AO147=""),"",IF($F147="Maior Melhor",IF(AO147&gt;=AN147,"Sim","Não"),IF(AO147&lt;=AN147,"Sim","Não")))</f>
        <v>Sim</v>
      </c>
      <c r="AR147" s="3" t="n">
        <v>0.698</v>
      </c>
      <c r="AS147" s="3" t="n">
        <v>0.72</v>
      </c>
      <c r="AT147" s="4" t="n">
        <f aca="false">IF(OR(AR147="",AS147=""),"",IFERROR(IF($K147="%",AS147-AR147,AS147/AR147-1),""))</f>
        <v>0.022</v>
      </c>
      <c r="AU147" s="5" t="str">
        <f aca="false">IF(OR(AR147="",AS147=""),"",IF($F147="Maior Melhor",IF(AS147&gt;=AR147,"Sim","Não"),IF(AS147&lt;=AR147,"Sim","Não")))</f>
        <v>Sim</v>
      </c>
      <c r="AV147" s="3" t="n">
        <v>0.698</v>
      </c>
      <c r="AW147" s="3" t="n">
        <v>0.749</v>
      </c>
      <c r="AX147" s="4" t="n">
        <f aca="false">IF(OR(AV147="",AW147=""),"",IFERROR(IF($K147="%",AW147-AV147,AW147/AV147-1),""))</f>
        <v>0.051</v>
      </c>
      <c r="AY147" s="5" t="str">
        <f aca="false">IF(OR(AV147="",AW147=""),"",IF($F147="Maior Melhor",IF(AW147&gt;=AV147,"Sim","Não"),IF(AW147&lt;=AV147,"Sim","Não")))</f>
        <v>Sim</v>
      </c>
      <c r="AZ147" s="3" t="n">
        <v>0.698</v>
      </c>
      <c r="BA147" s="3" t="n">
        <v>0.725</v>
      </c>
      <c r="BB147" s="4" t="n">
        <f aca="false">IF(OR(AZ147="",BA147=""),"",IFERROR(IF($K147="%",BA147-AZ147,BA147/AZ147-1),""))</f>
        <v>0.027</v>
      </c>
      <c r="BC147" s="5" t="str">
        <f aca="false">IF(OR(AZ147="",BA147=""),"",IF($F147="Maior Melhor",IF(BA147&gt;=AZ147,"Sim","Não"),IF(BA147&lt;=AZ147,"Sim","Não")))</f>
        <v>Sim</v>
      </c>
      <c r="BD147" s="3" t="n">
        <v>0.698</v>
      </c>
      <c r="BE147" s="3" t="n">
        <v>0.777</v>
      </c>
      <c r="BF147" s="4" t="n">
        <f aca="false">IF(OR(BD147="",BE147=""),"",IFERROR(IF($K147="%",BE147-BD147,BE147/BD147-1),""))</f>
        <v>0.0790000000000001</v>
      </c>
      <c r="BG147" s="5" t="str">
        <f aca="false">IF(OR(BD147="",BE147=""),"",IF($F147="Maior Melhor",IF(BE147&gt;=BD147,"Sim","Não"),IF(BE147&lt;=BD147,"Sim","Não")))</f>
        <v>Sim</v>
      </c>
      <c r="BH147" s="3" t="n">
        <v>0.698</v>
      </c>
      <c r="BI147" s="3" t="n">
        <v>0.734</v>
      </c>
      <c r="BJ147" s="4" t="n">
        <f aca="false">IF(OR(BH147="",BI147=""),"",IFERROR(IF($K147="%",BI147-BH147,BI147/BH147-1),""))</f>
        <v>0.036</v>
      </c>
      <c r="BK147" s="5" t="str">
        <f aca="false">IF(OR(BH147="",BI147=""),"",IF($F147="Maior Melhor",IF(BI147&gt;=BH147,"Sim","Não"),IF(BI147&lt;=BH147,"Sim","Não")))</f>
        <v>Sim</v>
      </c>
      <c r="BL147" s="6"/>
      <c r="BM147" s="6"/>
      <c r="BN147" s="4" t="str">
        <f aca="false">IF(OR(BL147="",BM147=""),"",IFERROR(IF($K147="%",BM147-BL147,BM147/BL147-1),""))</f>
        <v/>
      </c>
      <c r="BO147" s="5" t="str">
        <f aca="false">IF(OR(BL147="",BM147=""),"",IF($F147="Maior Melhor",IF(BM147&gt;=BL147,"Sim","Não"),IF(BM147&lt;=BL147,"Sim","Não")))</f>
        <v/>
      </c>
      <c r="BP147" s="6"/>
      <c r="BQ147" s="6"/>
      <c r="BR147" s="4" t="str">
        <f aca="false">IF(OR(BP147="",BQ147=""),"",IFERROR(IF($K147="%",BQ147-BP147,BQ147/BP147-1),""))</f>
        <v/>
      </c>
      <c r="BS147" s="5" t="str">
        <f aca="false">IF(OR(BP147="",BQ147=""),"",IF($F147="Maior Melhor",IF(BQ147&gt;=BP147,"Sim","Não"),IF(BQ147&lt;=BP147,"Sim","Não")))</f>
        <v/>
      </c>
      <c r="BT147" s="6"/>
      <c r="BU147" s="6"/>
      <c r="BV147" s="4" t="str">
        <f aca="false">IF(OR(BT147="",BU147=""),"",IFERROR(IF($K147="%",BU147-BT147,BU147/BT147-1),""))</f>
        <v/>
      </c>
      <c r="BW147" s="5" t="str">
        <f aca="false">IF(OR(BT147="",BU147=""),"",IF($F147="Maior Melhor",IF(BU147&gt;=BT147,"Sim","Não"),IF(BU147&lt;=BT147,"Sim","Não")))</f>
        <v/>
      </c>
      <c r="BX147" s="6"/>
      <c r="BY147" s="6"/>
      <c r="BZ147" s="4" t="str">
        <f aca="false">IF(OR(BX147="",BY147=""),"",IFERROR(IF($K147="%",BY147-BX147,BY147/BX147-1),""))</f>
        <v/>
      </c>
      <c r="CA147" s="5" t="str">
        <f aca="false">IF(OR(BX147="",BY147=""),"",IF($F147="Maior Melhor",IF(BY147&gt;=BX147,"Sim","Não"),IF(BY147&lt;=BX147,"Sim","Não")))</f>
        <v/>
      </c>
      <c r="CB147" s="6"/>
      <c r="CC147" s="6"/>
      <c r="CD147" s="4" t="str">
        <f aca="false">IF(OR(CB147="",CC147=""),"",IFERROR(IF($K147="%",CC147-CB147,CC147/CB147-1),""))</f>
        <v/>
      </c>
      <c r="CE147" s="5" t="str">
        <f aca="false">IF(OR(CB147="",CC147=""),"",IF($F147="Maior Melhor",IF(CC147&gt;=CB147,"Sim","Não"),IF(CC147&lt;=CB147,"Sim","Não")))</f>
        <v/>
      </c>
      <c r="CF147" s="6"/>
      <c r="CG147" s="6"/>
      <c r="CH147" s="4" t="str">
        <f aca="false">IF(OR(CF147="",CG147=""),"",IFERROR(IF($K147="%",CG147-CF147,CG147/CF147-1),""))</f>
        <v/>
      </c>
      <c r="CI147" s="5" t="str">
        <f aca="false">IF(OR(CF147="",CG147=""),"",IF($F147="Maior Melhor",IF(CG147&gt;=CF147,"Sim","Não"),IF(CG147&lt;=CF147,"Sim","Não")))</f>
        <v/>
      </c>
      <c r="CJ147" s="6"/>
      <c r="CK147" s="6"/>
      <c r="CL147" s="4" t="str">
        <f aca="false">IF(OR(CJ147="",CK147=""),"",IFERROR(IF($K147="%",CK147-CJ147,CK147/CJ147-1),""))</f>
        <v/>
      </c>
      <c r="CM147" s="5" t="str">
        <f aca="false">IF(OR(CJ147="",CK147=""),"",IF($F147="Maior Melhor",IF(CK147&gt;=CJ147,"Sim","Não"),IF(CK147&lt;=CJ147,"Sim","Não")))</f>
        <v/>
      </c>
      <c r="CN147" s="6"/>
      <c r="CO147" s="6"/>
      <c r="CP147" s="4" t="str">
        <f aca="false">IF(OR(CN147="",CO147=""),"",IFERROR(IF($K147="%",CO147-CN147,CO147/CN147-1),""))</f>
        <v/>
      </c>
      <c r="CQ147" s="5" t="str">
        <f aca="false">IF(OR(CN147="",CO147=""),"",IF($F147="Maior Melhor",IF(CO147&gt;=CN147,"Sim","Não"),IF(CO147&lt;=CN147,"Sim","Não")))</f>
        <v/>
      </c>
      <c r="CR147" s="2" t="s">
        <v>105</v>
      </c>
    </row>
    <row r="148" customFormat="false" ht="15" hidden="false" customHeight="false" outlineLevel="0" collapsed="false">
      <c r="A148" s="2" t="s">
        <v>96</v>
      </c>
      <c r="B148" s="2" t="s">
        <v>108</v>
      </c>
      <c r="C148" s="2" t="s">
        <v>109</v>
      </c>
      <c r="D148" s="2" t="s">
        <v>170</v>
      </c>
      <c r="E148" s="2" t="str">
        <f aca="false">C148&amp;D148</f>
        <v>Gerência SudoesteEfetividade Financeira do Corte (EFC) - UTDs</v>
      </c>
      <c r="F148" s="2" t="s">
        <v>100</v>
      </c>
      <c r="G148" s="2" t="s">
        <v>171</v>
      </c>
      <c r="H148" s="2" t="s">
        <v>102</v>
      </c>
      <c r="I148" s="2" t="s">
        <v>103</v>
      </c>
      <c r="J148" s="2" t="n">
        <v>1</v>
      </c>
      <c r="K148" s="2" t="s">
        <v>104</v>
      </c>
      <c r="L148" s="3" t="n">
        <v>0.692</v>
      </c>
      <c r="M148" s="3" t="n">
        <v>0.589</v>
      </c>
      <c r="N148" s="4" t="n">
        <f aca="false">IF(OR(L148="",M148=""),"",IFERROR(IF($K148="%",M148-L148,M148/L148-1),""))</f>
        <v>-0.103</v>
      </c>
      <c r="O148" s="5" t="str">
        <f aca="false">IF(OR(L148="",M148=""),"",IF($F148="Maior Melhor",IF(M148&gt;=L148,"Sim","Não"),IF(M148&lt;=L148,"Sim","Não")))</f>
        <v>Não</v>
      </c>
      <c r="P148" s="3" t="n">
        <v>0.692</v>
      </c>
      <c r="Q148" s="3" t="n">
        <v>0.563</v>
      </c>
      <c r="R148" s="4" t="n">
        <f aca="false">IF(OR(P148="",Q148=""),"",IFERROR(IF($K148="%",Q148-P148,Q148/P148-1),""))</f>
        <v>-0.129</v>
      </c>
      <c r="S148" s="5" t="str">
        <f aca="false">IF(OR(P148="",Q148=""),"",IF($F148="Maior Melhor",IF(Q148&gt;=P148,"Sim","Não"),IF(Q148&lt;=P148,"Sim","Não")))</f>
        <v>Não</v>
      </c>
      <c r="T148" s="3" t="n">
        <v>0.692</v>
      </c>
      <c r="U148" s="3" t="n">
        <v>0.522</v>
      </c>
      <c r="V148" s="4" t="n">
        <f aca="false">IF(OR(T148="",U148=""),"",IFERROR(IF($K148="%",U148-T148,U148/T148-1),""))</f>
        <v>-0.17</v>
      </c>
      <c r="W148" s="5" t="str">
        <f aca="false">IF(OR(T148="",U148=""),"",IF($F148="Maior Melhor",IF(U148&gt;=T148,"Sim","Não"),IF(U148&lt;=T148,"Sim","Não")))</f>
        <v>Não</v>
      </c>
      <c r="X148" s="3" t="n">
        <v>0.692</v>
      </c>
      <c r="Y148" s="3" t="n">
        <v>0.597</v>
      </c>
      <c r="Z148" s="4" t="n">
        <f aca="false">IF(OR(X148="",Y148=""),"",IFERROR(IF($K148="%",Y148-X148,Y148/X148-1),""))</f>
        <v>-0.095</v>
      </c>
      <c r="AA148" s="5" t="str">
        <f aca="false">IF(OR(X148="",Y148=""),"",IF($F148="Maior Melhor",IF(Y148&gt;=X148,"Sim","Não"),IF(Y148&lt;=X148,"Sim","Não")))</f>
        <v>Não</v>
      </c>
      <c r="AB148" s="3" t="n">
        <v>0.692</v>
      </c>
      <c r="AC148" s="3" t="n">
        <v>0.593</v>
      </c>
      <c r="AD148" s="4" t="n">
        <f aca="false">IF(OR(AB148="",AC148=""),"",IFERROR(IF($K148="%",AC148-AB148,AC148/AB148-1),""))</f>
        <v>-0.099</v>
      </c>
      <c r="AE148" s="5" t="str">
        <f aca="false">IF(OR(AB148="",AC148=""),"",IF($F148="Maior Melhor",IF(AC148&gt;=AB148,"Sim","Não"),IF(AC148&lt;=AB148,"Sim","Não")))</f>
        <v>Não</v>
      </c>
      <c r="AF148" s="3" t="n">
        <v>0.692</v>
      </c>
      <c r="AG148" s="3" t="n">
        <v>0.649</v>
      </c>
      <c r="AH148" s="4" t="n">
        <f aca="false">IF(OR(AF148="",AG148=""),"",IFERROR(IF($K148="%",AG148-AF148,AG148/AF148-1),""))</f>
        <v>-0.0429999999999999</v>
      </c>
      <c r="AI148" s="5" t="str">
        <f aca="false">IF(OR(AF148="",AG148=""),"",IF($F148="Maior Melhor",IF(AG148&gt;=AF148,"Sim","Não"),IF(AG148&lt;=AF148,"Sim","Não")))</f>
        <v>Não</v>
      </c>
      <c r="AJ148" s="3" t="n">
        <v>0.692</v>
      </c>
      <c r="AK148" s="3" t="n">
        <v>0.607</v>
      </c>
      <c r="AL148" s="4" t="n">
        <f aca="false">IF(OR(AJ148="",AK148=""),"",IFERROR(IF($K148="%",AK148-AJ148,AK148/AJ148-1),""))</f>
        <v>-0.085</v>
      </c>
      <c r="AM148" s="5" t="str">
        <f aca="false">IF(OR(AJ148="",AK148=""),"",IF($F148="Maior Melhor",IF(AK148&gt;=AJ148,"Sim","Não"),IF(AK148&lt;=AJ148,"Sim","Não")))</f>
        <v>Não</v>
      </c>
      <c r="AN148" s="3" t="n">
        <v>0.692</v>
      </c>
      <c r="AO148" s="3" t="n">
        <v>0.647</v>
      </c>
      <c r="AP148" s="4" t="n">
        <f aca="false">IF(OR(AN148="",AO148=""),"",IFERROR(IF($K148="%",AO148-AN148,AO148/AN148-1),""))</f>
        <v>-0.0449999999999999</v>
      </c>
      <c r="AQ148" s="5" t="str">
        <f aca="false">IF(OR(AN148="",AO148=""),"",IF($F148="Maior Melhor",IF(AO148&gt;=AN148,"Sim","Não"),IF(AO148&lt;=AN148,"Sim","Não")))</f>
        <v>Não</v>
      </c>
      <c r="AR148" s="3" t="n">
        <v>0.692</v>
      </c>
      <c r="AS148" s="3" t="n">
        <v>0.615</v>
      </c>
      <c r="AT148" s="4" t="n">
        <f aca="false">IF(OR(AR148="",AS148=""),"",IFERROR(IF($K148="%",AS148-AR148,AS148/AR148-1),""))</f>
        <v>-0.077</v>
      </c>
      <c r="AU148" s="5" t="str">
        <f aca="false">IF(OR(AR148="",AS148=""),"",IF($F148="Maior Melhor",IF(AS148&gt;=AR148,"Sim","Não"),IF(AS148&lt;=AR148,"Sim","Não")))</f>
        <v>Não</v>
      </c>
      <c r="AV148" s="3" t="n">
        <v>0.692</v>
      </c>
      <c r="AW148" s="3" t="n">
        <v>0.677</v>
      </c>
      <c r="AX148" s="4" t="n">
        <f aca="false">IF(OR(AV148="",AW148=""),"",IFERROR(IF($K148="%",AW148-AV148,AW148/AV148-1),""))</f>
        <v>-0.0149999999999999</v>
      </c>
      <c r="AY148" s="5" t="str">
        <f aca="false">IF(OR(AV148="",AW148=""),"",IF($F148="Maior Melhor",IF(AW148&gt;=AV148,"Sim","Não"),IF(AW148&lt;=AV148,"Sim","Não")))</f>
        <v>Não</v>
      </c>
      <c r="AZ148" s="3" t="n">
        <v>0.692</v>
      </c>
      <c r="BA148" s="3" t="n">
        <v>0.627</v>
      </c>
      <c r="BB148" s="4" t="n">
        <f aca="false">IF(OR(AZ148="",BA148=""),"",IFERROR(IF($K148="%",BA148-AZ148,BA148/AZ148-1),""))</f>
        <v>-0.065</v>
      </c>
      <c r="BC148" s="5" t="str">
        <f aca="false">IF(OR(AZ148="",BA148=""),"",IF($F148="Maior Melhor",IF(BA148&gt;=AZ148,"Sim","Não"),IF(BA148&lt;=AZ148,"Sim","Não")))</f>
        <v>Não</v>
      </c>
      <c r="BD148" s="3" t="n">
        <v>0.692</v>
      </c>
      <c r="BE148" s="3" t="n">
        <v>0.71</v>
      </c>
      <c r="BF148" s="4" t="n">
        <f aca="false">IF(OR(BD148="",BE148=""),"",IFERROR(IF($K148="%",BE148-BD148,BE148/BD148-1),""))</f>
        <v>0.018</v>
      </c>
      <c r="BG148" s="5" t="str">
        <f aca="false">IF(OR(BD148="",BE148=""),"",IF($F148="Maior Melhor",IF(BE148&gt;=BD148,"Sim","Não"),IF(BE148&lt;=BD148,"Sim","Não")))</f>
        <v>Sim</v>
      </c>
      <c r="BH148" s="3" t="n">
        <v>0.692</v>
      </c>
      <c r="BI148" s="3" t="n">
        <v>0.641</v>
      </c>
      <c r="BJ148" s="4" t="n">
        <f aca="false">IF(OR(BH148="",BI148=""),"",IFERROR(IF($K148="%",BI148-BH148,BI148/BH148-1),""))</f>
        <v>-0.0509999999999999</v>
      </c>
      <c r="BK148" s="5" t="str">
        <f aca="false">IF(OR(BH148="",BI148=""),"",IF($F148="Maior Melhor",IF(BI148&gt;=BH148,"Sim","Não"),IF(BI148&lt;=BH148,"Sim","Não")))</f>
        <v>Não</v>
      </c>
      <c r="BL148" s="6"/>
      <c r="BM148" s="6"/>
      <c r="BN148" s="4" t="str">
        <f aca="false">IF(OR(BL148="",BM148=""),"",IFERROR(IF($K148="%",BM148-BL148,BM148/BL148-1),""))</f>
        <v/>
      </c>
      <c r="BO148" s="5" t="str">
        <f aca="false">IF(OR(BL148="",BM148=""),"",IF($F148="Maior Melhor",IF(BM148&gt;=BL148,"Sim","Não"),IF(BM148&lt;=BL148,"Sim","Não")))</f>
        <v/>
      </c>
      <c r="BP148" s="6"/>
      <c r="BQ148" s="6"/>
      <c r="BR148" s="4" t="str">
        <f aca="false">IF(OR(BP148="",BQ148=""),"",IFERROR(IF($K148="%",BQ148-BP148,BQ148/BP148-1),""))</f>
        <v/>
      </c>
      <c r="BS148" s="5" t="str">
        <f aca="false">IF(OR(BP148="",BQ148=""),"",IF($F148="Maior Melhor",IF(BQ148&gt;=BP148,"Sim","Não"),IF(BQ148&lt;=BP148,"Sim","Não")))</f>
        <v/>
      </c>
      <c r="BT148" s="6"/>
      <c r="BU148" s="6"/>
      <c r="BV148" s="4" t="str">
        <f aca="false">IF(OR(BT148="",BU148=""),"",IFERROR(IF($K148="%",BU148-BT148,BU148/BT148-1),""))</f>
        <v/>
      </c>
      <c r="BW148" s="5" t="str">
        <f aca="false">IF(OR(BT148="",BU148=""),"",IF($F148="Maior Melhor",IF(BU148&gt;=BT148,"Sim","Não"),IF(BU148&lt;=BT148,"Sim","Não")))</f>
        <v/>
      </c>
      <c r="BX148" s="6"/>
      <c r="BY148" s="6"/>
      <c r="BZ148" s="4" t="str">
        <f aca="false">IF(OR(BX148="",BY148=""),"",IFERROR(IF($K148="%",BY148-BX148,BY148/BX148-1),""))</f>
        <v/>
      </c>
      <c r="CA148" s="5" t="str">
        <f aca="false">IF(OR(BX148="",BY148=""),"",IF($F148="Maior Melhor",IF(BY148&gt;=BX148,"Sim","Não"),IF(BY148&lt;=BX148,"Sim","Não")))</f>
        <v/>
      </c>
      <c r="CB148" s="6"/>
      <c r="CC148" s="6"/>
      <c r="CD148" s="4" t="str">
        <f aca="false">IF(OR(CB148="",CC148=""),"",IFERROR(IF($K148="%",CC148-CB148,CC148/CB148-1),""))</f>
        <v/>
      </c>
      <c r="CE148" s="5" t="str">
        <f aca="false">IF(OR(CB148="",CC148=""),"",IF($F148="Maior Melhor",IF(CC148&gt;=CB148,"Sim","Não"),IF(CC148&lt;=CB148,"Sim","Não")))</f>
        <v/>
      </c>
      <c r="CF148" s="6"/>
      <c r="CG148" s="6"/>
      <c r="CH148" s="4" t="str">
        <f aca="false">IF(OR(CF148="",CG148=""),"",IFERROR(IF($K148="%",CG148-CF148,CG148/CF148-1),""))</f>
        <v/>
      </c>
      <c r="CI148" s="5" t="str">
        <f aca="false">IF(OR(CF148="",CG148=""),"",IF($F148="Maior Melhor",IF(CG148&gt;=CF148,"Sim","Não"),IF(CG148&lt;=CF148,"Sim","Não")))</f>
        <v/>
      </c>
      <c r="CJ148" s="6"/>
      <c r="CK148" s="6"/>
      <c r="CL148" s="4" t="str">
        <f aca="false">IF(OR(CJ148="",CK148=""),"",IFERROR(IF($K148="%",CK148-CJ148,CK148/CJ148-1),""))</f>
        <v/>
      </c>
      <c r="CM148" s="5" t="str">
        <f aca="false">IF(OR(CJ148="",CK148=""),"",IF($F148="Maior Melhor",IF(CK148&gt;=CJ148,"Sim","Não"),IF(CK148&lt;=CJ148,"Sim","Não")))</f>
        <v/>
      </c>
      <c r="CN148" s="6"/>
      <c r="CO148" s="6"/>
      <c r="CP148" s="4" t="str">
        <f aca="false">IF(OR(CN148="",CO148=""),"",IFERROR(IF($K148="%",CO148-CN148,CO148/CN148-1),""))</f>
        <v/>
      </c>
      <c r="CQ148" s="5" t="str">
        <f aca="false">IF(OR(CN148="",CO148=""),"",IF($F148="Maior Melhor",IF(CO148&gt;=CN148,"Sim","Não"),IF(CO148&lt;=CN148,"Sim","Não")))</f>
        <v/>
      </c>
      <c r="CR148" s="2" t="s">
        <v>105</v>
      </c>
    </row>
    <row r="149" customFormat="false" ht="15" hidden="false" customHeight="false" outlineLevel="0" collapsed="false">
      <c r="A149" s="2" t="s">
        <v>96</v>
      </c>
      <c r="B149" s="2" t="s">
        <v>110</v>
      </c>
      <c r="C149" s="2" t="s">
        <v>110</v>
      </c>
      <c r="D149" s="2" t="s">
        <v>170</v>
      </c>
      <c r="E149" s="2" t="str">
        <f aca="false">C149&amp;D149</f>
        <v>Sup OesteEfetividade Financeira do Corte (EFC) - UTDs</v>
      </c>
      <c r="F149" s="2" t="s">
        <v>100</v>
      </c>
      <c r="G149" s="2" t="s">
        <v>171</v>
      </c>
      <c r="H149" s="2" t="s">
        <v>102</v>
      </c>
      <c r="I149" s="2" t="s">
        <v>103</v>
      </c>
      <c r="J149" s="2" t="n">
        <v>1</v>
      </c>
      <c r="K149" s="2" t="s">
        <v>104</v>
      </c>
      <c r="L149" s="3" t="n">
        <v>0.679</v>
      </c>
      <c r="M149" s="3" t="n">
        <v>0.603</v>
      </c>
      <c r="N149" s="4" t="n">
        <f aca="false">IF(OR(L149="",M149=""),"",IFERROR(IF($K149="%",M149-L149,M149/L149-1),""))</f>
        <v>-0.0760000000000001</v>
      </c>
      <c r="O149" s="5" t="str">
        <f aca="false">IF(OR(L149="",M149=""),"",IF($F149="Maior Melhor",IF(M149&gt;=L149,"Sim","Não"),IF(M149&lt;=L149,"Sim","Não")))</f>
        <v>Não</v>
      </c>
      <c r="P149" s="3" t="n">
        <v>0.679</v>
      </c>
      <c r="Q149" s="3" t="n">
        <v>0.575</v>
      </c>
      <c r="R149" s="4" t="n">
        <f aca="false">IF(OR(P149="",Q149=""),"",IFERROR(IF($K149="%",Q149-P149,Q149/P149-1),""))</f>
        <v>-0.104</v>
      </c>
      <c r="S149" s="5" t="str">
        <f aca="false">IF(OR(P149="",Q149=""),"",IF($F149="Maior Melhor",IF(Q149&gt;=P149,"Sim","Não"),IF(Q149&lt;=P149,"Sim","Não")))</f>
        <v>Não</v>
      </c>
      <c r="T149" s="3" t="n">
        <v>0.679</v>
      </c>
      <c r="U149" s="3" t="n">
        <v>0.545</v>
      </c>
      <c r="V149" s="4" t="n">
        <f aca="false">IF(OR(T149="",U149=""),"",IFERROR(IF($K149="%",U149-T149,U149/T149-1),""))</f>
        <v>-0.134</v>
      </c>
      <c r="W149" s="5" t="str">
        <f aca="false">IF(OR(T149="",U149=""),"",IF($F149="Maior Melhor",IF(U149&gt;=T149,"Sim","Não"),IF(U149&lt;=T149,"Sim","Não")))</f>
        <v>Não</v>
      </c>
      <c r="X149" s="3" t="n">
        <v>0.679</v>
      </c>
      <c r="Y149" s="3" t="n">
        <v>0.658</v>
      </c>
      <c r="Z149" s="4" t="n">
        <f aca="false">IF(OR(X149="",Y149=""),"",IFERROR(IF($K149="%",Y149-X149,Y149/X149-1),""))</f>
        <v>-0.021</v>
      </c>
      <c r="AA149" s="5" t="str">
        <f aca="false">IF(OR(X149="",Y149=""),"",IF($F149="Maior Melhor",IF(Y149&gt;=X149,"Sim","Não"),IF(Y149&lt;=X149,"Sim","Não")))</f>
        <v>Não</v>
      </c>
      <c r="AB149" s="3" t="n">
        <v>0.679</v>
      </c>
      <c r="AC149" s="3" t="n">
        <v>0.613</v>
      </c>
      <c r="AD149" s="4" t="n">
        <f aca="false">IF(OR(AB149="",AC149=""),"",IFERROR(IF($K149="%",AC149-AB149,AC149/AB149-1),""))</f>
        <v>-0.0660000000000001</v>
      </c>
      <c r="AE149" s="5" t="str">
        <f aca="false">IF(OR(AB149="",AC149=""),"",IF($F149="Maior Melhor",IF(AC149&gt;=AB149,"Sim","Não"),IF(AC149&lt;=AB149,"Sim","Não")))</f>
        <v>Não</v>
      </c>
      <c r="AF149" s="3" t="n">
        <v>0.679</v>
      </c>
      <c r="AG149" s="3" t="n">
        <v>0.673</v>
      </c>
      <c r="AH149" s="4" t="n">
        <f aca="false">IF(OR(AF149="",AG149=""),"",IFERROR(IF($K149="%",AG149-AF149,AG149/AF149-1),""))</f>
        <v>-0.00600000000000001</v>
      </c>
      <c r="AI149" s="5" t="str">
        <f aca="false">IF(OR(AF149="",AG149=""),"",IF($F149="Maior Melhor",IF(AG149&gt;=AF149,"Sim","Não"),IF(AG149&lt;=AF149,"Sim","Não")))</f>
        <v>Não</v>
      </c>
      <c r="AJ149" s="3" t="n">
        <v>0.679</v>
      </c>
      <c r="AK149" s="3" t="n">
        <v>0.628</v>
      </c>
      <c r="AL149" s="4" t="n">
        <f aca="false">IF(OR(AJ149="",AK149=""),"",IFERROR(IF($K149="%",AK149-AJ149,AK149/AJ149-1),""))</f>
        <v>-0.051</v>
      </c>
      <c r="AM149" s="5" t="str">
        <f aca="false">IF(OR(AJ149="",AK149=""),"",IF($F149="Maior Melhor",IF(AK149&gt;=AJ149,"Sim","Não"),IF(AK149&lt;=AJ149,"Sim","Não")))</f>
        <v>Não</v>
      </c>
      <c r="AN149" s="3" t="n">
        <v>0.679</v>
      </c>
      <c r="AO149" s="3" t="n">
        <v>0.634</v>
      </c>
      <c r="AP149" s="4" t="n">
        <f aca="false">IF(OR(AN149="",AO149=""),"",IFERROR(IF($K149="%",AO149-AN149,AO149/AN149-1),""))</f>
        <v>-0.045</v>
      </c>
      <c r="AQ149" s="5" t="str">
        <f aca="false">IF(OR(AN149="",AO149=""),"",IF($F149="Maior Melhor",IF(AO149&gt;=AN149,"Sim","Não"),IF(AO149&lt;=AN149,"Sim","Não")))</f>
        <v>Não</v>
      </c>
      <c r="AR149" s="3" t="n">
        <v>0.679</v>
      </c>
      <c r="AS149" s="3" t="n">
        <v>0.65</v>
      </c>
      <c r="AT149" s="4" t="n">
        <f aca="false">IF(OR(AR149="",AS149=""),"",IFERROR(IF($K149="%",AS149-AR149,AS149/AR149-1),""))</f>
        <v>-0.029</v>
      </c>
      <c r="AU149" s="5" t="str">
        <f aca="false">IF(OR(AR149="",AS149=""),"",IF($F149="Maior Melhor",IF(AS149&gt;=AR149,"Sim","Não"),IF(AS149&lt;=AR149,"Sim","Não")))</f>
        <v>Não</v>
      </c>
      <c r="AV149" s="3" t="n">
        <v>0.679</v>
      </c>
      <c r="AW149" s="3" t="n">
        <v>0.669</v>
      </c>
      <c r="AX149" s="4" t="n">
        <f aca="false">IF(OR(AV149="",AW149=""),"",IFERROR(IF($K149="%",AW149-AV149,AW149/AV149-1),""))</f>
        <v>-0.01</v>
      </c>
      <c r="AY149" s="5" t="str">
        <f aca="false">IF(OR(AV149="",AW149=""),"",IF($F149="Maior Melhor",IF(AW149&gt;=AV149,"Sim","Não"),IF(AW149&lt;=AV149,"Sim","Não")))</f>
        <v>Não</v>
      </c>
      <c r="AZ149" s="3" t="n">
        <v>0.679</v>
      </c>
      <c r="BA149" s="3" t="n">
        <v>0.653</v>
      </c>
      <c r="BB149" s="4" t="n">
        <f aca="false">IF(OR(AZ149="",BA149=""),"",IFERROR(IF($K149="%",BA149-AZ149,BA149/AZ149-1),""))</f>
        <v>-0.026</v>
      </c>
      <c r="BC149" s="5" t="str">
        <f aca="false">IF(OR(AZ149="",BA149=""),"",IF($F149="Maior Melhor",IF(BA149&gt;=AZ149,"Sim","Não"),IF(BA149&lt;=AZ149,"Sim","Não")))</f>
        <v>Não</v>
      </c>
      <c r="BD149" s="3" t="n">
        <v>0.679</v>
      </c>
      <c r="BE149" s="3" t="n">
        <v>0.738</v>
      </c>
      <c r="BF149" s="4" t="n">
        <f aca="false">IF(OR(BD149="",BE149=""),"",IFERROR(IF($K149="%",BE149-BD149,BE149/BD149-1),""))</f>
        <v>0.0589999999999999</v>
      </c>
      <c r="BG149" s="5" t="str">
        <f aca="false">IF(OR(BD149="",BE149=""),"",IF($F149="Maior Melhor",IF(BE149&gt;=BD149,"Sim","Não"),IF(BE149&lt;=BD149,"Sim","Não")))</f>
        <v>Sim</v>
      </c>
      <c r="BH149" s="3" t="n">
        <v>0.679</v>
      </c>
      <c r="BI149" s="3" t="n">
        <v>0.668</v>
      </c>
      <c r="BJ149" s="4" t="n">
        <f aca="false">IF(OR(BH149="",BI149=""),"",IFERROR(IF($K149="%",BI149-BH149,BI149/BH149-1),""))</f>
        <v>-0.011</v>
      </c>
      <c r="BK149" s="5" t="str">
        <f aca="false">IF(OR(BH149="",BI149=""),"",IF($F149="Maior Melhor",IF(BI149&gt;=BH149,"Sim","Não"),IF(BI149&lt;=BH149,"Sim","Não")))</f>
        <v>Não</v>
      </c>
      <c r="BL149" s="6"/>
      <c r="BM149" s="6"/>
      <c r="BN149" s="4" t="str">
        <f aca="false">IF(OR(BL149="",BM149=""),"",IFERROR(IF($K149="%",BM149-BL149,BM149/BL149-1),""))</f>
        <v/>
      </c>
      <c r="BO149" s="5" t="str">
        <f aca="false">IF(OR(BL149="",BM149=""),"",IF($F149="Maior Melhor",IF(BM149&gt;=BL149,"Sim","Não"),IF(BM149&lt;=BL149,"Sim","Não")))</f>
        <v/>
      </c>
      <c r="BP149" s="6"/>
      <c r="BQ149" s="6"/>
      <c r="BR149" s="4" t="str">
        <f aca="false">IF(OR(BP149="",BQ149=""),"",IFERROR(IF($K149="%",BQ149-BP149,BQ149/BP149-1),""))</f>
        <v/>
      </c>
      <c r="BS149" s="5" t="str">
        <f aca="false">IF(OR(BP149="",BQ149=""),"",IF($F149="Maior Melhor",IF(BQ149&gt;=BP149,"Sim","Não"),IF(BQ149&lt;=BP149,"Sim","Não")))</f>
        <v/>
      </c>
      <c r="BT149" s="6"/>
      <c r="BU149" s="6"/>
      <c r="BV149" s="4" t="str">
        <f aca="false">IF(OR(BT149="",BU149=""),"",IFERROR(IF($K149="%",BU149-BT149,BU149/BT149-1),""))</f>
        <v/>
      </c>
      <c r="BW149" s="5" t="str">
        <f aca="false">IF(OR(BT149="",BU149=""),"",IF($F149="Maior Melhor",IF(BU149&gt;=BT149,"Sim","Não"),IF(BU149&lt;=BT149,"Sim","Não")))</f>
        <v/>
      </c>
      <c r="BX149" s="6"/>
      <c r="BY149" s="6"/>
      <c r="BZ149" s="4" t="str">
        <f aca="false">IF(OR(BX149="",BY149=""),"",IFERROR(IF($K149="%",BY149-BX149,BY149/BX149-1),""))</f>
        <v/>
      </c>
      <c r="CA149" s="5" t="str">
        <f aca="false">IF(OR(BX149="",BY149=""),"",IF($F149="Maior Melhor",IF(BY149&gt;=BX149,"Sim","Não"),IF(BY149&lt;=BX149,"Sim","Não")))</f>
        <v/>
      </c>
      <c r="CB149" s="6"/>
      <c r="CC149" s="6"/>
      <c r="CD149" s="4" t="str">
        <f aca="false">IF(OR(CB149="",CC149=""),"",IFERROR(IF($K149="%",CC149-CB149,CC149/CB149-1),""))</f>
        <v/>
      </c>
      <c r="CE149" s="5" t="str">
        <f aca="false">IF(OR(CB149="",CC149=""),"",IF($F149="Maior Melhor",IF(CC149&gt;=CB149,"Sim","Não"),IF(CC149&lt;=CB149,"Sim","Não")))</f>
        <v/>
      </c>
      <c r="CF149" s="6"/>
      <c r="CG149" s="6"/>
      <c r="CH149" s="4" t="str">
        <f aca="false">IF(OR(CF149="",CG149=""),"",IFERROR(IF($K149="%",CG149-CF149,CG149/CF149-1),""))</f>
        <v/>
      </c>
      <c r="CI149" s="5" t="str">
        <f aca="false">IF(OR(CF149="",CG149=""),"",IF($F149="Maior Melhor",IF(CG149&gt;=CF149,"Sim","Não"),IF(CG149&lt;=CF149,"Sim","Não")))</f>
        <v/>
      </c>
      <c r="CJ149" s="6"/>
      <c r="CK149" s="6"/>
      <c r="CL149" s="4" t="str">
        <f aca="false">IF(OR(CJ149="",CK149=""),"",IFERROR(IF($K149="%",CK149-CJ149,CK149/CJ149-1),""))</f>
        <v/>
      </c>
      <c r="CM149" s="5" t="str">
        <f aca="false">IF(OR(CJ149="",CK149=""),"",IF($F149="Maior Melhor",IF(CK149&gt;=CJ149,"Sim","Não"),IF(CK149&lt;=CJ149,"Sim","Não")))</f>
        <v/>
      </c>
      <c r="CN149" s="6"/>
      <c r="CO149" s="6"/>
      <c r="CP149" s="4" t="str">
        <f aca="false">IF(OR(CN149="",CO149=""),"",IFERROR(IF($K149="%",CO149-CN149,CO149/CN149-1),""))</f>
        <v/>
      </c>
      <c r="CQ149" s="5" t="str">
        <f aca="false">IF(OR(CN149="",CO149=""),"",IF($F149="Maior Melhor",IF(CO149&gt;=CN149,"Sim","Não"),IF(CO149&lt;=CN149,"Sim","Não")))</f>
        <v/>
      </c>
      <c r="CR149" s="2" t="s">
        <v>105</v>
      </c>
    </row>
    <row r="150" customFormat="false" ht="15" hidden="false" customHeight="false" outlineLevel="0" collapsed="false">
      <c r="A150" s="2" t="s">
        <v>96</v>
      </c>
      <c r="B150" s="2" t="s">
        <v>106</v>
      </c>
      <c r="C150" s="2" t="s">
        <v>111</v>
      </c>
      <c r="D150" s="2" t="s">
        <v>170</v>
      </c>
      <c r="E150" s="2" t="str">
        <f aca="false">C150&amp;D150</f>
        <v>UTD BARREIRASEfetividade Financeira do Corte (EFC) - UTDs</v>
      </c>
      <c r="F150" s="2" t="s">
        <v>100</v>
      </c>
      <c r="G150" s="2" t="s">
        <v>171</v>
      </c>
      <c r="H150" s="2" t="s">
        <v>102</v>
      </c>
      <c r="I150" s="2" t="s">
        <v>103</v>
      </c>
      <c r="J150" s="2" t="n">
        <v>1</v>
      </c>
      <c r="K150" s="2" t="s">
        <v>104</v>
      </c>
      <c r="L150" s="3" t="n">
        <v>0.702</v>
      </c>
      <c r="M150" s="3" t="n">
        <v>0.707</v>
      </c>
      <c r="N150" s="4" t="n">
        <f aca="false">IF(OR(L150="",M150=""),"",IFERROR(IF($K150="%",M150-L150,M150/L150-1),""))</f>
        <v>0.005</v>
      </c>
      <c r="O150" s="5" t="str">
        <f aca="false">IF(OR(L150="",M150=""),"",IF($F150="Maior Melhor",IF(M150&gt;=L150,"Sim","Não"),IF(M150&lt;=L150,"Sim","Não")))</f>
        <v>Sim</v>
      </c>
      <c r="P150" s="3" t="n">
        <v>0.702</v>
      </c>
      <c r="Q150" s="3" t="n">
        <v>0.776</v>
      </c>
      <c r="R150" s="4" t="n">
        <f aca="false">IF(OR(P150="",Q150=""),"",IFERROR(IF($K150="%",Q150-P150,Q150/P150-1),""))</f>
        <v>0.0740000000000001</v>
      </c>
      <c r="S150" s="5" t="str">
        <f aca="false">IF(OR(P150="",Q150=""),"",IF($F150="Maior Melhor",IF(Q150&gt;=P150,"Sim","Não"),IF(Q150&lt;=P150,"Sim","Não")))</f>
        <v>Sim</v>
      </c>
      <c r="T150" s="3" t="n">
        <v>0.702</v>
      </c>
      <c r="U150" s="3" t="n">
        <v>0.623</v>
      </c>
      <c r="V150" s="4" t="n">
        <f aca="false">IF(OR(T150="",U150=""),"",IFERROR(IF($K150="%",U150-T150,U150/T150-1),""))</f>
        <v>-0.079</v>
      </c>
      <c r="W150" s="5" t="str">
        <f aca="false">IF(OR(T150="",U150=""),"",IF($F150="Maior Melhor",IF(U150&gt;=T150,"Sim","Não"),IF(U150&lt;=T150,"Sim","Não")))</f>
        <v>Não</v>
      </c>
      <c r="X150" s="3" t="n">
        <v>0.702</v>
      </c>
      <c r="Y150" s="3" t="n">
        <v>0.735</v>
      </c>
      <c r="Z150" s="4" t="n">
        <f aca="false">IF(OR(X150="",Y150=""),"",IFERROR(IF($K150="%",Y150-X150,Y150/X150-1),""))</f>
        <v>0.033</v>
      </c>
      <c r="AA150" s="5" t="str">
        <f aca="false">IF(OR(X150="",Y150=""),"",IF($F150="Maior Melhor",IF(Y150&gt;=X150,"Sim","Não"),IF(Y150&lt;=X150,"Sim","Não")))</f>
        <v>Sim</v>
      </c>
      <c r="AB150" s="3" t="n">
        <v>0.702</v>
      </c>
      <c r="AC150" s="3" t="n">
        <v>0.709</v>
      </c>
      <c r="AD150" s="4" t="n">
        <f aca="false">IF(OR(AB150="",AC150=""),"",IFERROR(IF($K150="%",AC150-AB150,AC150/AB150-1),""))</f>
        <v>0.00700000000000001</v>
      </c>
      <c r="AE150" s="5" t="str">
        <f aca="false">IF(OR(AB150="",AC150=""),"",IF($F150="Maior Melhor",IF(AC150&gt;=AB150,"Sim","Não"),IF(AC150&lt;=AB150,"Sim","Não")))</f>
        <v>Sim</v>
      </c>
      <c r="AF150" s="3" t="n">
        <v>0.702</v>
      </c>
      <c r="AG150" s="3" t="n">
        <v>0.712</v>
      </c>
      <c r="AH150" s="4" t="n">
        <f aca="false">IF(OR(AF150="",AG150=""),"",IFERROR(IF($K150="%",AG150-AF150,AG150/AF150-1),""))</f>
        <v>0.01</v>
      </c>
      <c r="AI150" s="5" t="str">
        <f aca="false">IF(OR(AF150="",AG150=""),"",IF($F150="Maior Melhor",IF(AG150&gt;=AF150,"Sim","Não"),IF(AG150&lt;=AF150,"Sim","Não")))</f>
        <v>Sim</v>
      </c>
      <c r="AJ150" s="3" t="n">
        <v>0.702</v>
      </c>
      <c r="AK150" s="3" t="n">
        <v>0.71</v>
      </c>
      <c r="AL150" s="4" t="n">
        <f aca="false">IF(OR(AJ150="",AK150=""),"",IFERROR(IF($K150="%",AK150-AJ150,AK150/AJ150-1),""))</f>
        <v>0.00800000000000001</v>
      </c>
      <c r="AM150" s="5" t="str">
        <f aca="false">IF(OR(AJ150="",AK150=""),"",IF($F150="Maior Melhor",IF(AK150&gt;=AJ150,"Sim","Não"),IF(AK150&lt;=AJ150,"Sim","Não")))</f>
        <v>Sim</v>
      </c>
      <c r="AN150" s="3" t="n">
        <v>0.702</v>
      </c>
      <c r="AO150" s="3" t="n">
        <v>0.855</v>
      </c>
      <c r="AP150" s="4" t="n">
        <f aca="false">IF(OR(AN150="",AO150=""),"",IFERROR(IF($K150="%",AO150-AN150,AO150/AN150-1),""))</f>
        <v>0.153</v>
      </c>
      <c r="AQ150" s="5" t="str">
        <f aca="false">IF(OR(AN150="",AO150=""),"",IF($F150="Maior Melhor",IF(AO150&gt;=AN150,"Sim","Não"),IF(AO150&lt;=AN150,"Sim","Não")))</f>
        <v>Sim</v>
      </c>
      <c r="AR150" s="3" t="n">
        <v>0.702</v>
      </c>
      <c r="AS150" s="3" t="n">
        <v>0.735</v>
      </c>
      <c r="AT150" s="4" t="n">
        <f aca="false">IF(OR(AR150="",AS150=""),"",IFERROR(IF($K150="%",AS150-AR150,AS150/AR150-1),""))</f>
        <v>0.033</v>
      </c>
      <c r="AU150" s="5" t="str">
        <f aca="false">IF(OR(AR150="",AS150=""),"",IF($F150="Maior Melhor",IF(AS150&gt;=AR150,"Sim","Não"),IF(AS150&lt;=AR150,"Sim","Não")))</f>
        <v>Sim</v>
      </c>
      <c r="AV150" s="3" t="n">
        <v>0.702</v>
      </c>
      <c r="AW150" s="3" t="n">
        <v>0.707</v>
      </c>
      <c r="AX150" s="4" t="n">
        <f aca="false">IF(OR(AV150="",AW150=""),"",IFERROR(IF($K150="%",AW150-AV150,AW150/AV150-1),""))</f>
        <v>0.005</v>
      </c>
      <c r="AY150" s="5" t="str">
        <f aca="false">IF(OR(AV150="",AW150=""),"",IF($F150="Maior Melhor",IF(AW150&gt;=AV150,"Sim","Não"),IF(AW150&lt;=AV150,"Sim","Não")))</f>
        <v>Sim</v>
      </c>
      <c r="AZ150" s="3" t="n">
        <v>0.702</v>
      </c>
      <c r="BA150" s="3" t="n">
        <v>0.73</v>
      </c>
      <c r="BB150" s="4" t="n">
        <f aca="false">IF(OR(AZ150="",BA150=""),"",IFERROR(IF($K150="%",BA150-AZ150,BA150/AZ150-1),""))</f>
        <v>0.028</v>
      </c>
      <c r="BC150" s="5" t="str">
        <f aca="false">IF(OR(AZ150="",BA150=""),"",IF($F150="Maior Melhor",IF(BA150&gt;=AZ150,"Sim","Não"),IF(BA150&lt;=AZ150,"Sim","Não")))</f>
        <v>Sim</v>
      </c>
      <c r="BD150" s="3" t="n">
        <v>0.702</v>
      </c>
      <c r="BE150" s="3" t="n">
        <v>0.772</v>
      </c>
      <c r="BF150" s="4" t="n">
        <f aca="false">IF(OR(BD150="",BE150=""),"",IFERROR(IF($K150="%",BE150-BD150,BE150/BD150-1),""))</f>
        <v>0.0700000000000001</v>
      </c>
      <c r="BG150" s="5" t="str">
        <f aca="false">IF(OR(BD150="",BE150=""),"",IF($F150="Maior Melhor",IF(BE150&gt;=BD150,"Sim","Não"),IF(BE150&lt;=BD150,"Sim","Não")))</f>
        <v>Sim</v>
      </c>
      <c r="BH150" s="3" t="n">
        <v>0.702</v>
      </c>
      <c r="BI150" s="3" t="n">
        <v>0.738</v>
      </c>
      <c r="BJ150" s="4" t="n">
        <f aca="false">IF(OR(BH150="",BI150=""),"",IFERROR(IF($K150="%",BI150-BH150,BI150/BH150-1),""))</f>
        <v>0.036</v>
      </c>
      <c r="BK150" s="5" t="str">
        <f aca="false">IF(OR(BH150="",BI150=""),"",IF($F150="Maior Melhor",IF(BI150&gt;=BH150,"Sim","Não"),IF(BI150&lt;=BH150,"Sim","Não")))</f>
        <v>Sim</v>
      </c>
      <c r="BL150" s="6"/>
      <c r="BM150" s="6"/>
      <c r="BN150" s="4" t="str">
        <f aca="false">IF(OR(BL150="",BM150=""),"",IFERROR(IF($K150="%",BM150-BL150,BM150/BL150-1),""))</f>
        <v/>
      </c>
      <c r="BO150" s="5" t="str">
        <f aca="false">IF(OR(BL150="",BM150=""),"",IF($F150="Maior Melhor",IF(BM150&gt;=BL150,"Sim","Não"),IF(BM150&lt;=BL150,"Sim","Não")))</f>
        <v/>
      </c>
      <c r="BP150" s="6"/>
      <c r="BQ150" s="6"/>
      <c r="BR150" s="4" t="str">
        <f aca="false">IF(OR(BP150="",BQ150=""),"",IFERROR(IF($K150="%",BQ150-BP150,BQ150/BP150-1),""))</f>
        <v/>
      </c>
      <c r="BS150" s="5" t="str">
        <f aca="false">IF(OR(BP150="",BQ150=""),"",IF($F150="Maior Melhor",IF(BQ150&gt;=BP150,"Sim","Não"),IF(BQ150&lt;=BP150,"Sim","Não")))</f>
        <v/>
      </c>
      <c r="BT150" s="6"/>
      <c r="BU150" s="6"/>
      <c r="BV150" s="4" t="str">
        <f aca="false">IF(OR(BT150="",BU150=""),"",IFERROR(IF($K150="%",BU150-BT150,BU150/BT150-1),""))</f>
        <v/>
      </c>
      <c r="BW150" s="5" t="str">
        <f aca="false">IF(OR(BT150="",BU150=""),"",IF($F150="Maior Melhor",IF(BU150&gt;=BT150,"Sim","Não"),IF(BU150&lt;=BT150,"Sim","Não")))</f>
        <v/>
      </c>
      <c r="BX150" s="6"/>
      <c r="BY150" s="6"/>
      <c r="BZ150" s="4" t="str">
        <f aca="false">IF(OR(BX150="",BY150=""),"",IFERROR(IF($K150="%",BY150-BX150,BY150/BX150-1),""))</f>
        <v/>
      </c>
      <c r="CA150" s="5" t="str">
        <f aca="false">IF(OR(BX150="",BY150=""),"",IF($F150="Maior Melhor",IF(BY150&gt;=BX150,"Sim","Não"),IF(BY150&lt;=BX150,"Sim","Não")))</f>
        <v/>
      </c>
      <c r="CB150" s="6"/>
      <c r="CC150" s="6"/>
      <c r="CD150" s="4" t="str">
        <f aca="false">IF(OR(CB150="",CC150=""),"",IFERROR(IF($K150="%",CC150-CB150,CC150/CB150-1),""))</f>
        <v/>
      </c>
      <c r="CE150" s="5" t="str">
        <f aca="false">IF(OR(CB150="",CC150=""),"",IF($F150="Maior Melhor",IF(CC150&gt;=CB150,"Sim","Não"),IF(CC150&lt;=CB150,"Sim","Não")))</f>
        <v/>
      </c>
      <c r="CF150" s="6"/>
      <c r="CG150" s="6"/>
      <c r="CH150" s="4" t="str">
        <f aca="false">IF(OR(CF150="",CG150=""),"",IFERROR(IF($K150="%",CG150-CF150,CG150/CF150-1),""))</f>
        <v/>
      </c>
      <c r="CI150" s="5" t="str">
        <f aca="false">IF(OR(CF150="",CG150=""),"",IF($F150="Maior Melhor",IF(CG150&gt;=CF150,"Sim","Não"),IF(CG150&lt;=CF150,"Sim","Não")))</f>
        <v/>
      </c>
      <c r="CJ150" s="6"/>
      <c r="CK150" s="6"/>
      <c r="CL150" s="4" t="str">
        <f aca="false">IF(OR(CJ150="",CK150=""),"",IFERROR(IF($K150="%",CK150-CJ150,CK150/CJ150-1),""))</f>
        <v/>
      </c>
      <c r="CM150" s="5" t="str">
        <f aca="false">IF(OR(CJ150="",CK150=""),"",IF($F150="Maior Melhor",IF(CK150&gt;=CJ150,"Sim","Não"),IF(CK150&lt;=CJ150,"Sim","Não")))</f>
        <v/>
      </c>
      <c r="CN150" s="6"/>
      <c r="CO150" s="6"/>
      <c r="CP150" s="4" t="str">
        <f aca="false">IF(OR(CN150="",CO150=""),"",IFERROR(IF($K150="%",CO150-CN150,CO150/CN150-1),""))</f>
        <v/>
      </c>
      <c r="CQ150" s="5" t="str">
        <f aca="false">IF(OR(CN150="",CO150=""),"",IF($F150="Maior Melhor",IF(CO150&gt;=CN150,"Sim","Não"),IF(CO150&lt;=CN150,"Sim","Não")))</f>
        <v/>
      </c>
      <c r="CR150" s="2" t="s">
        <v>112</v>
      </c>
    </row>
    <row r="151" customFormat="false" ht="15" hidden="false" customHeight="false" outlineLevel="0" collapsed="false">
      <c r="A151" s="2" t="s">
        <v>96</v>
      </c>
      <c r="B151" s="2" t="s">
        <v>106</v>
      </c>
      <c r="C151" s="2" t="s">
        <v>113</v>
      </c>
      <c r="D151" s="2" t="s">
        <v>170</v>
      </c>
      <c r="E151" s="2" t="str">
        <f aca="false">C151&amp;D151</f>
        <v>UTD BOM JESUS DA LAPAEfetividade Financeira do Corte (EFC) - UTDs</v>
      </c>
      <c r="F151" s="2" t="s">
        <v>100</v>
      </c>
      <c r="G151" s="2" t="s">
        <v>171</v>
      </c>
      <c r="H151" s="2" t="s">
        <v>102</v>
      </c>
      <c r="I151" s="2" t="s">
        <v>103</v>
      </c>
      <c r="J151" s="2" t="n">
        <v>1</v>
      </c>
      <c r="K151" s="2" t="s">
        <v>104</v>
      </c>
      <c r="L151" s="3" t="n">
        <v>0.736</v>
      </c>
      <c r="M151" s="3" t="n">
        <v>0.659</v>
      </c>
      <c r="N151" s="4" t="n">
        <f aca="false">IF(OR(L151="",M151=""),"",IFERROR(IF($K151="%",M151-L151,M151/L151-1),""))</f>
        <v>-0.077</v>
      </c>
      <c r="O151" s="5" t="str">
        <f aca="false">IF(OR(L151="",M151=""),"",IF($F151="Maior Melhor",IF(M151&gt;=L151,"Sim","Não"),IF(M151&lt;=L151,"Sim","Não")))</f>
        <v>Não</v>
      </c>
      <c r="P151" s="3" t="n">
        <v>0.736</v>
      </c>
      <c r="Q151" s="3" t="n">
        <v>0.737</v>
      </c>
      <c r="R151" s="4" t="n">
        <f aca="false">IF(OR(P151="",Q151=""),"",IFERROR(IF($K151="%",Q151-P151,Q151/P151-1),""))</f>
        <v>0.001</v>
      </c>
      <c r="S151" s="5" t="str">
        <f aca="false">IF(OR(P151="",Q151=""),"",IF($F151="Maior Melhor",IF(Q151&gt;=P151,"Sim","Não"),IF(Q151&lt;=P151,"Sim","Não")))</f>
        <v>Sim</v>
      </c>
      <c r="T151" s="3" t="n">
        <v>0.736</v>
      </c>
      <c r="U151" s="3" t="n">
        <v>0.671</v>
      </c>
      <c r="V151" s="4" t="n">
        <f aca="false">IF(OR(T151="",U151=""),"",IFERROR(IF($K151="%",U151-T151,U151/T151-1),""))</f>
        <v>-0.065</v>
      </c>
      <c r="W151" s="5" t="str">
        <f aca="false">IF(OR(T151="",U151=""),"",IF($F151="Maior Melhor",IF(U151&gt;=T151,"Sim","Não"),IF(U151&lt;=T151,"Sim","Não")))</f>
        <v>Não</v>
      </c>
      <c r="X151" s="3" t="n">
        <v>0.736</v>
      </c>
      <c r="Y151" s="3" t="n">
        <v>0.805</v>
      </c>
      <c r="Z151" s="4" t="n">
        <f aca="false">IF(OR(X151="",Y151=""),"",IFERROR(IF($K151="%",Y151-X151,Y151/X151-1),""))</f>
        <v>0.0690000000000001</v>
      </c>
      <c r="AA151" s="5" t="str">
        <f aca="false">IF(OR(X151="",Y151=""),"",IF($F151="Maior Melhor",IF(Y151&gt;=X151,"Sim","Não"),IF(Y151&lt;=X151,"Sim","Não")))</f>
        <v>Sim</v>
      </c>
      <c r="AB151" s="3" t="n">
        <v>0.736</v>
      </c>
      <c r="AC151" s="3" t="n">
        <v>0.722</v>
      </c>
      <c r="AD151" s="4" t="n">
        <f aca="false">IF(OR(AB151="",AC151=""),"",IFERROR(IF($K151="%",AC151-AB151,AC151/AB151-1),""))</f>
        <v>-0.014</v>
      </c>
      <c r="AE151" s="5" t="str">
        <f aca="false">IF(OR(AB151="",AC151=""),"",IF($F151="Maior Melhor",IF(AC151&gt;=AB151,"Sim","Não"),IF(AC151&lt;=AB151,"Sim","Não")))</f>
        <v>Não</v>
      </c>
      <c r="AF151" s="3" t="n">
        <v>0.736</v>
      </c>
      <c r="AG151" s="3" t="n">
        <v>0.752</v>
      </c>
      <c r="AH151" s="4" t="n">
        <f aca="false">IF(OR(AF151="",AG151=""),"",IFERROR(IF($K151="%",AG151-AF151,AG151/AF151-1),""))</f>
        <v>0.016</v>
      </c>
      <c r="AI151" s="5" t="str">
        <f aca="false">IF(OR(AF151="",AG151=""),"",IF($F151="Maior Melhor",IF(AG151&gt;=AF151,"Sim","Não"),IF(AG151&lt;=AF151,"Sim","Não")))</f>
        <v>Sim</v>
      </c>
      <c r="AJ151" s="3" t="n">
        <v>0.736</v>
      </c>
      <c r="AK151" s="3" t="n">
        <v>0.729</v>
      </c>
      <c r="AL151" s="4" t="n">
        <f aca="false">IF(OR(AJ151="",AK151=""),"",IFERROR(IF($K151="%",AK151-AJ151,AK151/AJ151-1),""))</f>
        <v>-0.00700000000000001</v>
      </c>
      <c r="AM151" s="5" t="str">
        <f aca="false">IF(OR(AJ151="",AK151=""),"",IF($F151="Maior Melhor",IF(AK151&gt;=AJ151,"Sim","Não"),IF(AK151&lt;=AJ151,"Sim","Não")))</f>
        <v>Não</v>
      </c>
      <c r="AN151" s="3" t="n">
        <v>0.736</v>
      </c>
      <c r="AO151" s="3" t="n">
        <v>0.813</v>
      </c>
      <c r="AP151" s="4" t="n">
        <f aca="false">IF(OR(AN151="",AO151=""),"",IFERROR(IF($K151="%",AO151-AN151,AO151/AN151-1),""))</f>
        <v>0.077</v>
      </c>
      <c r="AQ151" s="5" t="str">
        <f aca="false">IF(OR(AN151="",AO151=""),"",IF($F151="Maior Melhor",IF(AO151&gt;=AN151,"Sim","Não"),IF(AO151&lt;=AN151,"Sim","Não")))</f>
        <v>Sim</v>
      </c>
      <c r="AR151" s="3" t="n">
        <v>0.736</v>
      </c>
      <c r="AS151" s="3" t="n">
        <v>0.748</v>
      </c>
      <c r="AT151" s="4" t="n">
        <f aca="false">IF(OR(AR151="",AS151=""),"",IFERROR(IF($K151="%",AS151-AR151,AS151/AR151-1),""))</f>
        <v>0.012</v>
      </c>
      <c r="AU151" s="5" t="str">
        <f aca="false">IF(OR(AR151="",AS151=""),"",IF($F151="Maior Melhor",IF(AS151&gt;=AR151,"Sim","Não"),IF(AS151&lt;=AR151,"Sim","Não")))</f>
        <v>Sim</v>
      </c>
      <c r="AV151" s="3" t="n">
        <v>0.736</v>
      </c>
      <c r="AW151" s="3" t="n">
        <v>0.932</v>
      </c>
      <c r="AX151" s="4" t="n">
        <f aca="false">IF(OR(AV151="",AW151=""),"",IFERROR(IF($K151="%",AW151-AV151,AW151/AV151-1),""))</f>
        <v>0.196</v>
      </c>
      <c r="AY151" s="5" t="str">
        <f aca="false">IF(OR(AV151="",AW151=""),"",IF($F151="Maior Melhor",IF(AW151&gt;=AV151,"Sim","Não"),IF(AW151&lt;=AV151,"Sim","Não")))</f>
        <v>Sim</v>
      </c>
      <c r="AZ151" s="3" t="n">
        <v>0.736</v>
      </c>
      <c r="BA151" s="3" t="n">
        <v>0.782</v>
      </c>
      <c r="BB151" s="4" t="n">
        <f aca="false">IF(OR(AZ151="",BA151=""),"",IFERROR(IF($K151="%",BA151-AZ151,BA151/AZ151-1),""))</f>
        <v>0.046</v>
      </c>
      <c r="BC151" s="5" t="str">
        <f aca="false">IF(OR(AZ151="",BA151=""),"",IF($F151="Maior Melhor",IF(BA151&gt;=AZ151,"Sim","Não"),IF(BA151&lt;=AZ151,"Sim","Não")))</f>
        <v>Sim</v>
      </c>
      <c r="BD151" s="3" t="n">
        <v>0.736</v>
      </c>
      <c r="BE151" s="3" t="n">
        <v>0.755</v>
      </c>
      <c r="BF151" s="4" t="n">
        <f aca="false">IF(OR(BD151="",BE151=""),"",IFERROR(IF($K151="%",BE151-BD151,BE151/BD151-1),""))</f>
        <v>0.019</v>
      </c>
      <c r="BG151" s="5" t="str">
        <f aca="false">IF(OR(BD151="",BE151=""),"",IF($F151="Maior Melhor",IF(BE151&gt;=BD151,"Sim","Não"),IF(BE151&lt;=BD151,"Sim","Não")))</f>
        <v>Sim</v>
      </c>
      <c r="BH151" s="3" t="n">
        <v>0.736</v>
      </c>
      <c r="BI151" s="3" t="n">
        <v>0.779</v>
      </c>
      <c r="BJ151" s="4" t="n">
        <f aca="false">IF(OR(BH151="",BI151=""),"",IFERROR(IF($K151="%",BI151-BH151,BI151/BH151-1),""))</f>
        <v>0.043</v>
      </c>
      <c r="BK151" s="5" t="str">
        <f aca="false">IF(OR(BH151="",BI151=""),"",IF($F151="Maior Melhor",IF(BI151&gt;=BH151,"Sim","Não"),IF(BI151&lt;=BH151,"Sim","Não")))</f>
        <v>Sim</v>
      </c>
      <c r="BL151" s="6"/>
      <c r="BM151" s="6"/>
      <c r="BN151" s="4" t="str">
        <f aca="false">IF(OR(BL151="",BM151=""),"",IFERROR(IF($K151="%",BM151-BL151,BM151/BL151-1),""))</f>
        <v/>
      </c>
      <c r="BO151" s="5" t="str">
        <f aca="false">IF(OR(BL151="",BM151=""),"",IF($F151="Maior Melhor",IF(BM151&gt;=BL151,"Sim","Não"),IF(BM151&lt;=BL151,"Sim","Não")))</f>
        <v/>
      </c>
      <c r="BP151" s="6"/>
      <c r="BQ151" s="6"/>
      <c r="BR151" s="4" t="str">
        <f aca="false">IF(OR(BP151="",BQ151=""),"",IFERROR(IF($K151="%",BQ151-BP151,BQ151/BP151-1),""))</f>
        <v/>
      </c>
      <c r="BS151" s="5" t="str">
        <f aca="false">IF(OR(BP151="",BQ151=""),"",IF($F151="Maior Melhor",IF(BQ151&gt;=BP151,"Sim","Não"),IF(BQ151&lt;=BP151,"Sim","Não")))</f>
        <v/>
      </c>
      <c r="BT151" s="6"/>
      <c r="BU151" s="6"/>
      <c r="BV151" s="4" t="str">
        <f aca="false">IF(OR(BT151="",BU151=""),"",IFERROR(IF($K151="%",BU151-BT151,BU151/BT151-1),""))</f>
        <v/>
      </c>
      <c r="BW151" s="5" t="str">
        <f aca="false">IF(OR(BT151="",BU151=""),"",IF($F151="Maior Melhor",IF(BU151&gt;=BT151,"Sim","Não"),IF(BU151&lt;=BT151,"Sim","Não")))</f>
        <v/>
      </c>
      <c r="BX151" s="6"/>
      <c r="BY151" s="6"/>
      <c r="BZ151" s="4" t="str">
        <f aca="false">IF(OR(BX151="",BY151=""),"",IFERROR(IF($K151="%",BY151-BX151,BY151/BX151-1),""))</f>
        <v/>
      </c>
      <c r="CA151" s="5" t="str">
        <f aca="false">IF(OR(BX151="",BY151=""),"",IF($F151="Maior Melhor",IF(BY151&gt;=BX151,"Sim","Não"),IF(BY151&lt;=BX151,"Sim","Não")))</f>
        <v/>
      </c>
      <c r="CB151" s="6"/>
      <c r="CC151" s="6"/>
      <c r="CD151" s="4" t="str">
        <f aca="false">IF(OR(CB151="",CC151=""),"",IFERROR(IF($K151="%",CC151-CB151,CC151/CB151-1),""))</f>
        <v/>
      </c>
      <c r="CE151" s="5" t="str">
        <f aca="false">IF(OR(CB151="",CC151=""),"",IF($F151="Maior Melhor",IF(CC151&gt;=CB151,"Sim","Não"),IF(CC151&lt;=CB151,"Sim","Não")))</f>
        <v/>
      </c>
      <c r="CF151" s="6"/>
      <c r="CG151" s="6"/>
      <c r="CH151" s="4" t="str">
        <f aca="false">IF(OR(CF151="",CG151=""),"",IFERROR(IF($K151="%",CG151-CF151,CG151/CF151-1),""))</f>
        <v/>
      </c>
      <c r="CI151" s="5" t="str">
        <f aca="false">IF(OR(CF151="",CG151=""),"",IF($F151="Maior Melhor",IF(CG151&gt;=CF151,"Sim","Não"),IF(CG151&lt;=CF151,"Sim","Não")))</f>
        <v/>
      </c>
      <c r="CJ151" s="6"/>
      <c r="CK151" s="6"/>
      <c r="CL151" s="4" t="str">
        <f aca="false">IF(OR(CJ151="",CK151=""),"",IFERROR(IF($K151="%",CK151-CJ151,CK151/CJ151-1),""))</f>
        <v/>
      </c>
      <c r="CM151" s="5" t="str">
        <f aca="false">IF(OR(CJ151="",CK151=""),"",IF($F151="Maior Melhor",IF(CK151&gt;=CJ151,"Sim","Não"),IF(CK151&lt;=CJ151,"Sim","Não")))</f>
        <v/>
      </c>
      <c r="CN151" s="6"/>
      <c r="CO151" s="6"/>
      <c r="CP151" s="4" t="str">
        <f aca="false">IF(OR(CN151="",CO151=""),"",IFERROR(IF($K151="%",CO151-CN151,CO151/CN151-1),""))</f>
        <v/>
      </c>
      <c r="CQ151" s="5" t="str">
        <f aca="false">IF(OR(CN151="",CO151=""),"",IF($F151="Maior Melhor",IF(CO151&gt;=CN151,"Sim","Não"),IF(CO151&lt;=CN151,"Sim","Não")))</f>
        <v/>
      </c>
      <c r="CR151" s="2" t="s">
        <v>114</v>
      </c>
    </row>
    <row r="152" customFormat="false" ht="15" hidden="false" customHeight="false" outlineLevel="0" collapsed="false">
      <c r="A152" s="2" t="s">
        <v>96</v>
      </c>
      <c r="B152" s="2" t="s">
        <v>108</v>
      </c>
      <c r="C152" s="2" t="s">
        <v>115</v>
      </c>
      <c r="D152" s="2" t="s">
        <v>170</v>
      </c>
      <c r="E152" s="2" t="str">
        <f aca="false">C152&amp;D152</f>
        <v>UTD BRUMADOEfetividade Financeira do Corte (EFC) - UTDs</v>
      </c>
      <c r="F152" s="2" t="s">
        <v>100</v>
      </c>
      <c r="G152" s="2" t="s">
        <v>171</v>
      </c>
      <c r="H152" s="2" t="s">
        <v>102</v>
      </c>
      <c r="I152" s="2" t="s">
        <v>103</v>
      </c>
      <c r="J152" s="2" t="n">
        <v>1</v>
      </c>
      <c r="K152" s="2" t="s">
        <v>104</v>
      </c>
      <c r="L152" s="3" t="n">
        <v>0.733</v>
      </c>
      <c r="M152" s="3" t="n">
        <v>0.721</v>
      </c>
      <c r="N152" s="4" t="n">
        <f aca="false">IF(OR(L152="",M152=""),"",IFERROR(IF($K152="%",M152-L152,M152/L152-1),""))</f>
        <v>-0.012</v>
      </c>
      <c r="O152" s="5" t="str">
        <f aca="false">IF(OR(L152="",M152=""),"",IF($F152="Maior Melhor",IF(M152&gt;=L152,"Sim","Não"),IF(M152&lt;=L152,"Sim","Não")))</f>
        <v>Não</v>
      </c>
      <c r="P152" s="3" t="n">
        <v>0.733</v>
      </c>
      <c r="Q152" s="3" t="n">
        <v>0.694</v>
      </c>
      <c r="R152" s="4" t="n">
        <f aca="false">IF(OR(P152="",Q152=""),"",IFERROR(IF($K152="%",Q152-P152,Q152/P152-1),""))</f>
        <v>-0.039</v>
      </c>
      <c r="S152" s="5" t="str">
        <f aca="false">IF(OR(P152="",Q152=""),"",IF($F152="Maior Melhor",IF(Q152&gt;=P152,"Sim","Não"),IF(Q152&lt;=P152,"Sim","Não")))</f>
        <v>Não</v>
      </c>
      <c r="T152" s="3" t="n">
        <v>0.733</v>
      </c>
      <c r="U152" s="3" t="n">
        <v>0.62</v>
      </c>
      <c r="V152" s="4" t="n">
        <f aca="false">IF(OR(T152="",U152=""),"",IFERROR(IF($K152="%",U152-T152,U152/T152-1),""))</f>
        <v>-0.113</v>
      </c>
      <c r="W152" s="5" t="str">
        <f aca="false">IF(OR(T152="",U152=""),"",IF($F152="Maior Melhor",IF(U152&gt;=T152,"Sim","Não"),IF(U152&lt;=T152,"Sim","Não")))</f>
        <v>Não</v>
      </c>
      <c r="X152" s="3" t="n">
        <v>0.733</v>
      </c>
      <c r="Y152" s="3" t="n">
        <v>0.691</v>
      </c>
      <c r="Z152" s="4" t="n">
        <f aca="false">IF(OR(X152="",Y152=""),"",IFERROR(IF($K152="%",Y152-X152,Y152/X152-1),""))</f>
        <v>-0.042</v>
      </c>
      <c r="AA152" s="5" t="str">
        <f aca="false">IF(OR(X152="",Y152=""),"",IF($F152="Maior Melhor",IF(Y152&gt;=X152,"Sim","Não"),IF(Y152&lt;=X152,"Sim","Não")))</f>
        <v>Não</v>
      </c>
      <c r="AB152" s="3" t="n">
        <v>0.733</v>
      </c>
      <c r="AC152" s="3" t="n">
        <v>0.682</v>
      </c>
      <c r="AD152" s="4" t="n">
        <f aca="false">IF(OR(AB152="",AC152=""),"",IFERROR(IF($K152="%",AC152-AB152,AC152/AB152-1),""))</f>
        <v>-0.0509999999999999</v>
      </c>
      <c r="AE152" s="5" t="str">
        <f aca="false">IF(OR(AB152="",AC152=""),"",IF($F152="Maior Melhor",IF(AC152&gt;=AB152,"Sim","Não"),IF(AC152&lt;=AB152,"Sim","Não")))</f>
        <v>Não</v>
      </c>
      <c r="AF152" s="3" t="n">
        <v>0.733</v>
      </c>
      <c r="AG152" s="3" t="n">
        <v>0.713</v>
      </c>
      <c r="AH152" s="4" t="n">
        <f aca="false">IF(OR(AF152="",AG152=""),"",IFERROR(IF($K152="%",AG152-AF152,AG152/AF152-1),""))</f>
        <v>-0.02</v>
      </c>
      <c r="AI152" s="5" t="str">
        <f aca="false">IF(OR(AF152="",AG152=""),"",IF($F152="Maior Melhor",IF(AG152&gt;=AF152,"Sim","Não"),IF(AG152&lt;=AF152,"Sim","Não")))</f>
        <v>Não</v>
      </c>
      <c r="AJ152" s="3" t="n">
        <v>0.733</v>
      </c>
      <c r="AK152" s="3" t="n">
        <v>0.689</v>
      </c>
      <c r="AL152" s="4" t="n">
        <f aca="false">IF(OR(AJ152="",AK152=""),"",IFERROR(IF($K152="%",AK152-AJ152,AK152/AJ152-1),""))</f>
        <v>-0.044</v>
      </c>
      <c r="AM152" s="5" t="str">
        <f aca="false">IF(OR(AJ152="",AK152=""),"",IF($F152="Maior Melhor",IF(AK152&gt;=AJ152,"Sim","Não"),IF(AK152&lt;=AJ152,"Sim","Não")))</f>
        <v>Não</v>
      </c>
      <c r="AN152" s="3" t="n">
        <v>0.733</v>
      </c>
      <c r="AO152" s="3" t="n">
        <v>0.692</v>
      </c>
      <c r="AP152" s="4" t="n">
        <f aca="false">IF(OR(AN152="",AO152=""),"",IFERROR(IF($K152="%",AO152-AN152,AO152/AN152-1),""))</f>
        <v>-0.041</v>
      </c>
      <c r="AQ152" s="5" t="str">
        <f aca="false">IF(OR(AN152="",AO152=""),"",IF($F152="Maior Melhor",IF(AO152&gt;=AN152,"Sim","Não"),IF(AO152&lt;=AN152,"Sim","Não")))</f>
        <v>Não</v>
      </c>
      <c r="AR152" s="3" t="n">
        <v>0.733</v>
      </c>
      <c r="AS152" s="3" t="n">
        <v>0.69</v>
      </c>
      <c r="AT152" s="4" t="n">
        <f aca="false">IF(OR(AR152="",AS152=""),"",IFERROR(IF($K152="%",AS152-AR152,AS152/AR152-1),""))</f>
        <v>-0.043</v>
      </c>
      <c r="AU152" s="5" t="str">
        <f aca="false">IF(OR(AR152="",AS152=""),"",IF($F152="Maior Melhor",IF(AS152&gt;=AR152,"Sim","Não"),IF(AS152&lt;=AR152,"Sim","Não")))</f>
        <v>Não</v>
      </c>
      <c r="AV152" s="3" t="n">
        <v>0.733</v>
      </c>
      <c r="AW152" s="3" t="n">
        <v>0.674</v>
      </c>
      <c r="AX152" s="4" t="n">
        <f aca="false">IF(OR(AV152="",AW152=""),"",IFERROR(IF($K152="%",AW152-AV152,AW152/AV152-1),""))</f>
        <v>-0.0589999999999999</v>
      </c>
      <c r="AY152" s="5" t="str">
        <f aca="false">IF(OR(AV152="",AW152=""),"",IF($F152="Maior Melhor",IF(AW152&gt;=AV152,"Sim","Não"),IF(AW152&lt;=AV152,"Sim","Não")))</f>
        <v>Não</v>
      </c>
      <c r="AZ152" s="3" t="n">
        <v>0.733</v>
      </c>
      <c r="BA152" s="3" t="n">
        <v>0.686</v>
      </c>
      <c r="BB152" s="4" t="n">
        <f aca="false">IF(OR(AZ152="",BA152=""),"",IFERROR(IF($K152="%",BA152-AZ152,BA152/AZ152-1),""))</f>
        <v>-0.0469999999999999</v>
      </c>
      <c r="BC152" s="5" t="str">
        <f aca="false">IF(OR(AZ152="",BA152=""),"",IF($F152="Maior Melhor",IF(BA152&gt;=AZ152,"Sim","Não"),IF(BA152&lt;=AZ152,"Sim","Não")))</f>
        <v>Não</v>
      </c>
      <c r="BD152" s="3" t="n">
        <v>0.733</v>
      </c>
      <c r="BE152" s="3" t="n">
        <v>0.806</v>
      </c>
      <c r="BF152" s="4" t="n">
        <f aca="false">IF(OR(BD152="",BE152=""),"",IFERROR(IF($K152="%",BE152-BD152,BE152/BD152-1),""))</f>
        <v>0.0730000000000001</v>
      </c>
      <c r="BG152" s="5" t="str">
        <f aca="false">IF(OR(BD152="",BE152=""),"",IF($F152="Maior Melhor",IF(BE152&gt;=BD152,"Sim","Não"),IF(BE152&lt;=BD152,"Sim","Não")))</f>
        <v>Sim</v>
      </c>
      <c r="BH152" s="3" t="n">
        <v>0.733</v>
      </c>
      <c r="BI152" s="3" t="n">
        <v>0.708</v>
      </c>
      <c r="BJ152" s="4" t="n">
        <f aca="false">IF(OR(BH152="",BI152=""),"",IFERROR(IF($K152="%",BI152-BH152,BI152/BH152-1),""))</f>
        <v>-0.025</v>
      </c>
      <c r="BK152" s="5" t="str">
        <f aca="false">IF(OR(BH152="",BI152=""),"",IF($F152="Maior Melhor",IF(BI152&gt;=BH152,"Sim","Não"),IF(BI152&lt;=BH152,"Sim","Não")))</f>
        <v>Não</v>
      </c>
      <c r="BL152" s="6"/>
      <c r="BM152" s="6"/>
      <c r="BN152" s="4" t="str">
        <f aca="false">IF(OR(BL152="",BM152=""),"",IFERROR(IF($K152="%",BM152-BL152,BM152/BL152-1),""))</f>
        <v/>
      </c>
      <c r="BO152" s="5" t="str">
        <f aca="false">IF(OR(BL152="",BM152=""),"",IF($F152="Maior Melhor",IF(BM152&gt;=BL152,"Sim","Não"),IF(BM152&lt;=BL152,"Sim","Não")))</f>
        <v/>
      </c>
      <c r="BP152" s="6"/>
      <c r="BQ152" s="6"/>
      <c r="BR152" s="4" t="str">
        <f aca="false">IF(OR(BP152="",BQ152=""),"",IFERROR(IF($K152="%",BQ152-BP152,BQ152/BP152-1),""))</f>
        <v/>
      </c>
      <c r="BS152" s="5" t="str">
        <f aca="false">IF(OR(BP152="",BQ152=""),"",IF($F152="Maior Melhor",IF(BQ152&gt;=BP152,"Sim","Não"),IF(BQ152&lt;=BP152,"Sim","Não")))</f>
        <v/>
      </c>
      <c r="BT152" s="6"/>
      <c r="BU152" s="6"/>
      <c r="BV152" s="4" t="str">
        <f aca="false">IF(OR(BT152="",BU152=""),"",IFERROR(IF($K152="%",BU152-BT152,BU152/BT152-1),""))</f>
        <v/>
      </c>
      <c r="BW152" s="5" t="str">
        <f aca="false">IF(OR(BT152="",BU152=""),"",IF($F152="Maior Melhor",IF(BU152&gt;=BT152,"Sim","Não"),IF(BU152&lt;=BT152,"Sim","Não")))</f>
        <v/>
      </c>
      <c r="BX152" s="6"/>
      <c r="BY152" s="6"/>
      <c r="BZ152" s="4" t="str">
        <f aca="false">IF(OR(BX152="",BY152=""),"",IFERROR(IF($K152="%",BY152-BX152,BY152/BX152-1),""))</f>
        <v/>
      </c>
      <c r="CA152" s="5" t="str">
        <f aca="false">IF(OR(BX152="",BY152=""),"",IF($F152="Maior Melhor",IF(BY152&gt;=BX152,"Sim","Não"),IF(BY152&lt;=BX152,"Sim","Não")))</f>
        <v/>
      </c>
      <c r="CB152" s="6"/>
      <c r="CC152" s="6"/>
      <c r="CD152" s="4" t="str">
        <f aca="false">IF(OR(CB152="",CC152=""),"",IFERROR(IF($K152="%",CC152-CB152,CC152/CB152-1),""))</f>
        <v/>
      </c>
      <c r="CE152" s="5" t="str">
        <f aca="false">IF(OR(CB152="",CC152=""),"",IF($F152="Maior Melhor",IF(CC152&gt;=CB152,"Sim","Não"),IF(CC152&lt;=CB152,"Sim","Não")))</f>
        <v/>
      </c>
      <c r="CF152" s="6"/>
      <c r="CG152" s="6"/>
      <c r="CH152" s="4" t="str">
        <f aca="false">IF(OR(CF152="",CG152=""),"",IFERROR(IF($K152="%",CG152-CF152,CG152/CF152-1),""))</f>
        <v/>
      </c>
      <c r="CI152" s="5" t="str">
        <f aca="false">IF(OR(CF152="",CG152=""),"",IF($F152="Maior Melhor",IF(CG152&gt;=CF152,"Sim","Não"),IF(CG152&lt;=CF152,"Sim","Não")))</f>
        <v/>
      </c>
      <c r="CJ152" s="6"/>
      <c r="CK152" s="6"/>
      <c r="CL152" s="4" t="str">
        <f aca="false">IF(OR(CJ152="",CK152=""),"",IFERROR(IF($K152="%",CK152-CJ152,CK152/CJ152-1),""))</f>
        <v/>
      </c>
      <c r="CM152" s="5" t="str">
        <f aca="false">IF(OR(CJ152="",CK152=""),"",IF($F152="Maior Melhor",IF(CK152&gt;=CJ152,"Sim","Não"),IF(CK152&lt;=CJ152,"Sim","Não")))</f>
        <v/>
      </c>
      <c r="CN152" s="6"/>
      <c r="CO152" s="6"/>
      <c r="CP152" s="4" t="str">
        <f aca="false">IF(OR(CN152="",CO152=""),"",IFERROR(IF($K152="%",CO152-CN152,CO152/CN152-1),""))</f>
        <v/>
      </c>
      <c r="CQ152" s="5" t="str">
        <f aca="false">IF(OR(CN152="",CO152=""),"",IF($F152="Maior Melhor",IF(CO152&gt;=CN152,"Sim","Não"),IF(CO152&lt;=CN152,"Sim","Não")))</f>
        <v/>
      </c>
      <c r="CR152" s="2" t="s">
        <v>105</v>
      </c>
    </row>
    <row r="153" customFormat="false" ht="15" hidden="false" customHeight="false" outlineLevel="0" collapsed="false">
      <c r="A153" s="2" t="s">
        <v>96</v>
      </c>
      <c r="B153" s="2" t="s">
        <v>108</v>
      </c>
      <c r="C153" s="2" t="s">
        <v>117</v>
      </c>
      <c r="D153" s="2" t="s">
        <v>170</v>
      </c>
      <c r="E153" s="2" t="str">
        <f aca="false">C153&amp;D153</f>
        <v>UTD GUANAMBIEfetividade Financeira do Corte (EFC) - UTDs</v>
      </c>
      <c r="F153" s="2" t="s">
        <v>100</v>
      </c>
      <c r="G153" s="2" t="s">
        <v>171</v>
      </c>
      <c r="H153" s="2" t="s">
        <v>102</v>
      </c>
      <c r="I153" s="2" t="s">
        <v>103</v>
      </c>
      <c r="J153" s="2" t="n">
        <v>1</v>
      </c>
      <c r="K153" s="2" t="s">
        <v>104</v>
      </c>
      <c r="L153" s="3" t="n">
        <v>0.739</v>
      </c>
      <c r="M153" s="3" t="n">
        <v>0.714</v>
      </c>
      <c r="N153" s="4" t="n">
        <f aca="false">IF(OR(L153="",M153=""),"",IFERROR(IF($K153="%",M153-L153,M153/L153-1),""))</f>
        <v>-0.025</v>
      </c>
      <c r="O153" s="5" t="str">
        <f aca="false">IF(OR(L153="",M153=""),"",IF($F153="Maior Melhor",IF(M153&gt;=L153,"Sim","Não"),IF(M153&lt;=L153,"Sim","Não")))</f>
        <v>Não</v>
      </c>
      <c r="P153" s="3" t="n">
        <v>0.739</v>
      </c>
      <c r="Q153" s="3" t="n">
        <v>0.732</v>
      </c>
      <c r="R153" s="4" t="n">
        <f aca="false">IF(OR(P153="",Q153=""),"",IFERROR(IF($K153="%",Q153-P153,Q153/P153-1),""))</f>
        <v>-0.00700000000000001</v>
      </c>
      <c r="S153" s="5" t="str">
        <f aca="false">IF(OR(P153="",Q153=""),"",IF($F153="Maior Melhor",IF(Q153&gt;=P153,"Sim","Não"),IF(Q153&lt;=P153,"Sim","Não")))</f>
        <v>Não</v>
      </c>
      <c r="T153" s="3" t="n">
        <v>0.739</v>
      </c>
      <c r="U153" s="3" t="n">
        <v>0.726</v>
      </c>
      <c r="V153" s="4" t="n">
        <f aca="false">IF(OR(T153="",U153=""),"",IFERROR(IF($K153="%",U153-T153,U153/T153-1),""))</f>
        <v>-0.013</v>
      </c>
      <c r="W153" s="5" t="str">
        <f aca="false">IF(OR(T153="",U153=""),"",IF($F153="Maior Melhor",IF(U153&gt;=T153,"Sim","Não"),IF(U153&lt;=T153,"Sim","Não")))</f>
        <v>Não</v>
      </c>
      <c r="X153" s="3" t="n">
        <v>0.739</v>
      </c>
      <c r="Y153" s="3" t="n">
        <v>0.728</v>
      </c>
      <c r="Z153" s="4" t="n">
        <f aca="false">IF(OR(X153="",Y153=""),"",IFERROR(IF($K153="%",Y153-X153,Y153/X153-1),""))</f>
        <v>-0.011</v>
      </c>
      <c r="AA153" s="5" t="str">
        <f aca="false">IF(OR(X153="",Y153=""),"",IF($F153="Maior Melhor",IF(Y153&gt;=X153,"Sim","Não"),IF(Y153&lt;=X153,"Sim","Não")))</f>
        <v>Não</v>
      </c>
      <c r="AB153" s="3" t="n">
        <v>0.739</v>
      </c>
      <c r="AC153" s="3" t="n">
        <v>0.725</v>
      </c>
      <c r="AD153" s="4" t="n">
        <f aca="false">IF(OR(AB153="",AC153=""),"",IFERROR(IF($K153="%",AC153-AB153,AC153/AB153-1),""))</f>
        <v>-0.014</v>
      </c>
      <c r="AE153" s="5" t="str">
        <f aca="false">IF(OR(AB153="",AC153=""),"",IF($F153="Maior Melhor",IF(AC153&gt;=AB153,"Sim","Não"),IF(AC153&lt;=AB153,"Sim","Não")))</f>
        <v>Não</v>
      </c>
      <c r="AF153" s="3" t="n">
        <v>0.739</v>
      </c>
      <c r="AG153" s="3" t="n">
        <v>0.709</v>
      </c>
      <c r="AH153" s="4" t="n">
        <f aca="false">IF(OR(AF153="",AG153=""),"",IFERROR(IF($K153="%",AG153-AF153,AG153/AF153-1),""))</f>
        <v>-0.03</v>
      </c>
      <c r="AI153" s="5" t="str">
        <f aca="false">IF(OR(AF153="",AG153=""),"",IF($F153="Maior Melhor",IF(AG153&gt;=AF153,"Sim","Não"),IF(AG153&lt;=AF153,"Sim","Não")))</f>
        <v>Não</v>
      </c>
      <c r="AJ153" s="3" t="n">
        <v>0.739</v>
      </c>
      <c r="AK153" s="3" t="n">
        <v>0.72</v>
      </c>
      <c r="AL153" s="4" t="n">
        <f aca="false">IF(OR(AJ153="",AK153=""),"",IFERROR(IF($K153="%",AK153-AJ153,AK153/AJ153-1),""))</f>
        <v>-0.019</v>
      </c>
      <c r="AM153" s="5" t="str">
        <f aca="false">IF(OR(AJ153="",AK153=""),"",IF($F153="Maior Melhor",IF(AK153&gt;=AJ153,"Sim","Não"),IF(AK153&lt;=AJ153,"Sim","Não")))</f>
        <v>Não</v>
      </c>
      <c r="AN153" s="3" t="n">
        <v>0.739</v>
      </c>
      <c r="AO153" s="3" t="n">
        <v>0.699</v>
      </c>
      <c r="AP153" s="4" t="n">
        <f aca="false">IF(OR(AN153="",AO153=""),"",IFERROR(IF($K153="%",AO153-AN153,AO153/AN153-1),""))</f>
        <v>-0.04</v>
      </c>
      <c r="AQ153" s="5" t="str">
        <f aca="false">IF(OR(AN153="",AO153=""),"",IF($F153="Maior Melhor",IF(AO153&gt;=AN153,"Sim","Não"),IF(AO153&lt;=AN153,"Sim","Não")))</f>
        <v>Não</v>
      </c>
      <c r="AR153" s="3" t="n">
        <v>0.739</v>
      </c>
      <c r="AS153" s="3" t="n">
        <v>0.715</v>
      </c>
      <c r="AT153" s="4" t="n">
        <f aca="false">IF(OR(AR153="",AS153=""),"",IFERROR(IF($K153="%",AS153-AR153,AS153/AR153-1),""))</f>
        <v>-0.024</v>
      </c>
      <c r="AU153" s="5" t="str">
        <f aca="false">IF(OR(AR153="",AS153=""),"",IF($F153="Maior Melhor",IF(AS153&gt;=AR153,"Sim","Não"),IF(AS153&lt;=AR153,"Sim","Não")))</f>
        <v>Não</v>
      </c>
      <c r="AV153" s="3" t="n">
        <v>0.739</v>
      </c>
      <c r="AW153" s="3" t="n">
        <v>0.69</v>
      </c>
      <c r="AX153" s="4" t="n">
        <f aca="false">IF(OR(AV153="",AW153=""),"",IFERROR(IF($K153="%",AW153-AV153,AW153/AV153-1),""))</f>
        <v>-0.049</v>
      </c>
      <c r="AY153" s="5" t="str">
        <f aca="false">IF(OR(AV153="",AW153=""),"",IF($F153="Maior Melhor",IF(AW153&gt;=AV153,"Sim","Não"),IF(AW153&lt;=AV153,"Sim","Não")))</f>
        <v>Não</v>
      </c>
      <c r="AZ153" s="3" t="n">
        <v>0.739</v>
      </c>
      <c r="BA153" s="3" t="n">
        <v>0.709</v>
      </c>
      <c r="BB153" s="4" t="n">
        <f aca="false">IF(OR(AZ153="",BA153=""),"",IFERROR(IF($K153="%",BA153-AZ153,BA153/AZ153-1),""))</f>
        <v>-0.03</v>
      </c>
      <c r="BC153" s="5" t="str">
        <f aca="false">IF(OR(AZ153="",BA153=""),"",IF($F153="Maior Melhor",IF(BA153&gt;=AZ153,"Sim","Não"),IF(BA153&lt;=AZ153,"Sim","Não")))</f>
        <v>Não</v>
      </c>
      <c r="BD153" s="3" t="n">
        <v>0.739</v>
      </c>
      <c r="BE153" s="3" t="n">
        <v>0.759</v>
      </c>
      <c r="BF153" s="4" t="n">
        <f aca="false">IF(OR(BD153="",BE153=""),"",IFERROR(IF($K153="%",BE153-BD153,BE153/BD153-1),""))</f>
        <v>0.02</v>
      </c>
      <c r="BG153" s="5" t="str">
        <f aca="false">IF(OR(BD153="",BE153=""),"",IF($F153="Maior Melhor",IF(BE153&gt;=BD153,"Sim","Não"),IF(BE153&lt;=BD153,"Sim","Não")))</f>
        <v>Sim</v>
      </c>
      <c r="BH153" s="3" t="n">
        <v>0.739</v>
      </c>
      <c r="BI153" s="3" t="n">
        <v>0.717</v>
      </c>
      <c r="BJ153" s="4" t="n">
        <f aca="false">IF(OR(BH153="",BI153=""),"",IFERROR(IF($K153="%",BI153-BH153,BI153/BH153-1),""))</f>
        <v>-0.022</v>
      </c>
      <c r="BK153" s="5" t="str">
        <f aca="false">IF(OR(BH153="",BI153=""),"",IF($F153="Maior Melhor",IF(BI153&gt;=BH153,"Sim","Não"),IF(BI153&lt;=BH153,"Sim","Não")))</f>
        <v>Não</v>
      </c>
      <c r="BL153" s="6"/>
      <c r="BM153" s="6"/>
      <c r="BN153" s="4" t="str">
        <f aca="false">IF(OR(BL153="",BM153=""),"",IFERROR(IF($K153="%",BM153-BL153,BM153/BL153-1),""))</f>
        <v/>
      </c>
      <c r="BO153" s="5" t="str">
        <f aca="false">IF(OR(BL153="",BM153=""),"",IF($F153="Maior Melhor",IF(BM153&gt;=BL153,"Sim","Não"),IF(BM153&lt;=BL153,"Sim","Não")))</f>
        <v/>
      </c>
      <c r="BP153" s="6"/>
      <c r="BQ153" s="6"/>
      <c r="BR153" s="4" t="str">
        <f aca="false">IF(OR(BP153="",BQ153=""),"",IFERROR(IF($K153="%",BQ153-BP153,BQ153/BP153-1),""))</f>
        <v/>
      </c>
      <c r="BS153" s="5" t="str">
        <f aca="false">IF(OR(BP153="",BQ153=""),"",IF($F153="Maior Melhor",IF(BQ153&gt;=BP153,"Sim","Não"),IF(BQ153&lt;=BP153,"Sim","Não")))</f>
        <v/>
      </c>
      <c r="BT153" s="6"/>
      <c r="BU153" s="6"/>
      <c r="BV153" s="4" t="str">
        <f aca="false">IF(OR(BT153="",BU153=""),"",IFERROR(IF($K153="%",BU153-BT153,BU153/BT153-1),""))</f>
        <v/>
      </c>
      <c r="BW153" s="5" t="str">
        <f aca="false">IF(OR(BT153="",BU153=""),"",IF($F153="Maior Melhor",IF(BU153&gt;=BT153,"Sim","Não"),IF(BU153&lt;=BT153,"Sim","Não")))</f>
        <v/>
      </c>
      <c r="BX153" s="6"/>
      <c r="BY153" s="6"/>
      <c r="BZ153" s="4" t="str">
        <f aca="false">IF(OR(BX153="",BY153=""),"",IFERROR(IF($K153="%",BY153-BX153,BY153/BX153-1),""))</f>
        <v/>
      </c>
      <c r="CA153" s="5" t="str">
        <f aca="false">IF(OR(BX153="",BY153=""),"",IF($F153="Maior Melhor",IF(BY153&gt;=BX153,"Sim","Não"),IF(BY153&lt;=BX153,"Sim","Não")))</f>
        <v/>
      </c>
      <c r="CB153" s="6"/>
      <c r="CC153" s="6"/>
      <c r="CD153" s="4" t="str">
        <f aca="false">IF(OR(CB153="",CC153=""),"",IFERROR(IF($K153="%",CC153-CB153,CC153/CB153-1),""))</f>
        <v/>
      </c>
      <c r="CE153" s="5" t="str">
        <f aca="false">IF(OR(CB153="",CC153=""),"",IF($F153="Maior Melhor",IF(CC153&gt;=CB153,"Sim","Não"),IF(CC153&lt;=CB153,"Sim","Não")))</f>
        <v/>
      </c>
      <c r="CF153" s="6"/>
      <c r="CG153" s="6"/>
      <c r="CH153" s="4" t="str">
        <f aca="false">IF(OR(CF153="",CG153=""),"",IFERROR(IF($K153="%",CG153-CF153,CG153/CF153-1),""))</f>
        <v/>
      </c>
      <c r="CI153" s="5" t="str">
        <f aca="false">IF(OR(CF153="",CG153=""),"",IF($F153="Maior Melhor",IF(CG153&gt;=CF153,"Sim","Não"),IF(CG153&lt;=CF153,"Sim","Não")))</f>
        <v/>
      </c>
      <c r="CJ153" s="6"/>
      <c r="CK153" s="6"/>
      <c r="CL153" s="4" t="str">
        <f aca="false">IF(OR(CJ153="",CK153=""),"",IFERROR(IF($K153="%",CK153-CJ153,CK153/CJ153-1),""))</f>
        <v/>
      </c>
      <c r="CM153" s="5" t="str">
        <f aca="false">IF(OR(CJ153="",CK153=""),"",IF($F153="Maior Melhor",IF(CK153&gt;=CJ153,"Sim","Não"),IF(CK153&lt;=CJ153,"Sim","Não")))</f>
        <v/>
      </c>
      <c r="CN153" s="6"/>
      <c r="CO153" s="6"/>
      <c r="CP153" s="4" t="str">
        <f aca="false">IF(OR(CN153="",CO153=""),"",IFERROR(IF($K153="%",CO153-CN153,CO153/CN153-1),""))</f>
        <v/>
      </c>
      <c r="CQ153" s="5" t="str">
        <f aca="false">IF(OR(CN153="",CO153=""),"",IF($F153="Maior Melhor",IF(CO153&gt;=CN153,"Sim","Não"),IF(CO153&lt;=CN153,"Sim","Não")))</f>
        <v/>
      </c>
      <c r="CR153" s="2" t="s">
        <v>105</v>
      </c>
    </row>
    <row r="154" customFormat="false" ht="15" hidden="false" customHeight="false" outlineLevel="0" collapsed="false">
      <c r="A154" s="2" t="s">
        <v>96</v>
      </c>
      <c r="B154" s="2" t="s">
        <v>106</v>
      </c>
      <c r="C154" s="2" t="s">
        <v>118</v>
      </c>
      <c r="D154" s="2" t="s">
        <v>170</v>
      </c>
      <c r="E154" s="2" t="str">
        <f aca="false">C154&amp;D154</f>
        <v>UTD IBOTIRAMAEfetividade Financeira do Corte (EFC) - UTDs</v>
      </c>
      <c r="F154" s="2" t="s">
        <v>100</v>
      </c>
      <c r="G154" s="2" t="s">
        <v>171</v>
      </c>
      <c r="H154" s="2" t="s">
        <v>119</v>
      </c>
      <c r="I154" s="2" t="s">
        <v>103</v>
      </c>
      <c r="J154" s="2" t="n">
        <v>1</v>
      </c>
      <c r="K154" s="2" t="s">
        <v>104</v>
      </c>
      <c r="L154" s="3" t="n">
        <v>0.727</v>
      </c>
      <c r="M154" s="3" t="n">
        <v>0.544</v>
      </c>
      <c r="N154" s="4" t="n">
        <f aca="false">IF(OR(L154="",M154=""),"",IFERROR(IF($K154="%",M154-L154,M154/L154-1),""))</f>
        <v>-0.183</v>
      </c>
      <c r="O154" s="5" t="str">
        <f aca="false">IF(OR(L154="",M154=""),"",IF($F154="Maior Melhor",IF(M154&gt;=L154,"Sim","Não"),IF(M154&lt;=L154,"Sim","Não")))</f>
        <v>Não</v>
      </c>
      <c r="P154" s="3" t="n">
        <v>0.727</v>
      </c>
      <c r="Q154" s="3" t="n">
        <v>0.323</v>
      </c>
      <c r="R154" s="4" t="n">
        <f aca="false">IF(OR(P154="",Q154=""),"",IFERROR(IF($K154="%",Q154-P154,Q154/P154-1),""))</f>
        <v>-0.404</v>
      </c>
      <c r="S154" s="5" t="str">
        <f aca="false">IF(OR(P154="",Q154=""),"",IF($F154="Maior Melhor",IF(Q154&gt;=P154,"Sim","Não"),IF(Q154&lt;=P154,"Sim","Não")))</f>
        <v>Não</v>
      </c>
      <c r="T154" s="3" t="n">
        <v>0.727</v>
      </c>
      <c r="U154" s="3" t="n">
        <v>0.751</v>
      </c>
      <c r="V154" s="4" t="n">
        <f aca="false">IF(OR(T154="",U154=""),"",IFERROR(IF($K154="%",U154-T154,U154/T154-1),""))</f>
        <v>0.024</v>
      </c>
      <c r="W154" s="5" t="str">
        <f aca="false">IF(OR(T154="",U154=""),"",IF($F154="Maior Melhor",IF(U154&gt;=T154,"Sim","Não"),IF(U154&lt;=T154,"Sim","Não")))</f>
        <v>Sim</v>
      </c>
      <c r="X154" s="3" t="n">
        <v>0.727</v>
      </c>
      <c r="Y154" s="3" t="n">
        <v>0.733</v>
      </c>
      <c r="Z154" s="4" t="n">
        <f aca="false">IF(OR(X154="",Y154=""),"",IFERROR(IF($K154="%",Y154-X154,Y154/X154-1),""))</f>
        <v>0.00600000000000001</v>
      </c>
      <c r="AA154" s="5" t="str">
        <f aca="false">IF(OR(X154="",Y154=""),"",IF($F154="Maior Melhor",IF(Y154&gt;=X154,"Sim","Não"),IF(Y154&lt;=X154,"Sim","Não")))</f>
        <v>Sim</v>
      </c>
      <c r="AB154" s="3" t="n">
        <v>0.727</v>
      </c>
      <c r="AC154" s="3" t="n">
        <v>0.567</v>
      </c>
      <c r="AD154" s="4" t="n">
        <f aca="false">IF(OR(AB154="",AC154=""),"",IFERROR(IF($K154="%",AC154-AB154,AC154/AB154-1),""))</f>
        <v>-0.16</v>
      </c>
      <c r="AE154" s="5" t="str">
        <f aca="false">IF(OR(AB154="",AC154=""),"",IF($F154="Maior Melhor",IF(AC154&gt;=AB154,"Sim","Não"),IF(AC154&lt;=AB154,"Sim","Não")))</f>
        <v>Não</v>
      </c>
      <c r="AF154" s="3" t="n">
        <v>0.727</v>
      </c>
      <c r="AG154" s="3" t="n">
        <v>0.598</v>
      </c>
      <c r="AH154" s="4" t="n">
        <f aca="false">IF(OR(AF154="",AG154=""),"",IFERROR(IF($K154="%",AG154-AF154,AG154/AF154-1),""))</f>
        <v>-0.129</v>
      </c>
      <c r="AI154" s="5" t="str">
        <f aca="false">IF(OR(AF154="",AG154=""),"",IF($F154="Maior Melhor",IF(AG154&gt;=AF154,"Sim","Não"),IF(AG154&lt;=AF154,"Sim","Não")))</f>
        <v>Não</v>
      </c>
      <c r="AJ154" s="3" t="n">
        <v>0.727</v>
      </c>
      <c r="AK154" s="3" t="n">
        <v>0.573</v>
      </c>
      <c r="AL154" s="4" t="n">
        <f aca="false">IF(OR(AJ154="",AK154=""),"",IFERROR(IF($K154="%",AK154-AJ154,AK154/AJ154-1),""))</f>
        <v>-0.154</v>
      </c>
      <c r="AM154" s="5" t="str">
        <f aca="false">IF(OR(AJ154="",AK154=""),"",IF($F154="Maior Melhor",IF(AK154&gt;=AJ154,"Sim","Não"),IF(AK154&lt;=AJ154,"Sim","Não")))</f>
        <v>Não</v>
      </c>
      <c r="AN154" s="3" t="n">
        <v>0.727</v>
      </c>
      <c r="AO154" s="3" t="n">
        <v>0.626</v>
      </c>
      <c r="AP154" s="4" t="n">
        <f aca="false">IF(OR(AN154="",AO154=""),"",IFERROR(IF($K154="%",AO154-AN154,AO154/AN154-1),""))</f>
        <v>-0.101</v>
      </c>
      <c r="AQ154" s="5" t="str">
        <f aca="false">IF(OR(AN154="",AO154=""),"",IF($F154="Maior Melhor",IF(AO154&gt;=AN154,"Sim","Não"),IF(AO154&lt;=AN154,"Sim","Não")))</f>
        <v>Não</v>
      </c>
      <c r="AR154" s="3" t="n">
        <v>0.727</v>
      </c>
      <c r="AS154" s="3" t="n">
        <v>0.584</v>
      </c>
      <c r="AT154" s="4" t="n">
        <f aca="false">IF(OR(AR154="",AS154=""),"",IFERROR(IF($K154="%",AS154-AR154,AS154/AR154-1),""))</f>
        <v>-0.143</v>
      </c>
      <c r="AU154" s="5" t="str">
        <f aca="false">IF(OR(AR154="",AS154=""),"",IF($F154="Maior Melhor",IF(AS154&gt;=AR154,"Sim","Não"),IF(AS154&lt;=AR154,"Sim","Não")))</f>
        <v>Não</v>
      </c>
      <c r="AV154" s="3" t="n">
        <v>0.727</v>
      </c>
      <c r="AW154" s="3" t="n">
        <v>0.659</v>
      </c>
      <c r="AX154" s="4" t="n">
        <f aca="false">IF(OR(AV154="",AW154=""),"",IFERROR(IF($K154="%",AW154-AV154,AW154/AV154-1),""))</f>
        <v>-0.068</v>
      </c>
      <c r="AY154" s="5" t="str">
        <f aca="false">IF(OR(AV154="",AW154=""),"",IF($F154="Maior Melhor",IF(AW154&gt;=AV154,"Sim","Não"),IF(AW154&lt;=AV154,"Sim","Não")))</f>
        <v>Não</v>
      </c>
      <c r="AZ154" s="3" t="n">
        <v>0.727</v>
      </c>
      <c r="BA154" s="3" t="n">
        <v>0.597</v>
      </c>
      <c r="BB154" s="4" t="n">
        <f aca="false">IF(OR(AZ154="",BA154=""),"",IFERROR(IF($K154="%",BA154-AZ154,BA154/AZ154-1),""))</f>
        <v>-0.13</v>
      </c>
      <c r="BC154" s="5" t="str">
        <f aca="false">IF(OR(AZ154="",BA154=""),"",IF($F154="Maior Melhor",IF(BA154&gt;=AZ154,"Sim","Não"),IF(BA154&lt;=AZ154,"Sim","Não")))</f>
        <v>Não</v>
      </c>
      <c r="BD154" s="3" t="n">
        <v>0.727</v>
      </c>
      <c r="BE154" s="3" t="n">
        <v>0.768</v>
      </c>
      <c r="BF154" s="4" t="n">
        <f aca="false">IF(OR(BD154="",BE154=""),"",IFERROR(IF($K154="%",BE154-BD154,BE154/BD154-1),""))</f>
        <v>0.041</v>
      </c>
      <c r="BG154" s="5" t="str">
        <f aca="false">IF(OR(BD154="",BE154=""),"",IF($F154="Maior Melhor",IF(BE154&gt;=BD154,"Sim","Não"),IF(BE154&lt;=BD154,"Sim","Não")))</f>
        <v>Sim</v>
      </c>
      <c r="BH154" s="3" t="n">
        <v>0.727</v>
      </c>
      <c r="BI154" s="3" t="n">
        <v>0.622</v>
      </c>
      <c r="BJ154" s="4" t="n">
        <f aca="false">IF(OR(BH154="",BI154=""),"",IFERROR(IF($K154="%",BI154-BH154,BI154/BH154-1),""))</f>
        <v>-0.105</v>
      </c>
      <c r="BK154" s="5" t="str">
        <f aca="false">IF(OR(BH154="",BI154=""),"",IF($F154="Maior Melhor",IF(BI154&gt;=BH154,"Sim","Não"),IF(BI154&lt;=BH154,"Sim","Não")))</f>
        <v>Não</v>
      </c>
      <c r="BL154" s="6"/>
      <c r="BM154" s="6"/>
      <c r="BN154" s="4" t="str">
        <f aca="false">IF(OR(BL154="",BM154=""),"",IFERROR(IF($K154="%",BM154-BL154,BM154/BL154-1),""))</f>
        <v/>
      </c>
      <c r="BO154" s="5" t="str">
        <f aca="false">IF(OR(BL154="",BM154=""),"",IF($F154="Maior Melhor",IF(BM154&gt;=BL154,"Sim","Não"),IF(BM154&lt;=BL154,"Sim","Não")))</f>
        <v/>
      </c>
      <c r="BP154" s="6"/>
      <c r="BQ154" s="6"/>
      <c r="BR154" s="4" t="str">
        <f aca="false">IF(OR(BP154="",BQ154=""),"",IFERROR(IF($K154="%",BQ154-BP154,BQ154/BP154-1),""))</f>
        <v/>
      </c>
      <c r="BS154" s="5" t="str">
        <f aca="false">IF(OR(BP154="",BQ154=""),"",IF($F154="Maior Melhor",IF(BQ154&gt;=BP154,"Sim","Não"),IF(BQ154&lt;=BP154,"Sim","Não")))</f>
        <v/>
      </c>
      <c r="BT154" s="6"/>
      <c r="BU154" s="6"/>
      <c r="BV154" s="4" t="str">
        <f aca="false">IF(OR(BT154="",BU154=""),"",IFERROR(IF($K154="%",BU154-BT154,BU154/BT154-1),""))</f>
        <v/>
      </c>
      <c r="BW154" s="5" t="str">
        <f aca="false">IF(OR(BT154="",BU154=""),"",IF($F154="Maior Melhor",IF(BU154&gt;=BT154,"Sim","Não"),IF(BU154&lt;=BT154,"Sim","Não")))</f>
        <v/>
      </c>
      <c r="BX154" s="6"/>
      <c r="BY154" s="6"/>
      <c r="BZ154" s="4" t="str">
        <f aca="false">IF(OR(BX154="",BY154=""),"",IFERROR(IF($K154="%",BY154-BX154,BY154/BX154-1),""))</f>
        <v/>
      </c>
      <c r="CA154" s="5" t="str">
        <f aca="false">IF(OR(BX154="",BY154=""),"",IF($F154="Maior Melhor",IF(BY154&gt;=BX154,"Sim","Não"),IF(BY154&lt;=BX154,"Sim","Não")))</f>
        <v/>
      </c>
      <c r="CB154" s="6"/>
      <c r="CC154" s="6"/>
      <c r="CD154" s="4" t="str">
        <f aca="false">IF(OR(CB154="",CC154=""),"",IFERROR(IF($K154="%",CC154-CB154,CC154/CB154-1),""))</f>
        <v/>
      </c>
      <c r="CE154" s="5" t="str">
        <f aca="false">IF(OR(CB154="",CC154=""),"",IF($F154="Maior Melhor",IF(CC154&gt;=CB154,"Sim","Não"),IF(CC154&lt;=CB154,"Sim","Não")))</f>
        <v/>
      </c>
      <c r="CF154" s="6"/>
      <c r="CG154" s="6"/>
      <c r="CH154" s="4" t="str">
        <f aca="false">IF(OR(CF154="",CG154=""),"",IFERROR(IF($K154="%",CG154-CF154,CG154/CF154-1),""))</f>
        <v/>
      </c>
      <c r="CI154" s="5" t="str">
        <f aca="false">IF(OR(CF154="",CG154=""),"",IF($F154="Maior Melhor",IF(CG154&gt;=CF154,"Sim","Não"),IF(CG154&lt;=CF154,"Sim","Não")))</f>
        <v/>
      </c>
      <c r="CJ154" s="6"/>
      <c r="CK154" s="6"/>
      <c r="CL154" s="4" t="str">
        <f aca="false">IF(OR(CJ154="",CK154=""),"",IFERROR(IF($K154="%",CK154-CJ154,CK154/CJ154-1),""))</f>
        <v/>
      </c>
      <c r="CM154" s="5" t="str">
        <f aca="false">IF(OR(CJ154="",CK154=""),"",IF($F154="Maior Melhor",IF(CK154&gt;=CJ154,"Sim","Não"),IF(CK154&lt;=CJ154,"Sim","Não")))</f>
        <v/>
      </c>
      <c r="CN154" s="6"/>
      <c r="CO154" s="6"/>
      <c r="CP154" s="4" t="str">
        <f aca="false">IF(OR(CN154="",CO154=""),"",IFERROR(IF($K154="%",CO154-CN154,CO154/CN154-1),""))</f>
        <v/>
      </c>
      <c r="CQ154" s="5" t="str">
        <f aca="false">IF(OR(CN154="",CO154=""),"",IF($F154="Maior Melhor",IF(CO154&gt;=CN154,"Sim","Não"),IF(CO154&lt;=CN154,"Sim","Não")))</f>
        <v/>
      </c>
      <c r="CR154" s="2" t="s">
        <v>134</v>
      </c>
    </row>
    <row r="155" customFormat="false" ht="15" hidden="false" customHeight="false" outlineLevel="0" collapsed="false">
      <c r="A155" s="2" t="s">
        <v>96</v>
      </c>
      <c r="B155" s="2" t="s">
        <v>97</v>
      </c>
      <c r="C155" s="2" t="s">
        <v>121</v>
      </c>
      <c r="D155" s="2" t="s">
        <v>170</v>
      </c>
      <c r="E155" s="2" t="str">
        <f aca="false">C155&amp;D155</f>
        <v>UTD IRECÊEfetividade Financeira do Corte (EFC) - UTDs</v>
      </c>
      <c r="F155" s="2" t="s">
        <v>100</v>
      </c>
      <c r="G155" s="2" t="s">
        <v>171</v>
      </c>
      <c r="H155" s="2" t="s">
        <v>102</v>
      </c>
      <c r="I155" s="2" t="s">
        <v>103</v>
      </c>
      <c r="J155" s="2" t="n">
        <v>1</v>
      </c>
      <c r="K155" s="2" t="s">
        <v>104</v>
      </c>
      <c r="L155" s="3" t="n">
        <v>0.545</v>
      </c>
      <c r="M155" s="3" t="n">
        <v>0.505</v>
      </c>
      <c r="N155" s="4" t="n">
        <f aca="false">IF(OR(L155="",M155=""),"",IFERROR(IF($K155="%",M155-L155,M155/L155-1),""))</f>
        <v>-0.04</v>
      </c>
      <c r="O155" s="5" t="str">
        <f aca="false">IF(OR(L155="",M155=""),"",IF($F155="Maior Melhor",IF(M155&gt;=L155,"Sim","Não"),IF(M155&lt;=L155,"Sim","Não")))</f>
        <v>Não</v>
      </c>
      <c r="P155" s="3" t="n">
        <v>0.545</v>
      </c>
      <c r="Q155" s="3" t="n">
        <v>0.555</v>
      </c>
      <c r="R155" s="4" t="n">
        <f aca="false">IF(OR(P155="",Q155=""),"",IFERROR(IF($K155="%",Q155-P155,Q155/P155-1),""))</f>
        <v>0.01</v>
      </c>
      <c r="S155" s="5" t="str">
        <f aca="false">IF(OR(P155="",Q155=""),"",IF($F155="Maior Melhor",IF(Q155&gt;=P155,"Sim","Não"),IF(Q155&lt;=P155,"Sim","Não")))</f>
        <v>Sim</v>
      </c>
      <c r="T155" s="3" t="n">
        <v>0.545</v>
      </c>
      <c r="U155" s="3" t="n">
        <v>0.518</v>
      </c>
      <c r="V155" s="4" t="n">
        <f aca="false">IF(OR(T155="",U155=""),"",IFERROR(IF($K155="%",U155-T155,U155/T155-1),""))</f>
        <v>-0.027</v>
      </c>
      <c r="W155" s="5" t="str">
        <f aca="false">IF(OR(T155="",U155=""),"",IF($F155="Maior Melhor",IF(U155&gt;=T155,"Sim","Não"),IF(U155&lt;=T155,"Sim","Não")))</f>
        <v>Não</v>
      </c>
      <c r="X155" s="3" t="n">
        <v>0.545</v>
      </c>
      <c r="Y155" s="3" t="n">
        <v>0.537</v>
      </c>
      <c r="Z155" s="4" t="n">
        <f aca="false">IF(OR(X155="",Y155=""),"",IFERROR(IF($K155="%",Y155-X155,Y155/X155-1),""))</f>
        <v>-0.00800000000000001</v>
      </c>
      <c r="AA155" s="5" t="str">
        <f aca="false">IF(OR(X155="",Y155=""),"",IF($F155="Maior Melhor",IF(Y155&gt;=X155,"Sim","Não"),IF(Y155&lt;=X155,"Sim","Não")))</f>
        <v>Não</v>
      </c>
      <c r="AB155" s="3" t="n">
        <v>0.545</v>
      </c>
      <c r="AC155" s="3" t="n">
        <v>0.528</v>
      </c>
      <c r="AD155" s="4" t="n">
        <f aca="false">IF(OR(AB155="",AC155=""),"",IFERROR(IF($K155="%",AC155-AB155,AC155/AB155-1),""))</f>
        <v>-0.017</v>
      </c>
      <c r="AE155" s="5" t="str">
        <f aca="false">IF(OR(AB155="",AC155=""),"",IF($F155="Maior Melhor",IF(AC155&gt;=AB155,"Sim","Não"),IF(AC155&lt;=AB155,"Sim","Não")))</f>
        <v>Não</v>
      </c>
      <c r="AF155" s="3" t="n">
        <v>0.545</v>
      </c>
      <c r="AG155" s="3" t="n">
        <v>0.606</v>
      </c>
      <c r="AH155" s="4" t="n">
        <f aca="false">IF(OR(AF155="",AG155=""),"",IFERROR(IF($K155="%",AG155-AF155,AG155/AF155-1),""))</f>
        <v>0.0609999999999999</v>
      </c>
      <c r="AI155" s="5" t="str">
        <f aca="false">IF(OR(AF155="",AG155=""),"",IF($F155="Maior Melhor",IF(AG155&gt;=AF155,"Sim","Não"),IF(AG155&lt;=AF155,"Sim","Não")))</f>
        <v>Sim</v>
      </c>
      <c r="AJ155" s="3" t="n">
        <v>0.545</v>
      </c>
      <c r="AK155" s="3" t="n">
        <v>0.546</v>
      </c>
      <c r="AL155" s="4" t="n">
        <f aca="false">IF(OR(AJ155="",AK155=""),"",IFERROR(IF($K155="%",AK155-AJ155,AK155/AJ155-1),""))</f>
        <v>0.001</v>
      </c>
      <c r="AM155" s="5" t="str">
        <f aca="false">IF(OR(AJ155="",AK155=""),"",IF($F155="Maior Melhor",IF(AK155&gt;=AJ155,"Sim","Não"),IF(AK155&lt;=AJ155,"Sim","Não")))</f>
        <v>Sim</v>
      </c>
      <c r="AN155" s="3" t="n">
        <v>0.545</v>
      </c>
      <c r="AO155" s="3" t="n">
        <v>0.548</v>
      </c>
      <c r="AP155" s="4" t="n">
        <f aca="false">IF(OR(AN155="",AO155=""),"",IFERROR(IF($K155="%",AO155-AN155,AO155/AN155-1),""))</f>
        <v>0.003</v>
      </c>
      <c r="AQ155" s="5" t="str">
        <f aca="false">IF(OR(AN155="",AO155=""),"",IF($F155="Maior Melhor",IF(AO155&gt;=AN155,"Sim","Não"),IF(AO155&lt;=AN155,"Sim","Não")))</f>
        <v>Sim</v>
      </c>
      <c r="AR155" s="3" t="n">
        <v>0.545</v>
      </c>
      <c r="AS155" s="3" t="n">
        <v>0.546</v>
      </c>
      <c r="AT155" s="4" t="n">
        <f aca="false">IF(OR(AR155="",AS155=""),"",IFERROR(IF($K155="%",AS155-AR155,AS155/AR155-1),""))</f>
        <v>0.001</v>
      </c>
      <c r="AU155" s="5" t="str">
        <f aca="false">IF(OR(AR155="",AS155=""),"",IF($F155="Maior Melhor",IF(AS155&gt;=AR155,"Sim","Não"),IF(AS155&lt;=AR155,"Sim","Não")))</f>
        <v>Sim</v>
      </c>
      <c r="AV155" s="3" t="n">
        <v>0.545</v>
      </c>
      <c r="AW155" s="3" t="n">
        <v>0.464</v>
      </c>
      <c r="AX155" s="4" t="n">
        <f aca="false">IF(OR(AV155="",AW155=""),"",IFERROR(IF($K155="%",AW155-AV155,AW155/AV155-1),""))</f>
        <v>-0.081</v>
      </c>
      <c r="AY155" s="5" t="str">
        <f aca="false">IF(OR(AV155="",AW155=""),"",IF($F155="Maior Melhor",IF(AW155&gt;=AV155,"Sim","Não"),IF(AW155&lt;=AV155,"Sim","Não")))</f>
        <v>Não</v>
      </c>
      <c r="AZ155" s="3" t="n">
        <v>0.545</v>
      </c>
      <c r="BA155" s="3" t="n">
        <v>0.53</v>
      </c>
      <c r="BB155" s="4" t="n">
        <f aca="false">IF(OR(AZ155="",BA155=""),"",IFERROR(IF($K155="%",BA155-AZ155,BA155/AZ155-1),""))</f>
        <v>-0.015</v>
      </c>
      <c r="BC155" s="5" t="str">
        <f aca="false">IF(OR(AZ155="",BA155=""),"",IF($F155="Maior Melhor",IF(BA155&gt;=AZ155,"Sim","Não"),IF(BA155&lt;=AZ155,"Sim","Não")))</f>
        <v>Não</v>
      </c>
      <c r="BD155" s="3" t="n">
        <v>0.545</v>
      </c>
      <c r="BE155" s="3" t="n">
        <v>0.534</v>
      </c>
      <c r="BF155" s="4" t="n">
        <f aca="false">IF(OR(BD155="",BE155=""),"",IFERROR(IF($K155="%",BE155-BD155,BE155/BD155-1),""))</f>
        <v>-0.011</v>
      </c>
      <c r="BG155" s="5" t="str">
        <f aca="false">IF(OR(BD155="",BE155=""),"",IF($F155="Maior Melhor",IF(BE155&gt;=BD155,"Sim","Não"),IF(BE155&lt;=BD155,"Sim","Não")))</f>
        <v>Não</v>
      </c>
      <c r="BH155" s="3" t="n">
        <v>0.545</v>
      </c>
      <c r="BI155" s="3" t="n">
        <v>0.53</v>
      </c>
      <c r="BJ155" s="4" t="n">
        <f aca="false">IF(OR(BH155="",BI155=""),"",IFERROR(IF($K155="%",BI155-BH155,BI155/BH155-1),""))</f>
        <v>-0.015</v>
      </c>
      <c r="BK155" s="5" t="str">
        <f aca="false">IF(OR(BH155="",BI155=""),"",IF($F155="Maior Melhor",IF(BI155&gt;=BH155,"Sim","Não"),IF(BI155&lt;=BH155,"Sim","Não")))</f>
        <v>Não</v>
      </c>
      <c r="BL155" s="6"/>
      <c r="BM155" s="6"/>
      <c r="BN155" s="4" t="str">
        <f aca="false">IF(OR(BL155="",BM155=""),"",IFERROR(IF($K155="%",BM155-BL155,BM155/BL155-1),""))</f>
        <v/>
      </c>
      <c r="BO155" s="5" t="str">
        <f aca="false">IF(OR(BL155="",BM155=""),"",IF($F155="Maior Melhor",IF(BM155&gt;=BL155,"Sim","Não"),IF(BM155&lt;=BL155,"Sim","Não")))</f>
        <v/>
      </c>
      <c r="BP155" s="6"/>
      <c r="BQ155" s="6"/>
      <c r="BR155" s="4" t="str">
        <f aca="false">IF(OR(BP155="",BQ155=""),"",IFERROR(IF($K155="%",BQ155-BP155,BQ155/BP155-1),""))</f>
        <v/>
      </c>
      <c r="BS155" s="5" t="str">
        <f aca="false">IF(OR(BP155="",BQ155=""),"",IF($F155="Maior Melhor",IF(BQ155&gt;=BP155,"Sim","Não"),IF(BQ155&lt;=BP155,"Sim","Não")))</f>
        <v/>
      </c>
      <c r="BT155" s="6"/>
      <c r="BU155" s="6"/>
      <c r="BV155" s="4" t="str">
        <f aca="false">IF(OR(BT155="",BU155=""),"",IFERROR(IF($K155="%",BU155-BT155,BU155/BT155-1),""))</f>
        <v/>
      </c>
      <c r="BW155" s="5" t="str">
        <f aca="false">IF(OR(BT155="",BU155=""),"",IF($F155="Maior Melhor",IF(BU155&gt;=BT155,"Sim","Não"),IF(BU155&lt;=BT155,"Sim","Não")))</f>
        <v/>
      </c>
      <c r="BX155" s="6"/>
      <c r="BY155" s="6"/>
      <c r="BZ155" s="4" t="str">
        <f aca="false">IF(OR(BX155="",BY155=""),"",IFERROR(IF($K155="%",BY155-BX155,BY155/BX155-1),""))</f>
        <v/>
      </c>
      <c r="CA155" s="5" t="str">
        <f aca="false">IF(OR(BX155="",BY155=""),"",IF($F155="Maior Melhor",IF(BY155&gt;=BX155,"Sim","Não"),IF(BY155&lt;=BX155,"Sim","Não")))</f>
        <v/>
      </c>
      <c r="CB155" s="6"/>
      <c r="CC155" s="6"/>
      <c r="CD155" s="4" t="str">
        <f aca="false">IF(OR(CB155="",CC155=""),"",IFERROR(IF($K155="%",CC155-CB155,CC155/CB155-1),""))</f>
        <v/>
      </c>
      <c r="CE155" s="5" t="str">
        <f aca="false">IF(OR(CB155="",CC155=""),"",IF($F155="Maior Melhor",IF(CC155&gt;=CB155,"Sim","Não"),IF(CC155&lt;=CB155,"Sim","Não")))</f>
        <v/>
      </c>
      <c r="CF155" s="6"/>
      <c r="CG155" s="6"/>
      <c r="CH155" s="4" t="str">
        <f aca="false">IF(OR(CF155="",CG155=""),"",IFERROR(IF($K155="%",CG155-CF155,CG155/CF155-1),""))</f>
        <v/>
      </c>
      <c r="CI155" s="5" t="str">
        <f aca="false">IF(OR(CF155="",CG155=""),"",IF($F155="Maior Melhor",IF(CG155&gt;=CF155,"Sim","Não"),IF(CG155&lt;=CF155,"Sim","Não")))</f>
        <v/>
      </c>
      <c r="CJ155" s="6"/>
      <c r="CK155" s="6"/>
      <c r="CL155" s="4" t="str">
        <f aca="false">IF(OR(CJ155="",CK155=""),"",IFERROR(IF($K155="%",CK155-CJ155,CK155/CJ155-1),""))</f>
        <v/>
      </c>
      <c r="CM155" s="5" t="str">
        <f aca="false">IF(OR(CJ155="",CK155=""),"",IF($F155="Maior Melhor",IF(CK155&gt;=CJ155,"Sim","Não"),IF(CK155&lt;=CJ155,"Sim","Não")))</f>
        <v/>
      </c>
      <c r="CN155" s="6"/>
      <c r="CO155" s="6"/>
      <c r="CP155" s="4" t="str">
        <f aca="false">IF(OR(CN155="",CO155=""),"",IFERROR(IF($K155="%",CO155-CN155,CO155/CN155-1),""))</f>
        <v/>
      </c>
      <c r="CQ155" s="5" t="str">
        <f aca="false">IF(OR(CN155="",CO155=""),"",IF($F155="Maior Melhor",IF(CO155&gt;=CN155,"Sim","Não"),IF(CO155&lt;=CN155,"Sim","Não")))</f>
        <v/>
      </c>
      <c r="CR155" s="2" t="s">
        <v>105</v>
      </c>
    </row>
    <row r="156" customFormat="false" ht="15" hidden="false" customHeight="false" outlineLevel="0" collapsed="false">
      <c r="A156" s="2" t="s">
        <v>96</v>
      </c>
      <c r="B156" s="2" t="s">
        <v>97</v>
      </c>
      <c r="C156" s="2" t="s">
        <v>122</v>
      </c>
      <c r="D156" s="2" t="s">
        <v>170</v>
      </c>
      <c r="E156" s="2" t="str">
        <f aca="false">C156&amp;D156</f>
        <v>UTD ITABERABAEfetividade Financeira do Corte (EFC) - UTDs</v>
      </c>
      <c r="F156" s="2" t="s">
        <v>100</v>
      </c>
      <c r="G156" s="2" t="s">
        <v>171</v>
      </c>
      <c r="H156" s="2" t="s">
        <v>102</v>
      </c>
      <c r="I156" s="2" t="s">
        <v>103</v>
      </c>
      <c r="J156" s="2" t="n">
        <v>1</v>
      </c>
      <c r="K156" s="2" t="s">
        <v>104</v>
      </c>
      <c r="L156" s="3" t="n">
        <v>0.706</v>
      </c>
      <c r="M156" s="3" t="n">
        <v>0.633</v>
      </c>
      <c r="N156" s="4" t="n">
        <f aca="false">IF(OR(L156="",M156=""),"",IFERROR(IF($K156="%",M156-L156,M156/L156-1),""))</f>
        <v>-0.073</v>
      </c>
      <c r="O156" s="5" t="str">
        <f aca="false">IF(OR(L156="",M156=""),"",IF($F156="Maior Melhor",IF(M156&gt;=L156,"Sim","Não"),IF(M156&lt;=L156,"Sim","Não")))</f>
        <v>Não</v>
      </c>
      <c r="P156" s="3" t="n">
        <v>0.706</v>
      </c>
      <c r="Q156" s="3" t="n">
        <v>0.589</v>
      </c>
      <c r="R156" s="4" t="n">
        <f aca="false">IF(OR(P156="",Q156=""),"",IFERROR(IF($K156="%",Q156-P156,Q156/P156-1),""))</f>
        <v>-0.117</v>
      </c>
      <c r="S156" s="5" t="str">
        <f aca="false">IF(OR(P156="",Q156=""),"",IF($F156="Maior Melhor",IF(Q156&gt;=P156,"Sim","Não"),IF(Q156&lt;=P156,"Sim","Não")))</f>
        <v>Não</v>
      </c>
      <c r="T156" s="3" t="n">
        <v>0.706</v>
      </c>
      <c r="U156" s="3" t="n">
        <v>0.338</v>
      </c>
      <c r="V156" s="4" t="n">
        <f aca="false">IF(OR(T156="",U156=""),"",IFERROR(IF($K156="%",U156-T156,U156/T156-1),""))</f>
        <v>-0.368</v>
      </c>
      <c r="W156" s="5" t="str">
        <f aca="false">IF(OR(T156="",U156=""),"",IF($F156="Maior Melhor",IF(U156&gt;=T156,"Sim","Não"),IF(U156&lt;=T156,"Sim","Não")))</f>
        <v>Não</v>
      </c>
      <c r="X156" s="3" t="n">
        <v>0.706</v>
      </c>
      <c r="Y156" s="3" t="n">
        <v>0.825</v>
      </c>
      <c r="Z156" s="4" t="n">
        <f aca="false">IF(OR(X156="",Y156=""),"",IFERROR(IF($K156="%",Y156-X156,Y156/X156-1),""))</f>
        <v>0.119</v>
      </c>
      <c r="AA156" s="5" t="str">
        <f aca="false">IF(OR(X156="",Y156=""),"",IF($F156="Maior Melhor",IF(Y156&gt;=X156,"Sim","Não"),IF(Y156&lt;=X156,"Sim","Não")))</f>
        <v>Sim</v>
      </c>
      <c r="AB156" s="3" t="n">
        <v>0.706</v>
      </c>
      <c r="AC156" s="3" t="n">
        <v>0.516</v>
      </c>
      <c r="AD156" s="4" t="n">
        <f aca="false">IF(OR(AB156="",AC156=""),"",IFERROR(IF($K156="%",AC156-AB156,AC156/AB156-1),""))</f>
        <v>-0.19</v>
      </c>
      <c r="AE156" s="5" t="str">
        <f aca="false">IF(OR(AB156="",AC156=""),"",IF($F156="Maior Melhor",IF(AC156&gt;=AB156,"Sim","Não"),IF(AC156&lt;=AB156,"Sim","Não")))</f>
        <v>Não</v>
      </c>
      <c r="AF156" s="3" t="n">
        <v>0.706</v>
      </c>
      <c r="AG156" s="3" t="n">
        <v>0.693</v>
      </c>
      <c r="AH156" s="4" t="n">
        <f aca="false">IF(OR(AF156="",AG156=""),"",IFERROR(IF($K156="%",AG156-AF156,AG156/AF156-1),""))</f>
        <v>-0.013</v>
      </c>
      <c r="AI156" s="5" t="str">
        <f aca="false">IF(OR(AF156="",AG156=""),"",IF($F156="Maior Melhor",IF(AG156&gt;=AF156,"Sim","Não"),IF(AG156&lt;=AF156,"Sim","Não")))</f>
        <v>Não</v>
      </c>
      <c r="AJ156" s="3" t="n">
        <v>0.706</v>
      </c>
      <c r="AK156" s="3" t="n">
        <v>0.554</v>
      </c>
      <c r="AL156" s="4" t="n">
        <f aca="false">IF(OR(AJ156="",AK156=""),"",IFERROR(IF($K156="%",AK156-AJ156,AK156/AJ156-1),""))</f>
        <v>-0.152</v>
      </c>
      <c r="AM156" s="5" t="str">
        <f aca="false">IF(OR(AJ156="",AK156=""),"",IF($F156="Maior Melhor",IF(AK156&gt;=AJ156,"Sim","Não"),IF(AK156&lt;=AJ156,"Sim","Não")))</f>
        <v>Não</v>
      </c>
      <c r="AN156" s="3" t="n">
        <v>0.706</v>
      </c>
      <c r="AO156" s="3" t="n">
        <v>0.726</v>
      </c>
      <c r="AP156" s="4" t="n">
        <f aca="false">IF(OR(AN156="",AO156=""),"",IFERROR(IF($K156="%",AO156-AN156,AO156/AN156-1),""))</f>
        <v>0.02</v>
      </c>
      <c r="AQ156" s="5" t="str">
        <f aca="false">IF(OR(AN156="",AO156=""),"",IF($F156="Maior Melhor",IF(AO156&gt;=AN156,"Sim","Não"),IF(AO156&lt;=AN156,"Sim","Não")))</f>
        <v>Sim</v>
      </c>
      <c r="AR156" s="3" t="n">
        <v>0.706</v>
      </c>
      <c r="AS156" s="3" t="n">
        <v>0.592</v>
      </c>
      <c r="AT156" s="4" t="n">
        <f aca="false">IF(OR(AR156="",AS156=""),"",IFERROR(IF($K156="%",AS156-AR156,AS156/AR156-1),""))</f>
        <v>-0.114</v>
      </c>
      <c r="AU156" s="5" t="str">
        <f aca="false">IF(OR(AR156="",AS156=""),"",IF($F156="Maior Melhor",IF(AS156&gt;=AR156,"Sim","Não"),IF(AS156&lt;=AR156,"Sim","Não")))</f>
        <v>Não</v>
      </c>
      <c r="AV156" s="3" t="n">
        <v>0.706</v>
      </c>
      <c r="AW156" s="3" t="n">
        <v>0.684</v>
      </c>
      <c r="AX156" s="4" t="n">
        <f aca="false">IF(OR(AV156="",AW156=""),"",IFERROR(IF($K156="%",AW156-AV156,AW156/AV156-1),""))</f>
        <v>-0.0219999999999999</v>
      </c>
      <c r="AY156" s="5" t="str">
        <f aca="false">IF(OR(AV156="",AW156=""),"",IF($F156="Maior Melhor",IF(AW156&gt;=AV156,"Sim","Não"),IF(AW156&lt;=AV156,"Sim","Não")))</f>
        <v>Não</v>
      </c>
      <c r="AZ156" s="3" t="n">
        <v>0.706</v>
      </c>
      <c r="BA156" s="3" t="n">
        <v>0.606</v>
      </c>
      <c r="BB156" s="4" t="n">
        <f aca="false">IF(OR(AZ156="",BA156=""),"",IFERROR(IF($K156="%",BA156-AZ156,BA156/AZ156-1),""))</f>
        <v>-0.1</v>
      </c>
      <c r="BC156" s="5" t="str">
        <f aca="false">IF(OR(AZ156="",BA156=""),"",IF($F156="Maior Melhor",IF(BA156&gt;=AZ156,"Sim","Não"),IF(BA156&lt;=AZ156,"Sim","Não")))</f>
        <v>Não</v>
      </c>
      <c r="BD156" s="3" t="n">
        <v>0.706</v>
      </c>
      <c r="BE156" s="3" t="n">
        <v>0.802</v>
      </c>
      <c r="BF156" s="4" t="n">
        <f aca="false">IF(OR(BD156="",BE156=""),"",IFERROR(IF($K156="%",BE156-BD156,BE156/BD156-1),""))</f>
        <v>0.0960000000000001</v>
      </c>
      <c r="BG156" s="5" t="str">
        <f aca="false">IF(OR(BD156="",BE156=""),"",IF($F156="Maior Melhor",IF(BE156&gt;=BD156,"Sim","Não"),IF(BE156&lt;=BD156,"Sim","Não")))</f>
        <v>Sim</v>
      </c>
      <c r="BH156" s="3" t="n">
        <v>0.706</v>
      </c>
      <c r="BI156" s="3" t="n">
        <v>0.632</v>
      </c>
      <c r="BJ156" s="4" t="n">
        <f aca="false">IF(OR(BH156="",BI156=""),"",IFERROR(IF($K156="%",BI156-BH156,BI156/BH156-1),""))</f>
        <v>-0.074</v>
      </c>
      <c r="BK156" s="5" t="str">
        <f aca="false">IF(OR(BH156="",BI156=""),"",IF($F156="Maior Melhor",IF(BI156&gt;=BH156,"Sim","Não"),IF(BI156&lt;=BH156,"Sim","Não")))</f>
        <v>Não</v>
      </c>
      <c r="BL156" s="6"/>
      <c r="BM156" s="6"/>
      <c r="BN156" s="4" t="str">
        <f aca="false">IF(OR(BL156="",BM156=""),"",IFERROR(IF($K156="%",BM156-BL156,BM156/BL156-1),""))</f>
        <v/>
      </c>
      <c r="BO156" s="5" t="str">
        <f aca="false">IF(OR(BL156="",BM156=""),"",IF($F156="Maior Melhor",IF(BM156&gt;=BL156,"Sim","Não"),IF(BM156&lt;=BL156,"Sim","Não")))</f>
        <v/>
      </c>
      <c r="BP156" s="6"/>
      <c r="BQ156" s="6"/>
      <c r="BR156" s="4" t="str">
        <f aca="false">IF(OR(BP156="",BQ156=""),"",IFERROR(IF($K156="%",BQ156-BP156,BQ156/BP156-1),""))</f>
        <v/>
      </c>
      <c r="BS156" s="5" t="str">
        <f aca="false">IF(OR(BP156="",BQ156=""),"",IF($F156="Maior Melhor",IF(BQ156&gt;=BP156,"Sim","Não"),IF(BQ156&lt;=BP156,"Sim","Não")))</f>
        <v/>
      </c>
      <c r="BT156" s="6"/>
      <c r="BU156" s="6"/>
      <c r="BV156" s="4" t="str">
        <f aca="false">IF(OR(BT156="",BU156=""),"",IFERROR(IF($K156="%",BU156-BT156,BU156/BT156-1),""))</f>
        <v/>
      </c>
      <c r="BW156" s="5" t="str">
        <f aca="false">IF(OR(BT156="",BU156=""),"",IF($F156="Maior Melhor",IF(BU156&gt;=BT156,"Sim","Não"),IF(BU156&lt;=BT156,"Sim","Não")))</f>
        <v/>
      </c>
      <c r="BX156" s="6"/>
      <c r="BY156" s="6"/>
      <c r="BZ156" s="4" t="str">
        <f aca="false">IF(OR(BX156="",BY156=""),"",IFERROR(IF($K156="%",BY156-BX156,BY156/BX156-1),""))</f>
        <v/>
      </c>
      <c r="CA156" s="5" t="str">
        <f aca="false">IF(OR(BX156="",BY156=""),"",IF($F156="Maior Melhor",IF(BY156&gt;=BX156,"Sim","Não"),IF(BY156&lt;=BX156,"Sim","Não")))</f>
        <v/>
      </c>
      <c r="CB156" s="6"/>
      <c r="CC156" s="6"/>
      <c r="CD156" s="4" t="str">
        <f aca="false">IF(OR(CB156="",CC156=""),"",IFERROR(IF($K156="%",CC156-CB156,CC156/CB156-1),""))</f>
        <v/>
      </c>
      <c r="CE156" s="5" t="str">
        <f aca="false">IF(OR(CB156="",CC156=""),"",IF($F156="Maior Melhor",IF(CC156&gt;=CB156,"Sim","Não"),IF(CC156&lt;=CB156,"Sim","Não")))</f>
        <v/>
      </c>
      <c r="CF156" s="6"/>
      <c r="CG156" s="6"/>
      <c r="CH156" s="4" t="str">
        <f aca="false">IF(OR(CF156="",CG156=""),"",IFERROR(IF($K156="%",CG156-CF156,CG156/CF156-1),""))</f>
        <v/>
      </c>
      <c r="CI156" s="5" t="str">
        <f aca="false">IF(OR(CF156="",CG156=""),"",IF($F156="Maior Melhor",IF(CG156&gt;=CF156,"Sim","Não"),IF(CG156&lt;=CF156,"Sim","Não")))</f>
        <v/>
      </c>
      <c r="CJ156" s="6"/>
      <c r="CK156" s="6"/>
      <c r="CL156" s="4" t="str">
        <f aca="false">IF(OR(CJ156="",CK156=""),"",IFERROR(IF($K156="%",CK156-CJ156,CK156/CJ156-1),""))</f>
        <v/>
      </c>
      <c r="CM156" s="5" t="str">
        <f aca="false">IF(OR(CJ156="",CK156=""),"",IF($F156="Maior Melhor",IF(CK156&gt;=CJ156,"Sim","Não"),IF(CK156&lt;=CJ156,"Sim","Não")))</f>
        <v/>
      </c>
      <c r="CN156" s="6"/>
      <c r="CO156" s="6"/>
      <c r="CP156" s="4" t="str">
        <f aca="false">IF(OR(CN156="",CO156=""),"",IFERROR(IF($K156="%",CO156-CN156,CO156/CN156-1),""))</f>
        <v/>
      </c>
      <c r="CQ156" s="5" t="str">
        <f aca="false">IF(OR(CN156="",CO156=""),"",IF($F156="Maior Melhor",IF(CO156&gt;=CN156,"Sim","Não"),IF(CO156&lt;=CN156,"Sim","Não")))</f>
        <v/>
      </c>
      <c r="CR156" s="2" t="s">
        <v>123</v>
      </c>
    </row>
    <row r="157" customFormat="false" ht="15" hidden="false" customHeight="false" outlineLevel="0" collapsed="false">
      <c r="A157" s="2" t="s">
        <v>96</v>
      </c>
      <c r="B157" s="2" t="s">
        <v>108</v>
      </c>
      <c r="C157" s="2" t="s">
        <v>124</v>
      </c>
      <c r="D157" s="2" t="s">
        <v>170</v>
      </c>
      <c r="E157" s="2" t="str">
        <f aca="false">C157&amp;D157</f>
        <v>UTD ITAPETINGAEfetividade Financeira do Corte (EFC) - UTDs</v>
      </c>
      <c r="F157" s="2" t="s">
        <v>100</v>
      </c>
      <c r="G157" s="2" t="s">
        <v>171</v>
      </c>
      <c r="H157" s="2" t="s">
        <v>102</v>
      </c>
      <c r="I157" s="2" t="s">
        <v>103</v>
      </c>
      <c r="J157" s="2" t="n">
        <v>1</v>
      </c>
      <c r="K157" s="2" t="s">
        <v>104</v>
      </c>
      <c r="L157" s="3" t="n">
        <v>0.685</v>
      </c>
      <c r="M157" s="3" t="n">
        <v>0.624</v>
      </c>
      <c r="N157" s="4" t="n">
        <f aca="false">IF(OR(L157="",M157=""),"",IFERROR(IF($K157="%",M157-L157,M157/L157-1),""))</f>
        <v>-0.0610000000000001</v>
      </c>
      <c r="O157" s="5" t="str">
        <f aca="false">IF(OR(L157="",M157=""),"",IF($F157="Maior Melhor",IF(M157&gt;=L157,"Sim","Não"),IF(M157&lt;=L157,"Sim","Não")))</f>
        <v>Não</v>
      </c>
      <c r="P157" s="3" t="n">
        <v>0.685</v>
      </c>
      <c r="Q157" s="3" t="n">
        <v>0.701</v>
      </c>
      <c r="R157" s="4" t="n">
        <f aca="false">IF(OR(P157="",Q157=""),"",IFERROR(IF($K157="%",Q157-P157,Q157/P157-1),""))</f>
        <v>0.0159999999999999</v>
      </c>
      <c r="S157" s="5" t="str">
        <f aca="false">IF(OR(P157="",Q157=""),"",IF($F157="Maior Melhor",IF(Q157&gt;=P157,"Sim","Não"),IF(Q157&lt;=P157,"Sim","Não")))</f>
        <v>Sim</v>
      </c>
      <c r="T157" s="3" t="n">
        <v>0.685</v>
      </c>
      <c r="U157" s="3" t="n">
        <v>0.528</v>
      </c>
      <c r="V157" s="4" t="n">
        <f aca="false">IF(OR(T157="",U157=""),"",IFERROR(IF($K157="%",U157-T157,U157/T157-1),""))</f>
        <v>-0.157</v>
      </c>
      <c r="W157" s="5" t="str">
        <f aca="false">IF(OR(T157="",U157=""),"",IF($F157="Maior Melhor",IF(U157&gt;=T157,"Sim","Não"),IF(U157&lt;=T157,"Sim","Não")))</f>
        <v>Não</v>
      </c>
      <c r="X157" s="3" t="n">
        <v>0.685</v>
      </c>
      <c r="Y157" s="3" t="n">
        <v>0.489</v>
      </c>
      <c r="Z157" s="4" t="n">
        <f aca="false">IF(OR(X157="",Y157=""),"",IFERROR(IF($K157="%",Y157-X157,Y157/X157-1),""))</f>
        <v>-0.196</v>
      </c>
      <c r="AA157" s="5" t="str">
        <f aca="false">IF(OR(X157="",Y157=""),"",IF($F157="Maior Melhor",IF(Y157&gt;=X157,"Sim","Não"),IF(Y157&lt;=X157,"Sim","Não")))</f>
        <v>Não</v>
      </c>
      <c r="AB157" s="3" t="n">
        <v>0.685</v>
      </c>
      <c r="AC157" s="3" t="n">
        <v>0.573</v>
      </c>
      <c r="AD157" s="4" t="n">
        <f aca="false">IF(OR(AB157="",AC157=""),"",IFERROR(IF($K157="%",AC157-AB157,AC157/AB157-1),""))</f>
        <v>-0.112</v>
      </c>
      <c r="AE157" s="5" t="str">
        <f aca="false">IF(OR(AB157="",AC157=""),"",IF($F157="Maior Melhor",IF(AC157&gt;=AB157,"Sim","Não"),IF(AC157&lt;=AB157,"Sim","Não")))</f>
        <v>Não</v>
      </c>
      <c r="AF157" s="3" t="n">
        <v>0.685</v>
      </c>
      <c r="AG157" s="3" t="n">
        <v>0.636</v>
      </c>
      <c r="AH157" s="4" t="n">
        <f aca="false">IF(OR(AF157="",AG157=""),"",IFERROR(IF($K157="%",AG157-AF157,AG157/AF157-1),""))</f>
        <v>-0.049</v>
      </c>
      <c r="AI157" s="5" t="str">
        <f aca="false">IF(OR(AF157="",AG157=""),"",IF($F157="Maior Melhor",IF(AG157&gt;=AF157,"Sim","Não"),IF(AG157&lt;=AF157,"Sim","Não")))</f>
        <v>Não</v>
      </c>
      <c r="AJ157" s="3" t="n">
        <v>0.685</v>
      </c>
      <c r="AK157" s="3" t="n">
        <v>0.589</v>
      </c>
      <c r="AL157" s="4" t="n">
        <f aca="false">IF(OR(AJ157="",AK157=""),"",IFERROR(IF($K157="%",AK157-AJ157,AK157/AJ157-1),""))</f>
        <v>-0.0960000000000001</v>
      </c>
      <c r="AM157" s="5" t="str">
        <f aca="false">IF(OR(AJ157="",AK157=""),"",IF($F157="Maior Melhor",IF(AK157&gt;=AJ157,"Sim","Não"),IF(AK157&lt;=AJ157,"Sim","Não")))</f>
        <v>Não</v>
      </c>
      <c r="AN157" s="3" t="n">
        <v>0.685</v>
      </c>
      <c r="AO157" s="3" t="n">
        <v>0.673</v>
      </c>
      <c r="AP157" s="4" t="n">
        <f aca="false">IF(OR(AN157="",AO157=""),"",IFERROR(IF($K157="%",AO157-AN157,AO157/AN157-1),""))</f>
        <v>-0.012</v>
      </c>
      <c r="AQ157" s="5" t="str">
        <f aca="false">IF(OR(AN157="",AO157=""),"",IF($F157="Maior Melhor",IF(AO157&gt;=AN157,"Sim","Não"),IF(AO157&lt;=AN157,"Sim","Não")))</f>
        <v>Não</v>
      </c>
      <c r="AR157" s="3" t="n">
        <v>0.685</v>
      </c>
      <c r="AS157" s="3" t="n">
        <v>0.605</v>
      </c>
      <c r="AT157" s="4" t="n">
        <f aca="false">IF(OR(AR157="",AS157=""),"",IFERROR(IF($K157="%",AS157-AR157,AS157/AR157-1),""))</f>
        <v>-0.0800000000000001</v>
      </c>
      <c r="AU157" s="5" t="str">
        <f aca="false">IF(OR(AR157="",AS157=""),"",IF($F157="Maior Melhor",IF(AS157&gt;=AR157,"Sim","Não"),IF(AS157&lt;=AR157,"Sim","Não")))</f>
        <v>Não</v>
      </c>
      <c r="AV157" s="3" t="n">
        <v>0.685</v>
      </c>
      <c r="AW157" s="3" t="n">
        <v>0.69</v>
      </c>
      <c r="AX157" s="4" t="n">
        <f aca="false">IF(OR(AV157="",AW157=""),"",IFERROR(IF($K157="%",AW157-AV157,AW157/AV157-1),""))</f>
        <v>0.00499999999999989</v>
      </c>
      <c r="AY157" s="5" t="str">
        <f aca="false">IF(OR(AV157="",AW157=""),"",IF($F157="Maior Melhor",IF(AW157&gt;=AV157,"Sim","Não"),IF(AW157&lt;=AV157,"Sim","Não")))</f>
        <v>Sim</v>
      </c>
      <c r="AZ157" s="3" t="n">
        <v>0.685</v>
      </c>
      <c r="BA157" s="3" t="n">
        <v>0.619</v>
      </c>
      <c r="BB157" s="4" t="n">
        <f aca="false">IF(OR(AZ157="",BA157=""),"",IFERROR(IF($K157="%",BA157-AZ157,BA157/AZ157-1),""))</f>
        <v>-0.0660000000000001</v>
      </c>
      <c r="BC157" s="5" t="str">
        <f aca="false">IF(OR(AZ157="",BA157=""),"",IF($F157="Maior Melhor",IF(BA157&gt;=AZ157,"Sim","Não"),IF(BA157&lt;=AZ157,"Sim","Não")))</f>
        <v>Não</v>
      </c>
      <c r="BD157" s="3" t="n">
        <v>0.685</v>
      </c>
      <c r="BE157" s="3" t="n">
        <v>0.71</v>
      </c>
      <c r="BF157" s="4" t="n">
        <f aca="false">IF(OR(BD157="",BE157=""),"",IFERROR(IF($K157="%",BE157-BD157,BE157/BD157-1),""))</f>
        <v>0.0249999999999999</v>
      </c>
      <c r="BG157" s="5" t="str">
        <f aca="false">IF(OR(BD157="",BE157=""),"",IF($F157="Maior Melhor",IF(BE157&gt;=BD157,"Sim","Não"),IF(BE157&lt;=BD157,"Sim","Não")))</f>
        <v>Sim</v>
      </c>
      <c r="BH157" s="3" t="n">
        <v>0.685</v>
      </c>
      <c r="BI157" s="3" t="n">
        <v>0.631</v>
      </c>
      <c r="BJ157" s="4" t="n">
        <f aca="false">IF(OR(BH157="",BI157=""),"",IFERROR(IF($K157="%",BI157-BH157,BI157/BH157-1),""))</f>
        <v>-0.0540000000000001</v>
      </c>
      <c r="BK157" s="5" t="str">
        <f aca="false">IF(OR(BH157="",BI157=""),"",IF($F157="Maior Melhor",IF(BI157&gt;=BH157,"Sim","Não"),IF(BI157&lt;=BH157,"Sim","Não")))</f>
        <v>Não</v>
      </c>
      <c r="BL157" s="6"/>
      <c r="BM157" s="6"/>
      <c r="BN157" s="4" t="str">
        <f aca="false">IF(OR(BL157="",BM157=""),"",IFERROR(IF($K157="%",BM157-BL157,BM157/BL157-1),""))</f>
        <v/>
      </c>
      <c r="BO157" s="5" t="str">
        <f aca="false">IF(OR(BL157="",BM157=""),"",IF($F157="Maior Melhor",IF(BM157&gt;=BL157,"Sim","Não"),IF(BM157&lt;=BL157,"Sim","Não")))</f>
        <v/>
      </c>
      <c r="BP157" s="6"/>
      <c r="BQ157" s="6"/>
      <c r="BR157" s="4" t="str">
        <f aca="false">IF(OR(BP157="",BQ157=""),"",IFERROR(IF($K157="%",BQ157-BP157,BQ157/BP157-1),""))</f>
        <v/>
      </c>
      <c r="BS157" s="5" t="str">
        <f aca="false">IF(OR(BP157="",BQ157=""),"",IF($F157="Maior Melhor",IF(BQ157&gt;=BP157,"Sim","Não"),IF(BQ157&lt;=BP157,"Sim","Não")))</f>
        <v/>
      </c>
      <c r="BT157" s="6"/>
      <c r="BU157" s="6"/>
      <c r="BV157" s="4" t="str">
        <f aca="false">IF(OR(BT157="",BU157=""),"",IFERROR(IF($K157="%",BU157-BT157,BU157/BT157-1),""))</f>
        <v/>
      </c>
      <c r="BW157" s="5" t="str">
        <f aca="false">IF(OR(BT157="",BU157=""),"",IF($F157="Maior Melhor",IF(BU157&gt;=BT157,"Sim","Não"),IF(BU157&lt;=BT157,"Sim","Não")))</f>
        <v/>
      </c>
      <c r="BX157" s="6"/>
      <c r="BY157" s="6"/>
      <c r="BZ157" s="4" t="str">
        <f aca="false">IF(OR(BX157="",BY157=""),"",IFERROR(IF($K157="%",BY157-BX157,BY157/BX157-1),""))</f>
        <v/>
      </c>
      <c r="CA157" s="5" t="str">
        <f aca="false">IF(OR(BX157="",BY157=""),"",IF($F157="Maior Melhor",IF(BY157&gt;=BX157,"Sim","Não"),IF(BY157&lt;=BX157,"Sim","Não")))</f>
        <v/>
      </c>
      <c r="CB157" s="6"/>
      <c r="CC157" s="6"/>
      <c r="CD157" s="4" t="str">
        <f aca="false">IF(OR(CB157="",CC157=""),"",IFERROR(IF($K157="%",CC157-CB157,CC157/CB157-1),""))</f>
        <v/>
      </c>
      <c r="CE157" s="5" t="str">
        <f aca="false">IF(OR(CB157="",CC157=""),"",IF($F157="Maior Melhor",IF(CC157&gt;=CB157,"Sim","Não"),IF(CC157&lt;=CB157,"Sim","Não")))</f>
        <v/>
      </c>
      <c r="CF157" s="6"/>
      <c r="CG157" s="6"/>
      <c r="CH157" s="4" t="str">
        <f aca="false">IF(OR(CF157="",CG157=""),"",IFERROR(IF($K157="%",CG157-CF157,CG157/CF157-1),""))</f>
        <v/>
      </c>
      <c r="CI157" s="5" t="str">
        <f aca="false">IF(OR(CF157="",CG157=""),"",IF($F157="Maior Melhor",IF(CG157&gt;=CF157,"Sim","Não"),IF(CG157&lt;=CF157,"Sim","Não")))</f>
        <v/>
      </c>
      <c r="CJ157" s="6"/>
      <c r="CK157" s="6"/>
      <c r="CL157" s="4" t="str">
        <f aca="false">IF(OR(CJ157="",CK157=""),"",IFERROR(IF($K157="%",CK157-CJ157,CK157/CJ157-1),""))</f>
        <v/>
      </c>
      <c r="CM157" s="5" t="str">
        <f aca="false">IF(OR(CJ157="",CK157=""),"",IF($F157="Maior Melhor",IF(CK157&gt;=CJ157,"Sim","Não"),IF(CK157&lt;=CJ157,"Sim","Não")))</f>
        <v/>
      </c>
      <c r="CN157" s="6"/>
      <c r="CO157" s="6"/>
      <c r="CP157" s="4" t="str">
        <f aca="false">IF(OR(CN157="",CO157=""),"",IFERROR(IF($K157="%",CO157-CN157,CO157/CN157-1),""))</f>
        <v/>
      </c>
      <c r="CQ157" s="5" t="str">
        <f aca="false">IF(OR(CN157="",CO157=""),"",IF($F157="Maior Melhor",IF(CO157&gt;=CN157,"Sim","Não"),IF(CO157&lt;=CN157,"Sim","Não")))</f>
        <v/>
      </c>
      <c r="CR157" s="2" t="s">
        <v>105</v>
      </c>
    </row>
    <row r="158" customFormat="false" ht="15" hidden="false" customHeight="false" outlineLevel="0" collapsed="false">
      <c r="A158" s="2" t="s">
        <v>96</v>
      </c>
      <c r="B158" s="2" t="s">
        <v>97</v>
      </c>
      <c r="C158" s="2" t="s">
        <v>125</v>
      </c>
      <c r="D158" s="2" t="s">
        <v>170</v>
      </c>
      <c r="E158" s="2" t="str">
        <f aca="false">C158&amp;D158</f>
        <v>UTD JEQUIÉEfetividade Financeira do Corte (EFC) - UTDs</v>
      </c>
      <c r="F158" s="2" t="s">
        <v>100</v>
      </c>
      <c r="G158" s="2" t="s">
        <v>171</v>
      </c>
      <c r="H158" s="2" t="s">
        <v>102</v>
      </c>
      <c r="I158" s="2" t="s">
        <v>103</v>
      </c>
      <c r="J158" s="2" t="n">
        <v>1</v>
      </c>
      <c r="K158" s="2" t="s">
        <v>104</v>
      </c>
      <c r="L158" s="3" t="n">
        <v>0.684</v>
      </c>
      <c r="M158" s="3" t="n">
        <v>0.585</v>
      </c>
      <c r="N158" s="4" t="n">
        <f aca="false">IF(OR(L158="",M158=""),"",IFERROR(IF($K158="%",M158-L158,M158/L158-1),""))</f>
        <v>-0.0990000000000001</v>
      </c>
      <c r="O158" s="5" t="str">
        <f aca="false">IF(OR(L158="",M158=""),"",IF($F158="Maior Melhor",IF(M158&gt;=L158,"Sim","Não"),IF(M158&lt;=L158,"Sim","Não")))</f>
        <v>Não</v>
      </c>
      <c r="P158" s="3" t="n">
        <v>0.684</v>
      </c>
      <c r="Q158" s="3" t="n">
        <v>0.645</v>
      </c>
      <c r="R158" s="4" t="n">
        <f aca="false">IF(OR(P158="",Q158=""),"",IFERROR(IF($K158="%",Q158-P158,Q158/P158-1),""))</f>
        <v>-0.039</v>
      </c>
      <c r="S158" s="5" t="str">
        <f aca="false">IF(OR(P158="",Q158=""),"",IF($F158="Maior Melhor",IF(Q158&gt;=P158,"Sim","Não"),IF(Q158&lt;=P158,"Sim","Não")))</f>
        <v>Não</v>
      </c>
      <c r="T158" s="3" t="n">
        <v>0.684</v>
      </c>
      <c r="U158" s="3" t="n">
        <v>0.637</v>
      </c>
      <c r="V158" s="4" t="n">
        <f aca="false">IF(OR(T158="",U158=""),"",IFERROR(IF($K158="%",U158-T158,U158/T158-1),""))</f>
        <v>-0.047</v>
      </c>
      <c r="W158" s="5" t="str">
        <f aca="false">IF(OR(T158="",U158=""),"",IF($F158="Maior Melhor",IF(U158&gt;=T158,"Sim","Não"),IF(U158&lt;=T158,"Sim","Não")))</f>
        <v>Não</v>
      </c>
      <c r="X158" s="3" t="n">
        <v>0.684</v>
      </c>
      <c r="Y158" s="3" t="n">
        <v>0.667</v>
      </c>
      <c r="Z158" s="4" t="n">
        <f aca="false">IF(OR(X158="",Y158=""),"",IFERROR(IF($K158="%",Y158-X158,Y158/X158-1),""))</f>
        <v>-0.017</v>
      </c>
      <c r="AA158" s="5" t="str">
        <f aca="false">IF(OR(X158="",Y158=""),"",IF($F158="Maior Melhor",IF(Y158&gt;=X158,"Sim","Não"),IF(Y158&lt;=X158,"Sim","Não")))</f>
        <v>Não</v>
      </c>
      <c r="AB158" s="3" t="n">
        <v>0.684</v>
      </c>
      <c r="AC158" s="3" t="n">
        <v>0.633</v>
      </c>
      <c r="AD158" s="4" t="n">
        <f aca="false">IF(OR(AB158="",AC158=""),"",IFERROR(IF($K158="%",AC158-AB158,AC158/AB158-1),""))</f>
        <v>-0.051</v>
      </c>
      <c r="AE158" s="5" t="str">
        <f aca="false">IF(OR(AB158="",AC158=""),"",IF($F158="Maior Melhor",IF(AC158&gt;=AB158,"Sim","Não"),IF(AC158&lt;=AB158,"Sim","Não")))</f>
        <v>Não</v>
      </c>
      <c r="AF158" s="3" t="n">
        <v>0.684</v>
      </c>
      <c r="AG158" s="3" t="n">
        <v>0.688</v>
      </c>
      <c r="AH158" s="4" t="n">
        <f aca="false">IF(OR(AF158="",AG158=""),"",IFERROR(IF($K158="%",AG158-AF158,AG158/AF158-1),""))</f>
        <v>0.00399999999999989</v>
      </c>
      <c r="AI158" s="5" t="str">
        <f aca="false">IF(OR(AF158="",AG158=""),"",IF($F158="Maior Melhor",IF(AG158&gt;=AF158,"Sim","Não"),IF(AG158&lt;=AF158,"Sim","Não")))</f>
        <v>Sim</v>
      </c>
      <c r="AJ158" s="3" t="n">
        <v>0.684</v>
      </c>
      <c r="AK158" s="3" t="n">
        <v>0.647</v>
      </c>
      <c r="AL158" s="4" t="n">
        <f aca="false">IF(OR(AJ158="",AK158=""),"",IFERROR(IF($K158="%",AK158-AJ158,AK158/AJ158-1),""))</f>
        <v>-0.037</v>
      </c>
      <c r="AM158" s="5" t="str">
        <f aca="false">IF(OR(AJ158="",AK158=""),"",IF($F158="Maior Melhor",IF(AK158&gt;=AJ158,"Sim","Não"),IF(AK158&lt;=AJ158,"Sim","Não")))</f>
        <v>Não</v>
      </c>
      <c r="AN158" s="3" t="n">
        <v>0.684</v>
      </c>
      <c r="AO158" s="3" t="n">
        <v>0.712</v>
      </c>
      <c r="AP158" s="4" t="n">
        <f aca="false">IF(OR(AN158="",AO158=""),"",IFERROR(IF($K158="%",AO158-AN158,AO158/AN158-1),""))</f>
        <v>0.0279999999999999</v>
      </c>
      <c r="AQ158" s="5" t="str">
        <f aca="false">IF(OR(AN158="",AO158=""),"",IF($F158="Maior Melhor",IF(AO158&gt;=AN158,"Sim","Não"),IF(AO158&lt;=AN158,"Sim","Não")))</f>
        <v>Sim</v>
      </c>
      <c r="AR158" s="3" t="n">
        <v>0.684</v>
      </c>
      <c r="AS158" s="3" t="n">
        <v>0.662</v>
      </c>
      <c r="AT158" s="4" t="n">
        <f aca="false">IF(OR(AR158="",AS158=""),"",IFERROR(IF($K158="%",AS158-AR158,AS158/AR158-1),""))</f>
        <v>-0.022</v>
      </c>
      <c r="AU158" s="5" t="str">
        <f aca="false">IF(OR(AR158="",AS158=""),"",IF($F158="Maior Melhor",IF(AS158&gt;=AR158,"Sim","Não"),IF(AS158&lt;=AR158,"Sim","Não")))</f>
        <v>Não</v>
      </c>
      <c r="AV158" s="3" t="n">
        <v>0.684</v>
      </c>
      <c r="AW158" s="3" t="n">
        <v>0.639</v>
      </c>
      <c r="AX158" s="4" t="n">
        <f aca="false">IF(OR(AV158="",AW158=""),"",IFERROR(IF($K158="%",AW158-AV158,AW158/AV158-1),""))</f>
        <v>-0.045</v>
      </c>
      <c r="AY158" s="5" t="str">
        <f aca="false">IF(OR(AV158="",AW158=""),"",IF($F158="Maior Melhor",IF(AW158&gt;=AV158,"Sim","Não"),IF(AW158&lt;=AV158,"Sim","Não")))</f>
        <v>Não</v>
      </c>
      <c r="AZ158" s="3" t="n">
        <v>0.684</v>
      </c>
      <c r="BA158" s="3" t="n">
        <v>0.658</v>
      </c>
      <c r="BB158" s="4" t="n">
        <f aca="false">IF(OR(AZ158="",BA158=""),"",IFERROR(IF($K158="%",BA158-AZ158,BA158/AZ158-1),""))</f>
        <v>-0.026</v>
      </c>
      <c r="BC158" s="5" t="str">
        <f aca="false">IF(OR(AZ158="",BA158=""),"",IF($F158="Maior Melhor",IF(BA158&gt;=AZ158,"Sim","Não"),IF(BA158&lt;=AZ158,"Sim","Não")))</f>
        <v>Não</v>
      </c>
      <c r="BD158" s="3" t="n">
        <v>0.684</v>
      </c>
      <c r="BE158" s="3" t="n">
        <v>0.703</v>
      </c>
      <c r="BF158" s="4" t="n">
        <f aca="false">IF(OR(BD158="",BE158=""),"",IFERROR(IF($K158="%",BE158-BD158,BE158/BD158-1),""))</f>
        <v>0.0189999999999999</v>
      </c>
      <c r="BG158" s="5" t="str">
        <f aca="false">IF(OR(BD158="",BE158=""),"",IF($F158="Maior Melhor",IF(BE158&gt;=BD158,"Sim","Não"),IF(BE158&lt;=BD158,"Sim","Não")))</f>
        <v>Sim</v>
      </c>
      <c r="BH158" s="3" t="n">
        <v>0.684</v>
      </c>
      <c r="BI158" s="3" t="n">
        <v>0.664</v>
      </c>
      <c r="BJ158" s="4" t="n">
        <f aca="false">IF(OR(BH158="",BI158=""),"",IFERROR(IF($K158="%",BI158-BH158,BI158/BH158-1),""))</f>
        <v>-0.02</v>
      </c>
      <c r="BK158" s="5" t="str">
        <f aca="false">IF(OR(BH158="",BI158=""),"",IF($F158="Maior Melhor",IF(BI158&gt;=BH158,"Sim","Não"),IF(BI158&lt;=BH158,"Sim","Não")))</f>
        <v>Não</v>
      </c>
      <c r="BL158" s="6"/>
      <c r="BM158" s="6"/>
      <c r="BN158" s="4" t="str">
        <f aca="false">IF(OR(BL158="",BM158=""),"",IFERROR(IF($K158="%",BM158-BL158,BM158/BL158-1),""))</f>
        <v/>
      </c>
      <c r="BO158" s="5" t="str">
        <f aca="false">IF(OR(BL158="",BM158=""),"",IF($F158="Maior Melhor",IF(BM158&gt;=BL158,"Sim","Não"),IF(BM158&lt;=BL158,"Sim","Não")))</f>
        <v/>
      </c>
      <c r="BP158" s="6"/>
      <c r="BQ158" s="6"/>
      <c r="BR158" s="4" t="str">
        <f aca="false">IF(OR(BP158="",BQ158=""),"",IFERROR(IF($K158="%",BQ158-BP158,BQ158/BP158-1),""))</f>
        <v/>
      </c>
      <c r="BS158" s="5" t="str">
        <f aca="false">IF(OR(BP158="",BQ158=""),"",IF($F158="Maior Melhor",IF(BQ158&gt;=BP158,"Sim","Não"),IF(BQ158&lt;=BP158,"Sim","Não")))</f>
        <v/>
      </c>
      <c r="BT158" s="6"/>
      <c r="BU158" s="6"/>
      <c r="BV158" s="4" t="str">
        <f aca="false">IF(OR(BT158="",BU158=""),"",IFERROR(IF($K158="%",BU158-BT158,BU158/BT158-1),""))</f>
        <v/>
      </c>
      <c r="BW158" s="5" t="str">
        <f aca="false">IF(OR(BT158="",BU158=""),"",IF($F158="Maior Melhor",IF(BU158&gt;=BT158,"Sim","Não"),IF(BU158&lt;=BT158,"Sim","Não")))</f>
        <v/>
      </c>
      <c r="BX158" s="6"/>
      <c r="BY158" s="6"/>
      <c r="BZ158" s="4" t="str">
        <f aca="false">IF(OR(BX158="",BY158=""),"",IFERROR(IF($K158="%",BY158-BX158,BY158/BX158-1),""))</f>
        <v/>
      </c>
      <c r="CA158" s="5" t="str">
        <f aca="false">IF(OR(BX158="",BY158=""),"",IF($F158="Maior Melhor",IF(BY158&gt;=BX158,"Sim","Não"),IF(BY158&lt;=BX158,"Sim","Não")))</f>
        <v/>
      </c>
      <c r="CB158" s="6"/>
      <c r="CC158" s="6"/>
      <c r="CD158" s="4" t="str">
        <f aca="false">IF(OR(CB158="",CC158=""),"",IFERROR(IF($K158="%",CC158-CB158,CC158/CB158-1),""))</f>
        <v/>
      </c>
      <c r="CE158" s="5" t="str">
        <f aca="false">IF(OR(CB158="",CC158=""),"",IF($F158="Maior Melhor",IF(CC158&gt;=CB158,"Sim","Não"),IF(CC158&lt;=CB158,"Sim","Não")))</f>
        <v/>
      </c>
      <c r="CF158" s="6"/>
      <c r="CG158" s="6"/>
      <c r="CH158" s="4" t="str">
        <f aca="false">IF(OR(CF158="",CG158=""),"",IFERROR(IF($K158="%",CG158-CF158,CG158/CF158-1),""))</f>
        <v/>
      </c>
      <c r="CI158" s="5" t="str">
        <f aca="false">IF(OR(CF158="",CG158=""),"",IF($F158="Maior Melhor",IF(CG158&gt;=CF158,"Sim","Não"),IF(CG158&lt;=CF158,"Sim","Não")))</f>
        <v/>
      </c>
      <c r="CJ158" s="6"/>
      <c r="CK158" s="6"/>
      <c r="CL158" s="4" t="str">
        <f aca="false">IF(OR(CJ158="",CK158=""),"",IFERROR(IF($K158="%",CK158-CJ158,CK158/CJ158-1),""))</f>
        <v/>
      </c>
      <c r="CM158" s="5" t="str">
        <f aca="false">IF(OR(CJ158="",CK158=""),"",IF($F158="Maior Melhor",IF(CK158&gt;=CJ158,"Sim","Não"),IF(CK158&lt;=CJ158,"Sim","Não")))</f>
        <v/>
      </c>
      <c r="CN158" s="6"/>
      <c r="CO158" s="6"/>
      <c r="CP158" s="4" t="str">
        <f aca="false">IF(OR(CN158="",CO158=""),"",IFERROR(IF($K158="%",CO158-CN158,CO158/CN158-1),""))</f>
        <v/>
      </c>
      <c r="CQ158" s="5" t="str">
        <f aca="false">IF(OR(CN158="",CO158=""),"",IF($F158="Maior Melhor",IF(CO158&gt;=CN158,"Sim","Não"),IF(CO158&lt;=CN158,"Sim","Não")))</f>
        <v/>
      </c>
      <c r="CR158" s="2" t="s">
        <v>105</v>
      </c>
    </row>
    <row r="159" customFormat="false" ht="15" hidden="false" customHeight="false" outlineLevel="0" collapsed="false">
      <c r="A159" s="2" t="s">
        <v>96</v>
      </c>
      <c r="B159" s="2" t="s">
        <v>97</v>
      </c>
      <c r="C159" s="2" t="s">
        <v>126</v>
      </c>
      <c r="D159" s="2" t="s">
        <v>170</v>
      </c>
      <c r="E159" s="2" t="str">
        <f aca="false">C159&amp;D159</f>
        <v>UTD LIVRAMENTO DE NOSSA SENHORAEfetividade Financeira do Corte (EFC) - UTDs</v>
      </c>
      <c r="F159" s="2" t="s">
        <v>100</v>
      </c>
      <c r="G159" s="2" t="s">
        <v>171</v>
      </c>
      <c r="H159" s="2" t="s">
        <v>102</v>
      </c>
      <c r="I159" s="2" t="s">
        <v>103</v>
      </c>
      <c r="J159" s="2" t="n">
        <v>1</v>
      </c>
      <c r="K159" s="2" t="s">
        <v>104</v>
      </c>
      <c r="L159" s="3" t="n">
        <v>0.811</v>
      </c>
      <c r="M159" s="3" t="n">
        <v>0.642</v>
      </c>
      <c r="N159" s="4" t="n">
        <f aca="false">IF(OR(L159="",M159=""),"",IFERROR(IF($K159="%",M159-L159,M159/L159-1),""))</f>
        <v>-0.169</v>
      </c>
      <c r="O159" s="5" t="str">
        <f aca="false">IF(OR(L159="",M159=""),"",IF($F159="Maior Melhor",IF(M159&gt;=L159,"Sim","Não"),IF(M159&lt;=L159,"Sim","Não")))</f>
        <v>Não</v>
      </c>
      <c r="P159" s="3" t="n">
        <v>0.811</v>
      </c>
      <c r="Q159" s="3" t="n">
        <v>0.719</v>
      </c>
      <c r="R159" s="4" t="n">
        <f aca="false">IF(OR(P159="",Q159=""),"",IFERROR(IF($K159="%",Q159-P159,Q159/P159-1),""))</f>
        <v>-0.0920000000000001</v>
      </c>
      <c r="S159" s="5" t="str">
        <f aca="false">IF(OR(P159="",Q159=""),"",IF($F159="Maior Melhor",IF(Q159&gt;=P159,"Sim","Não"),IF(Q159&lt;=P159,"Sim","Não")))</f>
        <v>Não</v>
      </c>
      <c r="T159" s="3" t="n">
        <v>0.811</v>
      </c>
      <c r="U159" s="3" t="n">
        <v>0.548</v>
      </c>
      <c r="V159" s="4" t="n">
        <f aca="false">IF(OR(T159="",U159=""),"",IFERROR(IF($K159="%",U159-T159,U159/T159-1),""))</f>
        <v>-0.263</v>
      </c>
      <c r="W159" s="5" t="str">
        <f aca="false">IF(OR(T159="",U159=""),"",IF($F159="Maior Melhor",IF(U159&gt;=T159,"Sim","Não"),IF(U159&lt;=T159,"Sim","Não")))</f>
        <v>Não</v>
      </c>
      <c r="X159" s="3" t="n">
        <v>0.811</v>
      </c>
      <c r="Y159" s="3" t="n">
        <v>0.839</v>
      </c>
      <c r="Z159" s="4" t="n">
        <f aca="false">IF(OR(X159="",Y159=""),"",IFERROR(IF($K159="%",Y159-X159,Y159/X159-1),""))</f>
        <v>0.0279999999999999</v>
      </c>
      <c r="AA159" s="5" t="str">
        <f aca="false">IF(OR(X159="",Y159=""),"",IF($F159="Maior Melhor",IF(Y159&gt;=X159,"Sim","Não"),IF(Y159&lt;=X159,"Sim","Não")))</f>
        <v>Sim</v>
      </c>
      <c r="AB159" s="3" t="n">
        <v>0.811</v>
      </c>
      <c r="AC159" s="3" t="n">
        <v>0.696</v>
      </c>
      <c r="AD159" s="4" t="n">
        <f aca="false">IF(OR(AB159="",AC159=""),"",IFERROR(IF($K159="%",AC159-AB159,AC159/AB159-1),""))</f>
        <v>-0.115</v>
      </c>
      <c r="AE159" s="5" t="str">
        <f aca="false">IF(OR(AB159="",AC159=""),"",IF($F159="Maior Melhor",IF(AC159&gt;=AB159,"Sim","Não"),IF(AC159&lt;=AB159,"Sim","Não")))</f>
        <v>Não</v>
      </c>
      <c r="AF159" s="3" t="n">
        <v>0.811</v>
      </c>
      <c r="AG159" s="3" t="n">
        <v>0.648</v>
      </c>
      <c r="AH159" s="4" t="n">
        <f aca="false">IF(OR(AF159="",AG159=""),"",IFERROR(IF($K159="%",AG159-AF159,AG159/AF159-1),""))</f>
        <v>-0.163</v>
      </c>
      <c r="AI159" s="5" t="str">
        <f aca="false">IF(OR(AF159="",AG159=""),"",IF($F159="Maior Melhor",IF(AG159&gt;=AF159,"Sim","Não"),IF(AG159&lt;=AF159,"Sim","Não")))</f>
        <v>Não</v>
      </c>
      <c r="AJ159" s="3" t="n">
        <v>0.811</v>
      </c>
      <c r="AK159" s="3" t="n">
        <v>0.683</v>
      </c>
      <c r="AL159" s="4" t="n">
        <f aca="false">IF(OR(AJ159="",AK159=""),"",IFERROR(IF($K159="%",AK159-AJ159,AK159/AJ159-1),""))</f>
        <v>-0.128</v>
      </c>
      <c r="AM159" s="5" t="str">
        <f aca="false">IF(OR(AJ159="",AK159=""),"",IF($F159="Maior Melhor",IF(AK159&gt;=AJ159,"Sim","Não"),IF(AK159&lt;=AJ159,"Sim","Não")))</f>
        <v>Não</v>
      </c>
      <c r="AN159" s="3" t="n">
        <v>0.811</v>
      </c>
      <c r="AO159" s="3" t="n">
        <v>0.686</v>
      </c>
      <c r="AP159" s="4" t="n">
        <f aca="false">IF(OR(AN159="",AO159=""),"",IFERROR(IF($K159="%",AO159-AN159,AO159/AN159-1),""))</f>
        <v>-0.125</v>
      </c>
      <c r="AQ159" s="5" t="str">
        <f aca="false">IF(OR(AN159="",AO159=""),"",IF($F159="Maior Melhor",IF(AO159&gt;=AN159,"Sim","Não"),IF(AO159&lt;=AN159,"Sim","Não")))</f>
        <v>Não</v>
      </c>
      <c r="AR159" s="3" t="n">
        <v>0.811</v>
      </c>
      <c r="AS159" s="3" t="n">
        <v>0.684</v>
      </c>
      <c r="AT159" s="4" t="n">
        <f aca="false">IF(OR(AR159="",AS159=""),"",IFERROR(IF($K159="%",AS159-AR159,AS159/AR159-1),""))</f>
        <v>-0.127</v>
      </c>
      <c r="AU159" s="5" t="str">
        <f aca="false">IF(OR(AR159="",AS159=""),"",IF($F159="Maior Melhor",IF(AS159&gt;=AR159,"Sim","Não"),IF(AS159&lt;=AR159,"Sim","Não")))</f>
        <v>Não</v>
      </c>
      <c r="AV159" s="3" t="n">
        <v>0.811</v>
      </c>
      <c r="AW159" s="3" t="n">
        <v>0.674</v>
      </c>
      <c r="AX159" s="4" t="n">
        <f aca="false">IF(OR(AV159="",AW159=""),"",IFERROR(IF($K159="%",AW159-AV159,AW159/AV159-1),""))</f>
        <v>-0.137</v>
      </c>
      <c r="AY159" s="5" t="str">
        <f aca="false">IF(OR(AV159="",AW159=""),"",IF($F159="Maior Melhor",IF(AW159&gt;=AV159,"Sim","Não"),IF(AW159&lt;=AV159,"Sim","Não")))</f>
        <v>Não</v>
      </c>
      <c r="AZ159" s="3" t="n">
        <v>0.811</v>
      </c>
      <c r="BA159" s="3" t="n">
        <v>0.682</v>
      </c>
      <c r="BB159" s="4" t="n">
        <f aca="false">IF(OR(AZ159="",BA159=""),"",IFERROR(IF($K159="%",BA159-AZ159,BA159/AZ159-1),""))</f>
        <v>-0.129</v>
      </c>
      <c r="BC159" s="5" t="str">
        <f aca="false">IF(OR(AZ159="",BA159=""),"",IF($F159="Maior Melhor",IF(BA159&gt;=AZ159,"Sim","Não"),IF(BA159&lt;=AZ159,"Sim","Não")))</f>
        <v>Não</v>
      </c>
      <c r="BD159" s="3" t="n">
        <v>0.811</v>
      </c>
      <c r="BE159" s="3" t="n">
        <v>0.738</v>
      </c>
      <c r="BF159" s="4" t="n">
        <f aca="false">IF(OR(BD159="",BE159=""),"",IFERROR(IF($K159="%",BE159-BD159,BE159/BD159-1),""))</f>
        <v>-0.0730000000000001</v>
      </c>
      <c r="BG159" s="5" t="str">
        <f aca="false">IF(OR(BD159="",BE159=""),"",IF($F159="Maior Melhor",IF(BE159&gt;=BD159,"Sim","Não"),IF(BE159&lt;=BD159,"Sim","Não")))</f>
        <v>Não</v>
      </c>
      <c r="BH159" s="3" t="n">
        <v>0.811</v>
      </c>
      <c r="BI159" s="3" t="n">
        <v>0.69</v>
      </c>
      <c r="BJ159" s="4" t="n">
        <f aca="false">IF(OR(BH159="",BI159=""),"",IFERROR(IF($K159="%",BI159-BH159,BI159/BH159-1),""))</f>
        <v>-0.121</v>
      </c>
      <c r="BK159" s="5" t="str">
        <f aca="false">IF(OR(BH159="",BI159=""),"",IF($F159="Maior Melhor",IF(BI159&gt;=BH159,"Sim","Não"),IF(BI159&lt;=BH159,"Sim","Não")))</f>
        <v>Não</v>
      </c>
      <c r="BL159" s="6"/>
      <c r="BM159" s="6"/>
      <c r="BN159" s="4" t="str">
        <f aca="false">IF(OR(BL159="",BM159=""),"",IFERROR(IF($K159="%",BM159-BL159,BM159/BL159-1),""))</f>
        <v/>
      </c>
      <c r="BO159" s="5" t="str">
        <f aca="false">IF(OR(BL159="",BM159=""),"",IF($F159="Maior Melhor",IF(BM159&gt;=BL159,"Sim","Não"),IF(BM159&lt;=BL159,"Sim","Não")))</f>
        <v/>
      </c>
      <c r="BP159" s="6"/>
      <c r="BQ159" s="6"/>
      <c r="BR159" s="4" t="str">
        <f aca="false">IF(OR(BP159="",BQ159=""),"",IFERROR(IF($K159="%",BQ159-BP159,BQ159/BP159-1),""))</f>
        <v/>
      </c>
      <c r="BS159" s="5" t="str">
        <f aca="false">IF(OR(BP159="",BQ159=""),"",IF($F159="Maior Melhor",IF(BQ159&gt;=BP159,"Sim","Não"),IF(BQ159&lt;=BP159,"Sim","Não")))</f>
        <v/>
      </c>
      <c r="BT159" s="6"/>
      <c r="BU159" s="6"/>
      <c r="BV159" s="4" t="str">
        <f aca="false">IF(OR(BT159="",BU159=""),"",IFERROR(IF($K159="%",BU159-BT159,BU159/BT159-1),""))</f>
        <v/>
      </c>
      <c r="BW159" s="5" t="str">
        <f aca="false">IF(OR(BT159="",BU159=""),"",IF($F159="Maior Melhor",IF(BU159&gt;=BT159,"Sim","Não"),IF(BU159&lt;=BT159,"Sim","Não")))</f>
        <v/>
      </c>
      <c r="BX159" s="6"/>
      <c r="BY159" s="6"/>
      <c r="BZ159" s="4" t="str">
        <f aca="false">IF(OR(BX159="",BY159=""),"",IFERROR(IF($K159="%",BY159-BX159,BY159/BX159-1),""))</f>
        <v/>
      </c>
      <c r="CA159" s="5" t="str">
        <f aca="false">IF(OR(BX159="",BY159=""),"",IF($F159="Maior Melhor",IF(BY159&gt;=BX159,"Sim","Não"),IF(BY159&lt;=BX159,"Sim","Não")))</f>
        <v/>
      </c>
      <c r="CB159" s="6"/>
      <c r="CC159" s="6"/>
      <c r="CD159" s="4" t="str">
        <f aca="false">IF(OR(CB159="",CC159=""),"",IFERROR(IF($K159="%",CC159-CB159,CC159/CB159-1),""))</f>
        <v/>
      </c>
      <c r="CE159" s="5" t="str">
        <f aca="false">IF(OR(CB159="",CC159=""),"",IF($F159="Maior Melhor",IF(CC159&gt;=CB159,"Sim","Não"),IF(CC159&lt;=CB159,"Sim","Não")))</f>
        <v/>
      </c>
      <c r="CF159" s="6"/>
      <c r="CG159" s="6"/>
      <c r="CH159" s="4" t="str">
        <f aca="false">IF(OR(CF159="",CG159=""),"",IFERROR(IF($K159="%",CG159-CF159,CG159/CF159-1),""))</f>
        <v/>
      </c>
      <c r="CI159" s="5" t="str">
        <f aca="false">IF(OR(CF159="",CG159=""),"",IF($F159="Maior Melhor",IF(CG159&gt;=CF159,"Sim","Não"),IF(CG159&lt;=CF159,"Sim","Não")))</f>
        <v/>
      </c>
      <c r="CJ159" s="6"/>
      <c r="CK159" s="6"/>
      <c r="CL159" s="4" t="str">
        <f aca="false">IF(OR(CJ159="",CK159=""),"",IFERROR(IF($K159="%",CK159-CJ159,CK159/CJ159-1),""))</f>
        <v/>
      </c>
      <c r="CM159" s="5" t="str">
        <f aca="false">IF(OR(CJ159="",CK159=""),"",IF($F159="Maior Melhor",IF(CK159&gt;=CJ159,"Sim","Não"),IF(CK159&lt;=CJ159,"Sim","Não")))</f>
        <v/>
      </c>
      <c r="CN159" s="6"/>
      <c r="CO159" s="6"/>
      <c r="CP159" s="4" t="str">
        <f aca="false">IF(OR(CN159="",CO159=""),"",IFERROR(IF($K159="%",CO159-CN159,CO159/CN159-1),""))</f>
        <v/>
      </c>
      <c r="CQ159" s="5" t="str">
        <f aca="false">IF(OR(CN159="",CO159=""),"",IF($F159="Maior Melhor",IF(CO159&gt;=CN159,"Sim","Não"),IF(CO159&lt;=CN159,"Sim","Não")))</f>
        <v/>
      </c>
      <c r="CR159" s="2" t="s">
        <v>105</v>
      </c>
    </row>
    <row r="160" customFormat="false" ht="15" hidden="false" customHeight="false" outlineLevel="0" collapsed="false">
      <c r="A160" s="2" t="s">
        <v>96</v>
      </c>
      <c r="B160" s="2" t="s">
        <v>106</v>
      </c>
      <c r="C160" s="2" t="s">
        <v>127</v>
      </c>
      <c r="D160" s="2" t="s">
        <v>170</v>
      </c>
      <c r="E160" s="2" t="str">
        <f aca="false">C160&amp;D160</f>
        <v>UTD LUIS EDUARDO MAGALHAESEfetividade Financeira do Corte (EFC) - UTDs</v>
      </c>
      <c r="F160" s="2" t="s">
        <v>100</v>
      </c>
      <c r="G160" s="2" t="s">
        <v>171</v>
      </c>
      <c r="H160" s="2" t="s">
        <v>102</v>
      </c>
      <c r="I160" s="2" t="s">
        <v>103</v>
      </c>
      <c r="J160" s="2" t="n">
        <v>1</v>
      </c>
      <c r="K160" s="2" t="s">
        <v>104</v>
      </c>
      <c r="L160" s="3" t="n">
        <v>0.669</v>
      </c>
      <c r="M160" s="3" t="n">
        <v>0.726</v>
      </c>
      <c r="N160" s="4" t="n">
        <f aca="false">IF(OR(L160="",M160=""),"",IFERROR(IF($K160="%",M160-L160,M160/L160-1),""))</f>
        <v>0.0569999999999999</v>
      </c>
      <c r="O160" s="5" t="str">
        <f aca="false">IF(OR(L160="",M160=""),"",IF($F160="Maior Melhor",IF(M160&gt;=L160,"Sim","Não"),IF(M160&lt;=L160,"Sim","Não")))</f>
        <v>Sim</v>
      </c>
      <c r="P160" s="3" t="n">
        <v>0.669</v>
      </c>
      <c r="Q160" s="3" t="n">
        <v>0.622</v>
      </c>
      <c r="R160" s="4" t="n">
        <f aca="false">IF(OR(P160="",Q160=""),"",IFERROR(IF($K160="%",Q160-P160,Q160/P160-1),""))</f>
        <v>-0.047</v>
      </c>
      <c r="S160" s="5" t="str">
        <f aca="false">IF(OR(P160="",Q160=""),"",IF($F160="Maior Melhor",IF(Q160&gt;=P160,"Sim","Não"),IF(Q160&lt;=P160,"Sim","Não")))</f>
        <v>Não</v>
      </c>
      <c r="T160" s="3" t="n">
        <v>0.669</v>
      </c>
      <c r="U160" s="3" t="n">
        <v>0.569</v>
      </c>
      <c r="V160" s="4" t="n">
        <f aca="false">IF(OR(T160="",U160=""),"",IFERROR(IF($K160="%",U160-T160,U160/T160-1),""))</f>
        <v>-0.1</v>
      </c>
      <c r="W160" s="5" t="str">
        <f aca="false">IF(OR(T160="",U160=""),"",IF($F160="Maior Melhor",IF(U160&gt;=T160,"Sim","Não"),IF(U160&lt;=T160,"Sim","Não")))</f>
        <v>Não</v>
      </c>
      <c r="X160" s="3" t="n">
        <v>0.669</v>
      </c>
      <c r="Y160" s="3" t="n">
        <v>0.645</v>
      </c>
      <c r="Z160" s="4" t="n">
        <f aca="false">IF(OR(X160="",Y160=""),"",IFERROR(IF($K160="%",Y160-X160,Y160/X160-1),""))</f>
        <v>-0.024</v>
      </c>
      <c r="AA160" s="5" t="str">
        <f aca="false">IF(OR(X160="",Y160=""),"",IF($F160="Maior Melhor",IF(Y160&gt;=X160,"Sim","Não"),IF(Y160&lt;=X160,"Sim","Não")))</f>
        <v>Não</v>
      </c>
      <c r="AB160" s="3" t="n">
        <v>0.669</v>
      </c>
      <c r="AC160" s="3" t="n">
        <v>0.651</v>
      </c>
      <c r="AD160" s="4" t="n">
        <f aca="false">IF(OR(AB160="",AC160=""),"",IFERROR(IF($K160="%",AC160-AB160,AC160/AB160-1),""))</f>
        <v>-0.018</v>
      </c>
      <c r="AE160" s="5" t="str">
        <f aca="false">IF(OR(AB160="",AC160=""),"",IF($F160="Maior Melhor",IF(AC160&gt;=AB160,"Sim","Não"),IF(AC160&lt;=AB160,"Sim","Não")))</f>
        <v>Não</v>
      </c>
      <c r="AF160" s="3" t="n">
        <v>0.669</v>
      </c>
      <c r="AG160" s="3" t="n">
        <v>0.703</v>
      </c>
      <c r="AH160" s="4" t="n">
        <f aca="false">IF(OR(AF160="",AG160=""),"",IFERROR(IF($K160="%",AG160-AF160,AG160/AF160-1),""))</f>
        <v>0.0339999999999999</v>
      </c>
      <c r="AI160" s="5" t="str">
        <f aca="false">IF(OR(AF160="",AG160=""),"",IF($F160="Maior Melhor",IF(AG160&gt;=AF160,"Sim","Não"),IF(AG160&lt;=AF160,"Sim","Não")))</f>
        <v>Sim</v>
      </c>
      <c r="AJ160" s="3" t="n">
        <v>0.669</v>
      </c>
      <c r="AK160" s="3" t="n">
        <v>0.666</v>
      </c>
      <c r="AL160" s="4" t="n">
        <f aca="false">IF(OR(AJ160="",AK160=""),"",IFERROR(IF($K160="%",AK160-AJ160,AK160/AJ160-1),""))</f>
        <v>-0.003</v>
      </c>
      <c r="AM160" s="5" t="str">
        <f aca="false">IF(OR(AJ160="",AK160=""),"",IF($F160="Maior Melhor",IF(AK160&gt;=AJ160,"Sim","Não"),IF(AK160&lt;=AJ160,"Sim","Não")))</f>
        <v>Não</v>
      </c>
      <c r="AN160" s="3" t="n">
        <v>0.669</v>
      </c>
      <c r="AO160" s="3" t="n">
        <v>1.101</v>
      </c>
      <c r="AP160" s="4" t="n">
        <f aca="false">IF(OR(AN160="",AO160=""),"",IFERROR(IF($K160="%",AO160-AN160,AO160/AN160-1),""))</f>
        <v>0.432</v>
      </c>
      <c r="AQ160" s="5" t="str">
        <f aca="false">IF(OR(AN160="",AO160=""),"",IF($F160="Maior Melhor",IF(AO160&gt;=AN160,"Sim","Não"),IF(AO160&lt;=AN160,"Sim","Não")))</f>
        <v>Sim</v>
      </c>
      <c r="AR160" s="3" t="n">
        <v>0.669</v>
      </c>
      <c r="AS160" s="3" t="n">
        <v>0.752</v>
      </c>
      <c r="AT160" s="4" t="n">
        <f aca="false">IF(OR(AR160="",AS160=""),"",IFERROR(IF($K160="%",AS160-AR160,AS160/AR160-1),""))</f>
        <v>0.083</v>
      </c>
      <c r="AU160" s="5" t="str">
        <f aca="false">IF(OR(AR160="",AS160=""),"",IF($F160="Maior Melhor",IF(AS160&gt;=AR160,"Sim","Não"),IF(AS160&lt;=AR160,"Sim","Não")))</f>
        <v>Sim</v>
      </c>
      <c r="AV160" s="3" t="n">
        <v>0.669</v>
      </c>
      <c r="AW160" s="3" t="n">
        <v>0.713</v>
      </c>
      <c r="AX160" s="4" t="n">
        <f aca="false">IF(OR(AV160="",AW160=""),"",IFERROR(IF($K160="%",AW160-AV160,AW160/AV160-1),""))</f>
        <v>0.0439999999999999</v>
      </c>
      <c r="AY160" s="5" t="str">
        <f aca="false">IF(OR(AV160="",AW160=""),"",IF($F160="Maior Melhor",IF(AW160&gt;=AV160,"Sim","Não"),IF(AW160&lt;=AV160,"Sim","Não")))</f>
        <v>Sim</v>
      </c>
      <c r="AZ160" s="3" t="n">
        <v>0.669</v>
      </c>
      <c r="BA160" s="3" t="n">
        <v>0.743</v>
      </c>
      <c r="BB160" s="4" t="n">
        <f aca="false">IF(OR(AZ160="",BA160=""),"",IFERROR(IF($K160="%",BA160-AZ160,BA160/AZ160-1),""))</f>
        <v>0.074</v>
      </c>
      <c r="BC160" s="5" t="str">
        <f aca="false">IF(OR(AZ160="",BA160=""),"",IF($F160="Maior Melhor",IF(BA160&gt;=AZ160,"Sim","Não"),IF(BA160&lt;=AZ160,"Sim","Não")))</f>
        <v>Sim</v>
      </c>
      <c r="BD160" s="3" t="n">
        <v>0.669</v>
      </c>
      <c r="BE160" s="3" t="n">
        <v>0.814</v>
      </c>
      <c r="BF160" s="4" t="n">
        <f aca="false">IF(OR(BD160="",BE160=""),"",IFERROR(IF($K160="%",BE160-BD160,BE160/BD160-1),""))</f>
        <v>0.145</v>
      </c>
      <c r="BG160" s="5" t="str">
        <f aca="false">IF(OR(BD160="",BE160=""),"",IF($F160="Maior Melhor",IF(BE160&gt;=BD160,"Sim","Não"),IF(BE160&lt;=BD160,"Sim","Não")))</f>
        <v>Sim</v>
      </c>
      <c r="BH160" s="3" t="n">
        <v>0.669</v>
      </c>
      <c r="BI160" s="3" t="n">
        <v>0.759</v>
      </c>
      <c r="BJ160" s="4" t="n">
        <f aca="false">IF(OR(BH160="",BI160=""),"",IFERROR(IF($K160="%",BI160-BH160,BI160/BH160-1),""))</f>
        <v>0.09</v>
      </c>
      <c r="BK160" s="5" t="str">
        <f aca="false">IF(OR(BH160="",BI160=""),"",IF($F160="Maior Melhor",IF(BI160&gt;=BH160,"Sim","Não"),IF(BI160&lt;=BH160,"Sim","Não")))</f>
        <v>Sim</v>
      </c>
      <c r="BL160" s="6"/>
      <c r="BM160" s="6"/>
      <c r="BN160" s="4" t="str">
        <f aca="false">IF(OR(BL160="",BM160=""),"",IFERROR(IF($K160="%",BM160-BL160,BM160/BL160-1),""))</f>
        <v/>
      </c>
      <c r="BO160" s="5" t="str">
        <f aca="false">IF(OR(BL160="",BM160=""),"",IF($F160="Maior Melhor",IF(BM160&gt;=BL160,"Sim","Não"),IF(BM160&lt;=BL160,"Sim","Não")))</f>
        <v/>
      </c>
      <c r="BP160" s="6"/>
      <c r="BQ160" s="6"/>
      <c r="BR160" s="4" t="str">
        <f aca="false">IF(OR(BP160="",BQ160=""),"",IFERROR(IF($K160="%",BQ160-BP160,BQ160/BP160-1),""))</f>
        <v/>
      </c>
      <c r="BS160" s="5" t="str">
        <f aca="false">IF(OR(BP160="",BQ160=""),"",IF($F160="Maior Melhor",IF(BQ160&gt;=BP160,"Sim","Não"),IF(BQ160&lt;=BP160,"Sim","Não")))</f>
        <v/>
      </c>
      <c r="BT160" s="6"/>
      <c r="BU160" s="6"/>
      <c r="BV160" s="4" t="str">
        <f aca="false">IF(OR(BT160="",BU160=""),"",IFERROR(IF($K160="%",BU160-BT160,BU160/BT160-1),""))</f>
        <v/>
      </c>
      <c r="BW160" s="5" t="str">
        <f aca="false">IF(OR(BT160="",BU160=""),"",IF($F160="Maior Melhor",IF(BU160&gt;=BT160,"Sim","Não"),IF(BU160&lt;=BT160,"Sim","Não")))</f>
        <v/>
      </c>
      <c r="BX160" s="6"/>
      <c r="BY160" s="6"/>
      <c r="BZ160" s="4" t="str">
        <f aca="false">IF(OR(BX160="",BY160=""),"",IFERROR(IF($K160="%",BY160-BX160,BY160/BX160-1),""))</f>
        <v/>
      </c>
      <c r="CA160" s="5" t="str">
        <f aca="false">IF(OR(BX160="",BY160=""),"",IF($F160="Maior Melhor",IF(BY160&gt;=BX160,"Sim","Não"),IF(BY160&lt;=BX160,"Sim","Não")))</f>
        <v/>
      </c>
      <c r="CB160" s="6"/>
      <c r="CC160" s="6"/>
      <c r="CD160" s="4" t="str">
        <f aca="false">IF(OR(CB160="",CC160=""),"",IFERROR(IF($K160="%",CC160-CB160,CC160/CB160-1),""))</f>
        <v/>
      </c>
      <c r="CE160" s="5" t="str">
        <f aca="false">IF(OR(CB160="",CC160=""),"",IF($F160="Maior Melhor",IF(CC160&gt;=CB160,"Sim","Não"),IF(CC160&lt;=CB160,"Sim","Não")))</f>
        <v/>
      </c>
      <c r="CF160" s="6"/>
      <c r="CG160" s="6"/>
      <c r="CH160" s="4" t="str">
        <f aca="false">IF(OR(CF160="",CG160=""),"",IFERROR(IF($K160="%",CG160-CF160,CG160/CF160-1),""))</f>
        <v/>
      </c>
      <c r="CI160" s="5" t="str">
        <f aca="false">IF(OR(CF160="",CG160=""),"",IF($F160="Maior Melhor",IF(CG160&gt;=CF160,"Sim","Não"),IF(CG160&lt;=CF160,"Sim","Não")))</f>
        <v/>
      </c>
      <c r="CJ160" s="6"/>
      <c r="CK160" s="6"/>
      <c r="CL160" s="4" t="str">
        <f aca="false">IF(OR(CJ160="",CK160=""),"",IFERROR(IF($K160="%",CK160-CJ160,CK160/CJ160-1),""))</f>
        <v/>
      </c>
      <c r="CM160" s="5" t="str">
        <f aca="false">IF(OR(CJ160="",CK160=""),"",IF($F160="Maior Melhor",IF(CK160&gt;=CJ160,"Sim","Não"),IF(CK160&lt;=CJ160,"Sim","Não")))</f>
        <v/>
      </c>
      <c r="CN160" s="6"/>
      <c r="CO160" s="6"/>
      <c r="CP160" s="4" t="str">
        <f aca="false">IF(OR(CN160="",CO160=""),"",IFERROR(IF($K160="%",CO160-CN160,CO160/CN160-1),""))</f>
        <v/>
      </c>
      <c r="CQ160" s="5" t="str">
        <f aca="false">IF(OR(CN160="",CO160=""),"",IF($F160="Maior Melhor",IF(CO160&gt;=CN160,"Sim","Não"),IF(CO160&lt;=CN160,"Sim","Não")))</f>
        <v/>
      </c>
      <c r="CR160" s="2" t="s">
        <v>105</v>
      </c>
    </row>
    <row r="161" customFormat="false" ht="15" hidden="false" customHeight="false" outlineLevel="0" collapsed="false">
      <c r="A161" s="2" t="s">
        <v>96</v>
      </c>
      <c r="B161" s="2" t="s">
        <v>106</v>
      </c>
      <c r="C161" s="2" t="s">
        <v>128</v>
      </c>
      <c r="D161" s="2" t="s">
        <v>170</v>
      </c>
      <c r="E161" s="2" t="str">
        <f aca="false">C161&amp;D161</f>
        <v>UTD SANTA MARIA DA VITORIAEfetividade Financeira do Corte (EFC) - UTDs</v>
      </c>
      <c r="F161" s="2" t="s">
        <v>100</v>
      </c>
      <c r="G161" s="2" t="s">
        <v>171</v>
      </c>
      <c r="H161" s="2" t="s">
        <v>102</v>
      </c>
      <c r="I161" s="2" t="s">
        <v>103</v>
      </c>
      <c r="J161" s="2" t="n">
        <v>1</v>
      </c>
      <c r="K161" s="2" t="s">
        <v>104</v>
      </c>
      <c r="L161" s="3" t="n">
        <v>0.675</v>
      </c>
      <c r="M161" s="3" t="n">
        <v>1.021</v>
      </c>
      <c r="N161" s="4" t="n">
        <f aca="false">IF(OR(L161="",M161=""),"",IFERROR(IF($K161="%",M161-L161,M161/L161-1),""))</f>
        <v>0.346</v>
      </c>
      <c r="O161" s="5" t="str">
        <f aca="false">IF(OR(L161="",M161=""),"",IF($F161="Maior Melhor",IF(M161&gt;=L161,"Sim","Não"),IF(M161&lt;=L161,"Sim","Não")))</f>
        <v>Sim</v>
      </c>
      <c r="P161" s="3" t="n">
        <v>0.675</v>
      </c>
      <c r="Q161" s="3" t="n">
        <v>0.195</v>
      </c>
      <c r="R161" s="4" t="n">
        <f aca="false">IF(OR(P161="",Q161=""),"",IFERROR(IF($K161="%",Q161-P161,Q161/P161-1),""))</f>
        <v>-0.48</v>
      </c>
      <c r="S161" s="5" t="str">
        <f aca="false">IF(OR(P161="",Q161=""),"",IF($F161="Maior Melhor",IF(Q161&gt;=P161,"Sim","Não"),IF(Q161&lt;=P161,"Sim","Não")))</f>
        <v>Não</v>
      </c>
      <c r="T161" s="3" t="n">
        <v>0.675</v>
      </c>
      <c r="U161" s="3" t="n">
        <v>0.777</v>
      </c>
      <c r="V161" s="4" t="n">
        <f aca="false">IF(OR(T161="",U161=""),"",IFERROR(IF($K161="%",U161-T161,U161/T161-1),""))</f>
        <v>0.102</v>
      </c>
      <c r="W161" s="5" t="str">
        <f aca="false">IF(OR(T161="",U161=""),"",IF($F161="Maior Melhor",IF(U161&gt;=T161,"Sim","Não"),IF(U161&lt;=T161,"Sim","Não")))</f>
        <v>Sim</v>
      </c>
      <c r="X161" s="3" t="n">
        <v>0.675</v>
      </c>
      <c r="Y161" s="3" t="n">
        <v>0.897</v>
      </c>
      <c r="Z161" s="4" t="n">
        <f aca="false">IF(OR(X161="",Y161=""),"",IFERROR(IF($K161="%",Y161-X161,Y161/X161-1),""))</f>
        <v>0.222</v>
      </c>
      <c r="AA161" s="5" t="str">
        <f aca="false">IF(OR(X161="",Y161=""),"",IF($F161="Maior Melhor",IF(Y161&gt;=X161,"Sim","Não"),IF(Y161&lt;=X161,"Sim","Não")))</f>
        <v>Sim</v>
      </c>
      <c r="AB161" s="3" t="n">
        <v>0.675</v>
      </c>
      <c r="AC161" s="3" t="n">
        <v>0.649</v>
      </c>
      <c r="AD161" s="4" t="n">
        <f aca="false">IF(OR(AB161="",AC161=""),"",IFERROR(IF($K161="%",AC161-AB161,AC161/AB161-1),""))</f>
        <v>-0.026</v>
      </c>
      <c r="AE161" s="5" t="str">
        <f aca="false">IF(OR(AB161="",AC161=""),"",IF($F161="Maior Melhor",IF(AC161&gt;=AB161,"Sim","Não"),IF(AC161&lt;=AB161,"Sim","Não")))</f>
        <v>Não</v>
      </c>
      <c r="AF161" s="3" t="n">
        <v>0.675</v>
      </c>
      <c r="AG161" s="3" t="n">
        <v>0.739</v>
      </c>
      <c r="AH161" s="4" t="n">
        <f aca="false">IF(OR(AF161="",AG161=""),"",IFERROR(IF($K161="%",AG161-AF161,AG161/AF161-1),""))</f>
        <v>0.064</v>
      </c>
      <c r="AI161" s="5" t="str">
        <f aca="false">IF(OR(AF161="",AG161=""),"",IF($F161="Maior Melhor",IF(AG161&gt;=AF161,"Sim","Não"),IF(AG161&lt;=AF161,"Sim","Não")))</f>
        <v>Sim</v>
      </c>
      <c r="AJ161" s="3" t="n">
        <v>0.675</v>
      </c>
      <c r="AK161" s="3" t="n">
        <v>0.666</v>
      </c>
      <c r="AL161" s="4" t="n">
        <f aca="false">IF(OR(AJ161="",AK161=""),"",IFERROR(IF($K161="%",AK161-AJ161,AK161/AJ161-1),""))</f>
        <v>-0.00900000000000001</v>
      </c>
      <c r="AM161" s="5" t="str">
        <f aca="false">IF(OR(AJ161="",AK161=""),"",IF($F161="Maior Melhor",IF(AK161&gt;=AJ161,"Sim","Não"),IF(AK161&lt;=AJ161,"Sim","Não")))</f>
        <v>Não</v>
      </c>
      <c r="AN161" s="3" t="n">
        <v>0.675</v>
      </c>
      <c r="AO161" s="3" t="n">
        <v>0.908</v>
      </c>
      <c r="AP161" s="4" t="n">
        <f aca="false">IF(OR(AN161="",AO161=""),"",IFERROR(IF($K161="%",AO161-AN161,AO161/AN161-1),""))</f>
        <v>0.233</v>
      </c>
      <c r="AQ161" s="5" t="str">
        <f aca="false">IF(OR(AN161="",AO161=""),"",IF($F161="Maior Melhor",IF(AO161&gt;=AN161,"Sim","Não"),IF(AO161&lt;=AN161,"Sim","Não")))</f>
        <v>Sim</v>
      </c>
      <c r="AR161" s="3" t="n">
        <v>0.675</v>
      </c>
      <c r="AS161" s="3" t="n">
        <v>0.709</v>
      </c>
      <c r="AT161" s="4" t="n">
        <f aca="false">IF(OR(AR161="",AS161=""),"",IFERROR(IF($K161="%",AS161-AR161,AS161/AR161-1),""))</f>
        <v>0.0339999999999999</v>
      </c>
      <c r="AU161" s="5" t="str">
        <f aca="false">IF(OR(AR161="",AS161=""),"",IF($F161="Maior Melhor",IF(AS161&gt;=AR161,"Sim","Não"),IF(AS161&lt;=AR161,"Sim","Não")))</f>
        <v>Sim</v>
      </c>
      <c r="AV161" s="3" t="n">
        <v>0.675</v>
      </c>
      <c r="AW161" s="3" t="n">
        <v>0.759</v>
      </c>
      <c r="AX161" s="4" t="n">
        <f aca="false">IF(OR(AV161="",AW161=""),"",IFERROR(IF($K161="%",AW161-AV161,AW161/AV161-1),""))</f>
        <v>0.084</v>
      </c>
      <c r="AY161" s="5" t="str">
        <f aca="false">IF(OR(AV161="",AW161=""),"",IF($F161="Maior Melhor",IF(AW161&gt;=AV161,"Sim","Não"),IF(AW161&lt;=AV161,"Sim","Não")))</f>
        <v>Sim</v>
      </c>
      <c r="AZ161" s="3" t="n">
        <v>0.675</v>
      </c>
      <c r="BA161" s="3" t="n">
        <v>0.717</v>
      </c>
      <c r="BB161" s="4" t="n">
        <f aca="false">IF(OR(AZ161="",BA161=""),"",IFERROR(IF($K161="%",BA161-AZ161,BA161/AZ161-1),""))</f>
        <v>0.0419999999999999</v>
      </c>
      <c r="BC161" s="5" t="str">
        <f aca="false">IF(OR(AZ161="",BA161=""),"",IF($F161="Maior Melhor",IF(BA161&gt;=AZ161,"Sim","Não"),IF(BA161&lt;=AZ161,"Sim","Não")))</f>
        <v>Sim</v>
      </c>
      <c r="BD161" s="3" t="n">
        <v>0.675</v>
      </c>
      <c r="BE161" s="3" t="n">
        <v>0.676</v>
      </c>
      <c r="BF161" s="4" t="n">
        <f aca="false">IF(OR(BD161="",BE161=""),"",IFERROR(IF($K161="%",BE161-BD161,BE161/BD161-1),""))</f>
        <v>0.001</v>
      </c>
      <c r="BG161" s="5" t="str">
        <f aca="false">IF(OR(BD161="",BE161=""),"",IF($F161="Maior Melhor",IF(BE161&gt;=BD161,"Sim","Não"),IF(BE161&lt;=BD161,"Sim","Não")))</f>
        <v>Sim</v>
      </c>
      <c r="BH161" s="3" t="n">
        <v>0.675</v>
      </c>
      <c r="BI161" s="3" t="n">
        <v>0.711</v>
      </c>
      <c r="BJ161" s="4" t="n">
        <f aca="false">IF(OR(BH161="",BI161=""),"",IFERROR(IF($K161="%",BI161-BH161,BI161/BH161-1),""))</f>
        <v>0.0359999999999999</v>
      </c>
      <c r="BK161" s="5" t="str">
        <f aca="false">IF(OR(BH161="",BI161=""),"",IF($F161="Maior Melhor",IF(BI161&gt;=BH161,"Sim","Não"),IF(BI161&lt;=BH161,"Sim","Não")))</f>
        <v>Sim</v>
      </c>
      <c r="BL161" s="6"/>
      <c r="BM161" s="6"/>
      <c r="BN161" s="4" t="str">
        <f aca="false">IF(OR(BL161="",BM161=""),"",IFERROR(IF($K161="%",BM161-BL161,BM161/BL161-1),""))</f>
        <v/>
      </c>
      <c r="BO161" s="5" t="str">
        <f aca="false">IF(OR(BL161="",BM161=""),"",IF($F161="Maior Melhor",IF(BM161&gt;=BL161,"Sim","Não"),IF(BM161&lt;=BL161,"Sim","Não")))</f>
        <v/>
      </c>
      <c r="BP161" s="6"/>
      <c r="BQ161" s="6"/>
      <c r="BR161" s="4" t="str">
        <f aca="false">IF(OR(BP161="",BQ161=""),"",IFERROR(IF($K161="%",BQ161-BP161,BQ161/BP161-1),""))</f>
        <v/>
      </c>
      <c r="BS161" s="5" t="str">
        <f aca="false">IF(OR(BP161="",BQ161=""),"",IF($F161="Maior Melhor",IF(BQ161&gt;=BP161,"Sim","Não"),IF(BQ161&lt;=BP161,"Sim","Não")))</f>
        <v/>
      </c>
      <c r="BT161" s="6"/>
      <c r="BU161" s="6"/>
      <c r="BV161" s="4" t="str">
        <f aca="false">IF(OR(BT161="",BU161=""),"",IFERROR(IF($K161="%",BU161-BT161,BU161/BT161-1),""))</f>
        <v/>
      </c>
      <c r="BW161" s="5" t="str">
        <f aca="false">IF(OR(BT161="",BU161=""),"",IF($F161="Maior Melhor",IF(BU161&gt;=BT161,"Sim","Não"),IF(BU161&lt;=BT161,"Sim","Não")))</f>
        <v/>
      </c>
      <c r="BX161" s="6"/>
      <c r="BY161" s="6"/>
      <c r="BZ161" s="4" t="str">
        <f aca="false">IF(OR(BX161="",BY161=""),"",IFERROR(IF($K161="%",BY161-BX161,BY161/BX161-1),""))</f>
        <v/>
      </c>
      <c r="CA161" s="5" t="str">
        <f aca="false">IF(OR(BX161="",BY161=""),"",IF($F161="Maior Melhor",IF(BY161&gt;=BX161,"Sim","Não"),IF(BY161&lt;=BX161,"Sim","Não")))</f>
        <v/>
      </c>
      <c r="CB161" s="6"/>
      <c r="CC161" s="6"/>
      <c r="CD161" s="4" t="str">
        <f aca="false">IF(OR(CB161="",CC161=""),"",IFERROR(IF($K161="%",CC161-CB161,CC161/CB161-1),""))</f>
        <v/>
      </c>
      <c r="CE161" s="5" t="str">
        <f aca="false">IF(OR(CB161="",CC161=""),"",IF($F161="Maior Melhor",IF(CC161&gt;=CB161,"Sim","Não"),IF(CC161&lt;=CB161,"Sim","Não")))</f>
        <v/>
      </c>
      <c r="CF161" s="6"/>
      <c r="CG161" s="6"/>
      <c r="CH161" s="4" t="str">
        <f aca="false">IF(OR(CF161="",CG161=""),"",IFERROR(IF($K161="%",CG161-CF161,CG161/CF161-1),""))</f>
        <v/>
      </c>
      <c r="CI161" s="5" t="str">
        <f aca="false">IF(OR(CF161="",CG161=""),"",IF($F161="Maior Melhor",IF(CG161&gt;=CF161,"Sim","Não"),IF(CG161&lt;=CF161,"Sim","Não")))</f>
        <v/>
      </c>
      <c r="CJ161" s="6"/>
      <c r="CK161" s="6"/>
      <c r="CL161" s="4" t="str">
        <f aca="false">IF(OR(CJ161="",CK161=""),"",IFERROR(IF($K161="%",CK161-CJ161,CK161/CJ161-1),""))</f>
        <v/>
      </c>
      <c r="CM161" s="5" t="str">
        <f aca="false">IF(OR(CJ161="",CK161=""),"",IF($F161="Maior Melhor",IF(CK161&gt;=CJ161,"Sim","Não"),IF(CK161&lt;=CJ161,"Sim","Não")))</f>
        <v/>
      </c>
      <c r="CN161" s="6"/>
      <c r="CO161" s="6"/>
      <c r="CP161" s="4" t="str">
        <f aca="false">IF(OR(CN161="",CO161=""),"",IFERROR(IF($K161="%",CO161-CN161,CO161/CN161-1),""))</f>
        <v/>
      </c>
      <c r="CQ161" s="5" t="str">
        <f aca="false">IF(OR(CN161="",CO161=""),"",IF($F161="Maior Melhor",IF(CO161&gt;=CN161,"Sim","Não"),IF(CO161&lt;=CN161,"Sim","Não")))</f>
        <v/>
      </c>
      <c r="CR161" s="2" t="s">
        <v>129</v>
      </c>
    </row>
    <row r="162" customFormat="false" ht="15" hidden="false" customHeight="false" outlineLevel="0" collapsed="false">
      <c r="A162" s="2" t="s">
        <v>96</v>
      </c>
      <c r="B162" s="2" t="s">
        <v>97</v>
      </c>
      <c r="C162" s="2" t="s">
        <v>130</v>
      </c>
      <c r="D162" s="2" t="s">
        <v>170</v>
      </c>
      <c r="E162" s="2" t="str">
        <f aca="false">C162&amp;D162</f>
        <v>UTD SEABRAEfetividade Financeira do Corte (EFC) - UTDs</v>
      </c>
      <c r="F162" s="2" t="s">
        <v>100</v>
      </c>
      <c r="G162" s="2" t="s">
        <v>171</v>
      </c>
      <c r="H162" s="2" t="s">
        <v>102</v>
      </c>
      <c r="I162" s="2" t="s">
        <v>103</v>
      </c>
      <c r="J162" s="2" t="n">
        <v>1</v>
      </c>
      <c r="K162" s="2" t="s">
        <v>104</v>
      </c>
      <c r="L162" s="3" t="n">
        <v>0.747</v>
      </c>
      <c r="M162" s="3" t="n">
        <v>0.771</v>
      </c>
      <c r="N162" s="4" t="n">
        <f aca="false">IF(OR(L162="",M162=""),"",IFERROR(IF($K162="%",M162-L162,M162/L162-1),""))</f>
        <v>0.024</v>
      </c>
      <c r="O162" s="5" t="str">
        <f aca="false">IF(OR(L162="",M162=""),"",IF($F162="Maior Melhor",IF(M162&gt;=L162,"Sim","Não"),IF(M162&lt;=L162,"Sim","Não")))</f>
        <v>Sim</v>
      </c>
      <c r="P162" s="3" t="n">
        <v>0.747</v>
      </c>
      <c r="Q162" s="3" t="n">
        <v>0.824</v>
      </c>
      <c r="R162" s="4" t="n">
        <f aca="false">IF(OR(P162="",Q162=""),"",IFERROR(IF($K162="%",Q162-P162,Q162/P162-1),""))</f>
        <v>0.077</v>
      </c>
      <c r="S162" s="5" t="str">
        <f aca="false">IF(OR(P162="",Q162=""),"",IF($F162="Maior Melhor",IF(Q162&gt;=P162,"Sim","Não"),IF(Q162&lt;=P162,"Sim","Não")))</f>
        <v>Sim</v>
      </c>
      <c r="T162" s="3" t="n">
        <v>0.747</v>
      </c>
      <c r="U162" s="3" t="n">
        <v>0.74</v>
      </c>
      <c r="V162" s="4" t="n">
        <f aca="false">IF(OR(T162="",U162=""),"",IFERROR(IF($K162="%",U162-T162,U162/T162-1),""))</f>
        <v>-0.00700000000000001</v>
      </c>
      <c r="W162" s="5" t="str">
        <f aca="false">IF(OR(T162="",U162=""),"",IF($F162="Maior Melhor",IF(U162&gt;=T162,"Sim","Não"),IF(U162&lt;=T162,"Sim","Não")))</f>
        <v>Não</v>
      </c>
      <c r="X162" s="3" t="n">
        <v>0.747</v>
      </c>
      <c r="Y162" s="3" t="n">
        <v>0.67</v>
      </c>
      <c r="Z162" s="4" t="n">
        <f aca="false">IF(OR(X162="",Y162=""),"",IFERROR(IF($K162="%",Y162-X162,Y162/X162-1),""))</f>
        <v>-0.077</v>
      </c>
      <c r="AA162" s="5" t="str">
        <f aca="false">IF(OR(X162="",Y162=""),"",IF($F162="Maior Melhor",IF(Y162&gt;=X162,"Sim","Não"),IF(Y162&lt;=X162,"Sim","Não")))</f>
        <v>Não</v>
      </c>
      <c r="AB162" s="3" t="n">
        <v>0.747</v>
      </c>
      <c r="AC162" s="3" t="n">
        <v>0.751</v>
      </c>
      <c r="AD162" s="4" t="n">
        <f aca="false">IF(OR(AB162="",AC162=""),"",IFERROR(IF($K162="%",AC162-AB162,AC162/AB162-1),""))</f>
        <v>0.004</v>
      </c>
      <c r="AE162" s="5" t="str">
        <f aca="false">IF(OR(AB162="",AC162=""),"",IF($F162="Maior Melhor",IF(AC162&gt;=AB162,"Sim","Não"),IF(AC162&lt;=AB162,"Sim","Não")))</f>
        <v>Sim</v>
      </c>
      <c r="AF162" s="3" t="n">
        <v>0.747</v>
      </c>
      <c r="AG162" s="3" t="n">
        <v>0.742</v>
      </c>
      <c r="AH162" s="4" t="n">
        <f aca="false">IF(OR(AF162="",AG162=""),"",IFERROR(IF($K162="%",AG162-AF162,AG162/AF162-1),""))</f>
        <v>-0.005</v>
      </c>
      <c r="AI162" s="5" t="str">
        <f aca="false">IF(OR(AF162="",AG162=""),"",IF($F162="Maior Melhor",IF(AG162&gt;=AF162,"Sim","Não"),IF(AG162&lt;=AF162,"Sim","Não")))</f>
        <v>Não</v>
      </c>
      <c r="AJ162" s="3" t="n">
        <v>0.747</v>
      </c>
      <c r="AK162" s="3" t="n">
        <v>0.749</v>
      </c>
      <c r="AL162" s="4" t="n">
        <f aca="false">IF(OR(AJ162="",AK162=""),"",IFERROR(IF($K162="%",AK162-AJ162,AK162/AJ162-1),""))</f>
        <v>0.002</v>
      </c>
      <c r="AM162" s="5" t="str">
        <f aca="false">IF(OR(AJ162="",AK162=""),"",IF($F162="Maior Melhor",IF(AK162&gt;=AJ162,"Sim","Não"),IF(AK162&lt;=AJ162,"Sim","Não")))</f>
        <v>Sim</v>
      </c>
      <c r="AN162" s="3" t="n">
        <v>0.747</v>
      </c>
      <c r="AO162" s="3" t="n">
        <v>0.854</v>
      </c>
      <c r="AP162" s="4" t="n">
        <f aca="false">IF(OR(AN162="",AO162=""),"",IFERROR(IF($K162="%",AO162-AN162,AO162/AN162-1),""))</f>
        <v>0.107</v>
      </c>
      <c r="AQ162" s="5" t="str">
        <f aca="false">IF(OR(AN162="",AO162=""),"",IF($F162="Maior Melhor",IF(AO162&gt;=AN162,"Sim","Não"),IF(AO162&lt;=AN162,"Sim","Não")))</f>
        <v>Sim</v>
      </c>
      <c r="AR162" s="3" t="n">
        <v>0.747</v>
      </c>
      <c r="AS162" s="3" t="n">
        <v>0.772</v>
      </c>
      <c r="AT162" s="4" t="n">
        <f aca="false">IF(OR(AR162="",AS162=""),"",IFERROR(IF($K162="%",AS162-AR162,AS162/AR162-1),""))</f>
        <v>0.025</v>
      </c>
      <c r="AU162" s="5" t="str">
        <f aca="false">IF(OR(AR162="",AS162=""),"",IF($F162="Maior Melhor",IF(AS162&gt;=AR162,"Sim","Não"),IF(AS162&lt;=AR162,"Sim","Não")))</f>
        <v>Sim</v>
      </c>
      <c r="AV162" s="3" t="n">
        <v>0.747</v>
      </c>
      <c r="AW162" s="3" t="n">
        <v>0.743</v>
      </c>
      <c r="AX162" s="4" t="n">
        <f aca="false">IF(OR(AV162="",AW162=""),"",IFERROR(IF($K162="%",AW162-AV162,AW162/AV162-1),""))</f>
        <v>-0.004</v>
      </c>
      <c r="AY162" s="5" t="str">
        <f aca="false">IF(OR(AV162="",AW162=""),"",IF($F162="Maior Melhor",IF(AW162&gt;=AV162,"Sim","Não"),IF(AW162&lt;=AV162,"Sim","Não")))</f>
        <v>Não</v>
      </c>
      <c r="AZ162" s="3" t="n">
        <v>0.747</v>
      </c>
      <c r="BA162" s="3" t="n">
        <v>0.766</v>
      </c>
      <c r="BB162" s="4" t="n">
        <f aca="false">IF(OR(AZ162="",BA162=""),"",IFERROR(IF($K162="%",BA162-AZ162,BA162/AZ162-1),""))</f>
        <v>0.019</v>
      </c>
      <c r="BC162" s="5" t="str">
        <f aca="false">IF(OR(AZ162="",BA162=""),"",IF($F162="Maior Melhor",IF(BA162&gt;=AZ162,"Sim","Não"),IF(BA162&lt;=AZ162,"Sim","Não")))</f>
        <v>Sim</v>
      </c>
      <c r="BD162" s="3" t="n">
        <v>0.747</v>
      </c>
      <c r="BE162" s="3" t="n">
        <v>1.339</v>
      </c>
      <c r="BF162" s="4" t="n">
        <f aca="false">IF(OR(BD162="",BE162=""),"",IFERROR(IF($K162="%",BE162-BD162,BE162/BD162-1),""))</f>
        <v>0.592</v>
      </c>
      <c r="BG162" s="5" t="str">
        <f aca="false">IF(OR(BD162="",BE162=""),"",IF($F162="Maior Melhor",IF(BE162&gt;=BD162,"Sim","Não"),IF(BE162&lt;=BD162,"Sim","Não")))</f>
        <v>Sim</v>
      </c>
      <c r="BH162" s="3" t="n">
        <v>0.747</v>
      </c>
      <c r="BI162" s="3" t="n">
        <v>0.915</v>
      </c>
      <c r="BJ162" s="4" t="n">
        <f aca="false">IF(OR(BH162="",BI162=""),"",IFERROR(IF($K162="%",BI162-BH162,BI162/BH162-1),""))</f>
        <v>0.168</v>
      </c>
      <c r="BK162" s="5" t="str">
        <f aca="false">IF(OR(BH162="",BI162=""),"",IF($F162="Maior Melhor",IF(BI162&gt;=BH162,"Sim","Não"),IF(BI162&lt;=BH162,"Sim","Não")))</f>
        <v>Sim</v>
      </c>
      <c r="BL162" s="6"/>
      <c r="BM162" s="6"/>
      <c r="BN162" s="4" t="str">
        <f aca="false">IF(OR(BL162="",BM162=""),"",IFERROR(IF($K162="%",BM162-BL162,BM162/BL162-1),""))</f>
        <v/>
      </c>
      <c r="BO162" s="5" t="str">
        <f aca="false">IF(OR(BL162="",BM162=""),"",IF($F162="Maior Melhor",IF(BM162&gt;=BL162,"Sim","Não"),IF(BM162&lt;=BL162,"Sim","Não")))</f>
        <v/>
      </c>
      <c r="BP162" s="6"/>
      <c r="BQ162" s="6"/>
      <c r="BR162" s="4" t="str">
        <f aca="false">IF(OR(BP162="",BQ162=""),"",IFERROR(IF($K162="%",BQ162-BP162,BQ162/BP162-1),""))</f>
        <v/>
      </c>
      <c r="BS162" s="5" t="str">
        <f aca="false">IF(OR(BP162="",BQ162=""),"",IF($F162="Maior Melhor",IF(BQ162&gt;=BP162,"Sim","Não"),IF(BQ162&lt;=BP162,"Sim","Não")))</f>
        <v/>
      </c>
      <c r="BT162" s="6"/>
      <c r="BU162" s="6"/>
      <c r="BV162" s="4" t="str">
        <f aca="false">IF(OR(BT162="",BU162=""),"",IFERROR(IF($K162="%",BU162-BT162,BU162/BT162-1),""))</f>
        <v/>
      </c>
      <c r="BW162" s="5" t="str">
        <f aca="false">IF(OR(BT162="",BU162=""),"",IF($F162="Maior Melhor",IF(BU162&gt;=BT162,"Sim","Não"),IF(BU162&lt;=BT162,"Sim","Não")))</f>
        <v/>
      </c>
      <c r="BX162" s="6"/>
      <c r="BY162" s="6"/>
      <c r="BZ162" s="4" t="str">
        <f aca="false">IF(OR(BX162="",BY162=""),"",IFERROR(IF($K162="%",BY162-BX162,BY162/BX162-1),""))</f>
        <v/>
      </c>
      <c r="CA162" s="5" t="str">
        <f aca="false">IF(OR(BX162="",BY162=""),"",IF($F162="Maior Melhor",IF(BY162&gt;=BX162,"Sim","Não"),IF(BY162&lt;=BX162,"Sim","Não")))</f>
        <v/>
      </c>
      <c r="CB162" s="6"/>
      <c r="CC162" s="6"/>
      <c r="CD162" s="4" t="str">
        <f aca="false">IF(OR(CB162="",CC162=""),"",IFERROR(IF($K162="%",CC162-CB162,CC162/CB162-1),""))</f>
        <v/>
      </c>
      <c r="CE162" s="5" t="str">
        <f aca="false">IF(OR(CB162="",CC162=""),"",IF($F162="Maior Melhor",IF(CC162&gt;=CB162,"Sim","Não"),IF(CC162&lt;=CB162,"Sim","Não")))</f>
        <v/>
      </c>
      <c r="CF162" s="6"/>
      <c r="CG162" s="6"/>
      <c r="CH162" s="4" t="str">
        <f aca="false">IF(OR(CF162="",CG162=""),"",IFERROR(IF($K162="%",CG162-CF162,CG162/CF162-1),""))</f>
        <v/>
      </c>
      <c r="CI162" s="5" t="str">
        <f aca="false">IF(OR(CF162="",CG162=""),"",IF($F162="Maior Melhor",IF(CG162&gt;=CF162,"Sim","Não"),IF(CG162&lt;=CF162,"Sim","Não")))</f>
        <v/>
      </c>
      <c r="CJ162" s="6"/>
      <c r="CK162" s="6"/>
      <c r="CL162" s="4" t="str">
        <f aca="false">IF(OR(CJ162="",CK162=""),"",IFERROR(IF($K162="%",CK162-CJ162,CK162/CJ162-1),""))</f>
        <v/>
      </c>
      <c r="CM162" s="5" t="str">
        <f aca="false">IF(OR(CJ162="",CK162=""),"",IF($F162="Maior Melhor",IF(CK162&gt;=CJ162,"Sim","Não"),IF(CK162&lt;=CJ162,"Sim","Não")))</f>
        <v/>
      </c>
      <c r="CN162" s="6"/>
      <c r="CO162" s="6"/>
      <c r="CP162" s="4" t="str">
        <f aca="false">IF(OR(CN162="",CO162=""),"",IFERROR(IF($K162="%",CO162-CN162,CO162/CN162-1),""))</f>
        <v/>
      </c>
      <c r="CQ162" s="5" t="str">
        <f aca="false">IF(OR(CN162="",CO162=""),"",IF($F162="Maior Melhor",IF(CO162&gt;=CN162,"Sim","Não"),IF(CO162&lt;=CN162,"Sim","Não")))</f>
        <v/>
      </c>
      <c r="CR162" s="2" t="s">
        <v>105</v>
      </c>
    </row>
    <row r="163" customFormat="false" ht="15" hidden="false" customHeight="false" outlineLevel="0" collapsed="false">
      <c r="A163" s="2" t="s">
        <v>96</v>
      </c>
      <c r="B163" s="2" t="s">
        <v>108</v>
      </c>
      <c r="C163" s="2" t="s">
        <v>131</v>
      </c>
      <c r="D163" s="2" t="s">
        <v>170</v>
      </c>
      <c r="E163" s="2" t="str">
        <f aca="false">C163&amp;D163</f>
        <v>UTD VITORIA DA CONQUISTAEfetividade Financeira do Corte (EFC) - UTDs</v>
      </c>
      <c r="F163" s="2" t="s">
        <v>100</v>
      </c>
      <c r="G163" s="2" t="s">
        <v>171</v>
      </c>
      <c r="H163" s="2" t="s">
        <v>102</v>
      </c>
      <c r="I163" s="2" t="s">
        <v>103</v>
      </c>
      <c r="J163" s="2" t="n">
        <v>1</v>
      </c>
      <c r="K163" s="2" t="s">
        <v>104</v>
      </c>
      <c r="L163" s="3" t="n">
        <v>0.662</v>
      </c>
      <c r="M163" s="3" t="n">
        <v>0.554</v>
      </c>
      <c r="N163" s="4" t="n">
        <f aca="false">IF(OR(L163="",M163=""),"",IFERROR(IF($K163="%",M163-L163,M163/L163-1),""))</f>
        <v>-0.108</v>
      </c>
      <c r="O163" s="5" t="str">
        <f aca="false">IF(OR(L163="",M163=""),"",IF($F163="Maior Melhor",IF(M163&gt;=L163,"Sim","Não"),IF(M163&lt;=L163,"Sim","Não")))</f>
        <v>Não</v>
      </c>
      <c r="P163" s="3" t="n">
        <v>0.662</v>
      </c>
      <c r="Q163" s="3" t="n">
        <v>0.52</v>
      </c>
      <c r="R163" s="4" t="n">
        <f aca="false">IF(OR(P163="",Q163=""),"",IFERROR(IF($K163="%",Q163-P163,Q163/P163-1),""))</f>
        <v>-0.142</v>
      </c>
      <c r="S163" s="5" t="str">
        <f aca="false">IF(OR(P163="",Q163=""),"",IF($F163="Maior Melhor",IF(Q163&gt;=P163,"Sim","Não"),IF(Q163&lt;=P163,"Sim","Não")))</f>
        <v>Não</v>
      </c>
      <c r="T163" s="3" t="n">
        <v>0.662</v>
      </c>
      <c r="U163" s="3" t="n">
        <v>0.48</v>
      </c>
      <c r="V163" s="4" t="n">
        <f aca="false">IF(OR(T163="",U163=""),"",IFERROR(IF($K163="%",U163-T163,U163/T163-1),""))</f>
        <v>-0.182</v>
      </c>
      <c r="W163" s="5" t="str">
        <f aca="false">IF(OR(T163="",U163=""),"",IF($F163="Maior Melhor",IF(U163&gt;=T163,"Sim","Não"),IF(U163&lt;=T163,"Sim","Não")))</f>
        <v>Não</v>
      </c>
      <c r="X163" s="3" t="n">
        <v>0.662</v>
      </c>
      <c r="Y163" s="3" t="n">
        <v>0.576</v>
      </c>
      <c r="Z163" s="4" t="n">
        <f aca="false">IF(OR(X163="",Y163=""),"",IFERROR(IF($K163="%",Y163-X163,Y163/X163-1),""))</f>
        <v>-0.0860000000000001</v>
      </c>
      <c r="AA163" s="5" t="str">
        <f aca="false">IF(OR(X163="",Y163=""),"",IF($F163="Maior Melhor",IF(Y163&gt;=X163,"Sim","Não"),IF(Y163&lt;=X163,"Sim","Não")))</f>
        <v>Não</v>
      </c>
      <c r="AB163" s="3" t="n">
        <v>0.662</v>
      </c>
      <c r="AC163" s="3" t="n">
        <v>0.534</v>
      </c>
      <c r="AD163" s="4" t="n">
        <f aca="false">IF(OR(AB163="",AC163=""),"",IFERROR(IF($K163="%",AC163-AB163,AC163/AB163-1),""))</f>
        <v>-0.128</v>
      </c>
      <c r="AE163" s="5" t="str">
        <f aca="false">IF(OR(AB163="",AC163=""),"",IF($F163="Maior Melhor",IF(AC163&gt;=AB163,"Sim","Não"),IF(AC163&lt;=AB163,"Sim","Não")))</f>
        <v>Não</v>
      </c>
      <c r="AF163" s="3" t="n">
        <v>0.662</v>
      </c>
      <c r="AG163" s="3" t="n">
        <v>0.598</v>
      </c>
      <c r="AH163" s="4" t="n">
        <f aca="false">IF(OR(AF163="",AG163=""),"",IFERROR(IF($K163="%",AG163-AF163,AG163/AF163-1),""))</f>
        <v>-0.0640000000000001</v>
      </c>
      <c r="AI163" s="5" t="str">
        <f aca="false">IF(OR(AF163="",AG163=""),"",IF($F163="Maior Melhor",IF(AG163&gt;=AF163,"Sim","Não"),IF(AG163&lt;=AF163,"Sim","Não")))</f>
        <v>Não</v>
      </c>
      <c r="AJ163" s="3" t="n">
        <v>0.662</v>
      </c>
      <c r="AK163" s="3" t="n">
        <v>0.547</v>
      </c>
      <c r="AL163" s="4" t="n">
        <f aca="false">IF(OR(AJ163="",AK163=""),"",IFERROR(IF($K163="%",AK163-AJ163,AK163/AJ163-1),""))</f>
        <v>-0.115</v>
      </c>
      <c r="AM163" s="5" t="str">
        <f aca="false">IF(OR(AJ163="",AK163=""),"",IF($F163="Maior Melhor",IF(AK163&gt;=AJ163,"Sim","Não"),IF(AK163&lt;=AJ163,"Sim","Não")))</f>
        <v>Não</v>
      </c>
      <c r="AN163" s="3" t="n">
        <v>0.662</v>
      </c>
      <c r="AO163" s="3" t="n">
        <v>0.596</v>
      </c>
      <c r="AP163" s="4" t="n">
        <f aca="false">IF(OR(AN163="",AO163=""),"",IFERROR(IF($K163="%",AO163-AN163,AO163/AN163-1),""))</f>
        <v>-0.0660000000000001</v>
      </c>
      <c r="AQ163" s="5" t="str">
        <f aca="false">IF(OR(AN163="",AO163=""),"",IF($F163="Maior Melhor",IF(AO163&gt;=AN163,"Sim","Não"),IF(AO163&lt;=AN163,"Sim","Não")))</f>
        <v>Não</v>
      </c>
      <c r="AR163" s="3" t="n">
        <v>0.662</v>
      </c>
      <c r="AS163" s="3" t="n">
        <v>0.557</v>
      </c>
      <c r="AT163" s="4" t="n">
        <f aca="false">IF(OR(AR163="",AS163=""),"",IFERROR(IF($K163="%",AS163-AR163,AS163/AR163-1),""))</f>
        <v>-0.105</v>
      </c>
      <c r="AU163" s="5" t="str">
        <f aca="false">IF(OR(AR163="",AS163=""),"",IF($F163="Maior Melhor",IF(AS163&gt;=AR163,"Sim","Não"),IF(AS163&lt;=AR163,"Sim","Não")))</f>
        <v>Não</v>
      </c>
      <c r="AV163" s="3" t="n">
        <v>0.662</v>
      </c>
      <c r="AW163" s="3" t="n">
        <v>0.667</v>
      </c>
      <c r="AX163" s="4" t="n">
        <f aca="false">IF(OR(AV163="",AW163=""),"",IFERROR(IF($K163="%",AW163-AV163,AW163/AV163-1),""))</f>
        <v>0.005</v>
      </c>
      <c r="AY163" s="5" t="str">
        <f aca="false">IF(OR(AV163="",AW163=""),"",IF($F163="Maior Melhor",IF(AW163&gt;=AV163,"Sim","Não"),IF(AW163&lt;=AV163,"Sim","Não")))</f>
        <v>Sim</v>
      </c>
      <c r="AZ163" s="3" t="n">
        <v>0.662</v>
      </c>
      <c r="BA163" s="3" t="n">
        <v>0.576</v>
      </c>
      <c r="BB163" s="4" t="n">
        <f aca="false">IF(OR(AZ163="",BA163=""),"",IFERROR(IF($K163="%",BA163-AZ163,BA163/AZ163-1),""))</f>
        <v>-0.0860000000000001</v>
      </c>
      <c r="BC163" s="5" t="str">
        <f aca="false">IF(OR(AZ163="",BA163=""),"",IF($F163="Maior Melhor",IF(BA163&gt;=AZ163,"Sim","Não"),IF(BA163&lt;=AZ163,"Sim","Não")))</f>
        <v>Não</v>
      </c>
      <c r="BD163" s="3" t="n">
        <v>0.662</v>
      </c>
      <c r="BE163" s="3" t="n">
        <v>0.664</v>
      </c>
      <c r="BF163" s="4" t="n">
        <f aca="false">IF(OR(BD163="",BE163=""),"",IFERROR(IF($K163="%",BE163-BD163,BE163/BD163-1),""))</f>
        <v>0.002</v>
      </c>
      <c r="BG163" s="5" t="str">
        <f aca="false">IF(OR(BD163="",BE163=""),"",IF($F163="Maior Melhor",IF(BE163&gt;=BD163,"Sim","Não"),IF(BE163&lt;=BD163,"Sim","Não")))</f>
        <v>Sim</v>
      </c>
      <c r="BH163" s="3" t="n">
        <v>0.662</v>
      </c>
      <c r="BI163" s="3" t="n">
        <v>0.593</v>
      </c>
      <c r="BJ163" s="4" t="n">
        <f aca="false">IF(OR(BH163="",BI163=""),"",IFERROR(IF($K163="%",BI163-BH163,BI163/BH163-1),""))</f>
        <v>-0.0690000000000001</v>
      </c>
      <c r="BK163" s="5" t="str">
        <f aca="false">IF(OR(BH163="",BI163=""),"",IF($F163="Maior Melhor",IF(BI163&gt;=BH163,"Sim","Não"),IF(BI163&lt;=BH163,"Sim","Não")))</f>
        <v>Não</v>
      </c>
      <c r="BL163" s="6"/>
      <c r="BM163" s="6"/>
      <c r="BN163" s="4" t="str">
        <f aca="false">IF(OR(BL163="",BM163=""),"",IFERROR(IF($K163="%",BM163-BL163,BM163/BL163-1),""))</f>
        <v/>
      </c>
      <c r="BO163" s="5" t="str">
        <f aca="false">IF(OR(BL163="",BM163=""),"",IF($F163="Maior Melhor",IF(BM163&gt;=BL163,"Sim","Não"),IF(BM163&lt;=BL163,"Sim","Não")))</f>
        <v/>
      </c>
      <c r="BP163" s="6"/>
      <c r="BQ163" s="6"/>
      <c r="BR163" s="4" t="str">
        <f aca="false">IF(OR(BP163="",BQ163=""),"",IFERROR(IF($K163="%",BQ163-BP163,BQ163/BP163-1),""))</f>
        <v/>
      </c>
      <c r="BS163" s="5" t="str">
        <f aca="false">IF(OR(BP163="",BQ163=""),"",IF($F163="Maior Melhor",IF(BQ163&gt;=BP163,"Sim","Não"),IF(BQ163&lt;=BP163,"Sim","Não")))</f>
        <v/>
      </c>
      <c r="BT163" s="6"/>
      <c r="BU163" s="6"/>
      <c r="BV163" s="4" t="str">
        <f aca="false">IF(OR(BT163="",BU163=""),"",IFERROR(IF($K163="%",BU163-BT163,BU163/BT163-1),""))</f>
        <v/>
      </c>
      <c r="BW163" s="5" t="str">
        <f aca="false">IF(OR(BT163="",BU163=""),"",IF($F163="Maior Melhor",IF(BU163&gt;=BT163,"Sim","Não"),IF(BU163&lt;=BT163,"Sim","Não")))</f>
        <v/>
      </c>
      <c r="BX163" s="6"/>
      <c r="BY163" s="6"/>
      <c r="BZ163" s="4" t="str">
        <f aca="false">IF(OR(BX163="",BY163=""),"",IFERROR(IF($K163="%",BY163-BX163,BY163/BX163-1),""))</f>
        <v/>
      </c>
      <c r="CA163" s="5" t="str">
        <f aca="false">IF(OR(BX163="",BY163=""),"",IF($F163="Maior Melhor",IF(BY163&gt;=BX163,"Sim","Não"),IF(BY163&lt;=BX163,"Sim","Não")))</f>
        <v/>
      </c>
      <c r="CB163" s="6"/>
      <c r="CC163" s="6"/>
      <c r="CD163" s="4" t="str">
        <f aca="false">IF(OR(CB163="",CC163=""),"",IFERROR(IF($K163="%",CC163-CB163,CC163/CB163-1),""))</f>
        <v/>
      </c>
      <c r="CE163" s="5" t="str">
        <f aca="false">IF(OR(CB163="",CC163=""),"",IF($F163="Maior Melhor",IF(CC163&gt;=CB163,"Sim","Não"),IF(CC163&lt;=CB163,"Sim","Não")))</f>
        <v/>
      </c>
      <c r="CF163" s="6"/>
      <c r="CG163" s="6"/>
      <c r="CH163" s="4" t="str">
        <f aca="false">IF(OR(CF163="",CG163=""),"",IFERROR(IF($K163="%",CG163-CF163,CG163/CF163-1),""))</f>
        <v/>
      </c>
      <c r="CI163" s="5" t="str">
        <f aca="false">IF(OR(CF163="",CG163=""),"",IF($F163="Maior Melhor",IF(CG163&gt;=CF163,"Sim","Não"),IF(CG163&lt;=CF163,"Sim","Não")))</f>
        <v/>
      </c>
      <c r="CJ163" s="6"/>
      <c r="CK163" s="6"/>
      <c r="CL163" s="4" t="str">
        <f aca="false">IF(OR(CJ163="",CK163=""),"",IFERROR(IF($K163="%",CK163-CJ163,CK163/CJ163-1),""))</f>
        <v/>
      </c>
      <c r="CM163" s="5" t="str">
        <f aca="false">IF(OR(CJ163="",CK163=""),"",IF($F163="Maior Melhor",IF(CK163&gt;=CJ163,"Sim","Não"),IF(CK163&lt;=CJ163,"Sim","Não")))</f>
        <v/>
      </c>
      <c r="CN163" s="6"/>
      <c r="CO163" s="6"/>
      <c r="CP163" s="4" t="str">
        <f aca="false">IF(OR(CN163="",CO163=""),"",IFERROR(IF($K163="%",CO163-CN163,CO163/CN163-1),""))</f>
        <v/>
      </c>
      <c r="CQ163" s="5" t="str">
        <f aca="false">IF(OR(CN163="",CO163=""),"",IF($F163="Maior Melhor",IF(CO163&gt;=CN163,"Sim","Não"),IF(CO163&lt;=CN163,"Sim","Não")))</f>
        <v/>
      </c>
      <c r="CR163" s="2" t="s">
        <v>105</v>
      </c>
    </row>
    <row r="164" customFormat="false" ht="15" hidden="false" customHeight="false" outlineLevel="0" collapsed="false">
      <c r="A164" s="2" t="s">
        <v>172</v>
      </c>
      <c r="B164" s="2" t="s">
        <v>97</v>
      </c>
      <c r="C164" s="2" t="s">
        <v>98</v>
      </c>
      <c r="D164" s="2" t="s">
        <v>173</v>
      </c>
      <c r="E164" s="2" t="str">
        <f aca="false">C164&amp;D164</f>
        <v>Gerência Centro OesteEficiência do uso de medidores - EMED - UTDs</v>
      </c>
      <c r="F164" s="2" t="s">
        <v>100</v>
      </c>
      <c r="G164" s="2" t="s">
        <v>174</v>
      </c>
      <c r="H164" s="2" t="s">
        <v>102</v>
      </c>
      <c r="I164" s="2" t="s">
        <v>103</v>
      </c>
      <c r="J164" s="2" t="n">
        <v>2</v>
      </c>
      <c r="K164" s="2" t="s">
        <v>104</v>
      </c>
      <c r="L164" s="3" t="n">
        <v>0.9</v>
      </c>
      <c r="M164" s="3" t="n">
        <v>0.55</v>
      </c>
      <c r="N164" s="4" t="n">
        <f aca="false">IF(OR(L164="",M164=""),"",IFERROR(IF($K164="%",M164-L164,M164/L164-1),""))</f>
        <v>-0.35</v>
      </c>
      <c r="O164" s="5" t="str">
        <f aca="false">IF(OR(L164="",M164=""),"",IF($F164="Maior Melhor",IF(M164&gt;=L164,"Sim","Não"),IF(M164&lt;=L164,"Sim","Não")))</f>
        <v>Não</v>
      </c>
      <c r="P164" s="3" t="n">
        <v>0.9</v>
      </c>
      <c r="Q164" s="3" t="n">
        <v>0.8</v>
      </c>
      <c r="R164" s="4" t="n">
        <f aca="false">IF(OR(P164="",Q164=""),"",IFERROR(IF($K164="%",Q164-P164,Q164/P164-1),""))</f>
        <v>-0.1</v>
      </c>
      <c r="S164" s="5" t="str">
        <f aca="false">IF(OR(P164="",Q164=""),"",IF($F164="Maior Melhor",IF(Q164&gt;=P164,"Sim","Não"),IF(Q164&lt;=P164,"Sim","Não")))</f>
        <v>Não</v>
      </c>
      <c r="T164" s="3" t="n">
        <v>0.9</v>
      </c>
      <c r="U164" s="3" t="n">
        <v>0.94</v>
      </c>
      <c r="V164" s="4" t="n">
        <f aca="false">IF(OR(T164="",U164=""),"",IFERROR(IF($K164="%",U164-T164,U164/T164-1),""))</f>
        <v>0.0399999999999999</v>
      </c>
      <c r="W164" s="5" t="str">
        <f aca="false">IF(OR(T164="",U164=""),"",IF($F164="Maior Melhor",IF(U164&gt;=T164,"Sim","Não"),IF(U164&lt;=T164,"Sim","Não")))</f>
        <v>Sim</v>
      </c>
      <c r="X164" s="3" t="n">
        <v>0.9</v>
      </c>
      <c r="Y164" s="3" t="n">
        <v>0.96</v>
      </c>
      <c r="Z164" s="4" t="n">
        <f aca="false">IF(OR(X164="",Y164=""),"",IFERROR(IF($K164="%",Y164-X164,Y164/X164-1),""))</f>
        <v>0.0599999999999999</v>
      </c>
      <c r="AA164" s="5" t="str">
        <f aca="false">IF(OR(X164="",Y164=""),"",IF($F164="Maior Melhor",IF(Y164&gt;=X164,"Sim","Não"),IF(Y164&lt;=X164,"Sim","Não")))</f>
        <v>Sim</v>
      </c>
      <c r="AB164" s="3" t="n">
        <v>0.9</v>
      </c>
      <c r="AC164" s="3" t="n">
        <v>0.96</v>
      </c>
      <c r="AD164" s="4" t="n">
        <f aca="false">IF(OR(AB164="",AC164=""),"",IFERROR(IF($K164="%",AC164-AB164,AC164/AB164-1),""))</f>
        <v>0.0599999999999999</v>
      </c>
      <c r="AE164" s="5" t="str">
        <f aca="false">IF(OR(AB164="",AC164=""),"",IF($F164="Maior Melhor",IF(AC164&gt;=AB164,"Sim","Não"),IF(AC164&lt;=AB164,"Sim","Não")))</f>
        <v>Sim</v>
      </c>
      <c r="AF164" s="3" t="n">
        <v>0.9</v>
      </c>
      <c r="AG164" s="3" t="n">
        <v>0.99</v>
      </c>
      <c r="AH164" s="4" t="n">
        <f aca="false">IF(OR(AF164="",AG164=""),"",IFERROR(IF($K164="%",AG164-AF164,AG164/AF164-1),""))</f>
        <v>0.09</v>
      </c>
      <c r="AI164" s="5" t="str">
        <f aca="false">IF(OR(AF164="",AG164=""),"",IF($F164="Maior Melhor",IF(AG164&gt;=AF164,"Sim","Não"),IF(AG164&lt;=AF164,"Sim","Não")))</f>
        <v>Sim</v>
      </c>
      <c r="AJ164" s="3" t="n">
        <v>0.9</v>
      </c>
      <c r="AK164" s="3" t="n">
        <v>0.99</v>
      </c>
      <c r="AL164" s="4" t="n">
        <f aca="false">IF(OR(AJ164="",AK164=""),"",IFERROR(IF($K164="%",AK164-AJ164,AK164/AJ164-1),""))</f>
        <v>0.09</v>
      </c>
      <c r="AM164" s="5" t="str">
        <f aca="false">IF(OR(AJ164="",AK164=""),"",IF($F164="Maior Melhor",IF(AK164&gt;=AJ164,"Sim","Não"),IF(AK164&lt;=AJ164,"Sim","Não")))</f>
        <v>Sim</v>
      </c>
      <c r="AN164" s="3" t="n">
        <v>0.9</v>
      </c>
      <c r="AO164" s="3" t="n">
        <v>0.98</v>
      </c>
      <c r="AP164" s="4" t="n">
        <f aca="false">IF(OR(AN164="",AO164=""),"",IFERROR(IF($K164="%",AO164-AN164,AO164/AN164-1),""))</f>
        <v>0.08</v>
      </c>
      <c r="AQ164" s="5" t="str">
        <f aca="false">IF(OR(AN164="",AO164=""),"",IF($F164="Maior Melhor",IF(AO164&gt;=AN164,"Sim","Não"),IF(AO164&lt;=AN164,"Sim","Não")))</f>
        <v>Sim</v>
      </c>
      <c r="AR164" s="3" t="n">
        <v>0.9</v>
      </c>
      <c r="AS164" s="3" t="n">
        <v>0.98</v>
      </c>
      <c r="AT164" s="4" t="n">
        <f aca="false">IF(OR(AR164="",AS164=""),"",IFERROR(IF($K164="%",AS164-AR164,AS164/AR164-1),""))</f>
        <v>0.08</v>
      </c>
      <c r="AU164" s="5" t="str">
        <f aca="false">IF(OR(AR164="",AS164=""),"",IF($F164="Maior Melhor",IF(AS164&gt;=AR164,"Sim","Não"),IF(AS164&lt;=AR164,"Sim","Não")))</f>
        <v>Sim</v>
      </c>
      <c r="AV164" s="3" t="n">
        <v>0.9</v>
      </c>
      <c r="AW164" s="3" t="n">
        <v>0.99</v>
      </c>
      <c r="AX164" s="4" t="n">
        <f aca="false">IF(OR(AV164="",AW164=""),"",IFERROR(IF($K164="%",AW164-AV164,AW164/AV164-1),""))</f>
        <v>0.09</v>
      </c>
      <c r="AY164" s="5" t="str">
        <f aca="false">IF(OR(AV164="",AW164=""),"",IF($F164="Maior Melhor",IF(AW164&gt;=AV164,"Sim","Não"),IF(AW164&lt;=AV164,"Sim","Não")))</f>
        <v>Sim</v>
      </c>
      <c r="AZ164" s="3" t="n">
        <v>0.9</v>
      </c>
      <c r="BA164" s="3" t="n">
        <v>0.99</v>
      </c>
      <c r="BB164" s="4" t="n">
        <f aca="false">IF(OR(AZ164="",BA164=""),"",IFERROR(IF($K164="%",BA164-AZ164,BA164/AZ164-1),""))</f>
        <v>0.09</v>
      </c>
      <c r="BC164" s="5" t="str">
        <f aca="false">IF(OR(AZ164="",BA164=""),"",IF($F164="Maior Melhor",IF(BA164&gt;=AZ164,"Sim","Não"),IF(BA164&lt;=AZ164,"Sim","Não")))</f>
        <v>Sim</v>
      </c>
      <c r="BD164" s="3" t="n">
        <v>0.9</v>
      </c>
      <c r="BE164" s="3" t="n">
        <v>0.98</v>
      </c>
      <c r="BF164" s="4" t="n">
        <f aca="false">IF(OR(BD164="",BE164=""),"",IFERROR(IF($K164="%",BE164-BD164,BE164/BD164-1),""))</f>
        <v>0.08</v>
      </c>
      <c r="BG164" s="5" t="str">
        <f aca="false">IF(OR(BD164="",BE164=""),"",IF($F164="Maior Melhor",IF(BE164&gt;=BD164,"Sim","Não"),IF(BE164&lt;=BD164,"Sim","Não")))</f>
        <v>Sim</v>
      </c>
      <c r="BH164" s="3" t="n">
        <v>0.9</v>
      </c>
      <c r="BI164" s="3" t="n">
        <v>0.98</v>
      </c>
      <c r="BJ164" s="4" t="n">
        <f aca="false">IF(OR(BH164="",BI164=""),"",IFERROR(IF($K164="%",BI164-BH164,BI164/BH164-1),""))</f>
        <v>0.08</v>
      </c>
      <c r="BK164" s="5" t="str">
        <f aca="false">IF(OR(BH164="",BI164=""),"",IF($F164="Maior Melhor",IF(BI164&gt;=BH164,"Sim","Não"),IF(BI164&lt;=BH164,"Sim","Não")))</f>
        <v>Sim</v>
      </c>
      <c r="BL164" s="6"/>
      <c r="BM164" s="6"/>
      <c r="BN164" s="4" t="str">
        <f aca="false">IF(OR(BL164="",BM164=""),"",IFERROR(IF($K164="%",BM164-BL164,BM164/BL164-1),""))</f>
        <v/>
      </c>
      <c r="BO164" s="5" t="str">
        <f aca="false">IF(OR(BL164="",BM164=""),"",IF($F164="Maior Melhor",IF(BM164&gt;=BL164,"Sim","Não"),IF(BM164&lt;=BL164,"Sim","Não")))</f>
        <v/>
      </c>
      <c r="BP164" s="6"/>
      <c r="BQ164" s="6"/>
      <c r="BR164" s="4" t="str">
        <f aca="false">IF(OR(BP164="",BQ164=""),"",IFERROR(IF($K164="%",BQ164-BP164,BQ164/BP164-1),""))</f>
        <v/>
      </c>
      <c r="BS164" s="5" t="str">
        <f aca="false">IF(OR(BP164="",BQ164=""),"",IF($F164="Maior Melhor",IF(BQ164&gt;=BP164,"Sim","Não"),IF(BQ164&lt;=BP164,"Sim","Não")))</f>
        <v/>
      </c>
      <c r="BT164" s="6"/>
      <c r="BU164" s="6"/>
      <c r="BV164" s="4" t="str">
        <f aca="false">IF(OR(BT164="",BU164=""),"",IFERROR(IF($K164="%",BU164-BT164,BU164/BT164-1),""))</f>
        <v/>
      </c>
      <c r="BW164" s="5" t="str">
        <f aca="false">IF(OR(BT164="",BU164=""),"",IF($F164="Maior Melhor",IF(BU164&gt;=BT164,"Sim","Não"),IF(BU164&lt;=BT164,"Sim","Não")))</f>
        <v/>
      </c>
      <c r="BX164" s="6"/>
      <c r="BY164" s="6"/>
      <c r="BZ164" s="4" t="str">
        <f aca="false">IF(OR(BX164="",BY164=""),"",IFERROR(IF($K164="%",BY164-BX164,BY164/BX164-1),""))</f>
        <v/>
      </c>
      <c r="CA164" s="5" t="str">
        <f aca="false">IF(OR(BX164="",BY164=""),"",IF($F164="Maior Melhor",IF(BY164&gt;=BX164,"Sim","Não"),IF(BY164&lt;=BX164,"Sim","Não")))</f>
        <v/>
      </c>
      <c r="CB164" s="6"/>
      <c r="CC164" s="6"/>
      <c r="CD164" s="4" t="str">
        <f aca="false">IF(OR(CB164="",CC164=""),"",IFERROR(IF($K164="%",CC164-CB164,CC164/CB164-1),""))</f>
        <v/>
      </c>
      <c r="CE164" s="5" t="str">
        <f aca="false">IF(OR(CB164="",CC164=""),"",IF($F164="Maior Melhor",IF(CC164&gt;=CB164,"Sim","Não"),IF(CC164&lt;=CB164,"Sim","Não")))</f>
        <v/>
      </c>
      <c r="CF164" s="6"/>
      <c r="CG164" s="6"/>
      <c r="CH164" s="4" t="str">
        <f aca="false">IF(OR(CF164="",CG164=""),"",IFERROR(IF($K164="%",CG164-CF164,CG164/CF164-1),""))</f>
        <v/>
      </c>
      <c r="CI164" s="5" t="str">
        <f aca="false">IF(OR(CF164="",CG164=""),"",IF($F164="Maior Melhor",IF(CG164&gt;=CF164,"Sim","Não"),IF(CG164&lt;=CF164,"Sim","Não")))</f>
        <v/>
      </c>
      <c r="CJ164" s="6"/>
      <c r="CK164" s="6"/>
      <c r="CL164" s="4" t="str">
        <f aca="false">IF(OR(CJ164="",CK164=""),"",IFERROR(IF($K164="%",CK164-CJ164,CK164/CJ164-1),""))</f>
        <v/>
      </c>
      <c r="CM164" s="5" t="str">
        <f aca="false">IF(OR(CJ164="",CK164=""),"",IF($F164="Maior Melhor",IF(CK164&gt;=CJ164,"Sim","Não"),IF(CK164&lt;=CJ164,"Sim","Não")))</f>
        <v/>
      </c>
      <c r="CN164" s="6"/>
      <c r="CO164" s="6"/>
      <c r="CP164" s="4" t="str">
        <f aca="false">IF(OR(CN164="",CO164=""),"",IFERROR(IF($K164="%",CO164-CN164,CO164/CN164-1),""))</f>
        <v/>
      </c>
      <c r="CQ164" s="5" t="str">
        <f aca="false">IF(OR(CN164="",CO164=""),"",IF($F164="Maior Melhor",IF(CO164&gt;=CN164,"Sim","Não"),IF(CO164&lt;=CN164,"Sim","Não")))</f>
        <v/>
      </c>
      <c r="CR164" s="2" t="s">
        <v>105</v>
      </c>
    </row>
    <row r="165" customFormat="false" ht="15" hidden="false" customHeight="false" outlineLevel="0" collapsed="false">
      <c r="A165" s="2" t="s">
        <v>172</v>
      </c>
      <c r="B165" s="2" t="s">
        <v>106</v>
      </c>
      <c r="C165" s="2" t="s">
        <v>107</v>
      </c>
      <c r="D165" s="2" t="s">
        <v>173</v>
      </c>
      <c r="E165" s="2" t="str">
        <f aca="false">C165&amp;D165</f>
        <v>Gerência OesteEficiência do uso de medidores - EMED - UTDs</v>
      </c>
      <c r="F165" s="2" t="s">
        <v>100</v>
      </c>
      <c r="G165" s="2" t="s">
        <v>174</v>
      </c>
      <c r="H165" s="2" t="s">
        <v>102</v>
      </c>
      <c r="I165" s="2" t="s">
        <v>103</v>
      </c>
      <c r="J165" s="2" t="n">
        <v>2</v>
      </c>
      <c r="K165" s="2" t="s">
        <v>104</v>
      </c>
      <c r="L165" s="3" t="n">
        <v>0.9</v>
      </c>
      <c r="M165" s="3" t="n">
        <v>0.56</v>
      </c>
      <c r="N165" s="4" t="n">
        <f aca="false">IF(OR(L165="",M165=""),"",IFERROR(IF($K165="%",M165-L165,M165/L165-1),""))</f>
        <v>-0.34</v>
      </c>
      <c r="O165" s="5" t="str">
        <f aca="false">IF(OR(L165="",M165=""),"",IF($F165="Maior Melhor",IF(M165&gt;=L165,"Sim","Não"),IF(M165&lt;=L165,"Sim","Não")))</f>
        <v>Não</v>
      </c>
      <c r="P165" s="3" t="n">
        <v>0.9</v>
      </c>
      <c r="Q165" s="3" t="n">
        <v>0.57</v>
      </c>
      <c r="R165" s="4" t="n">
        <f aca="false">IF(OR(P165="",Q165=""),"",IFERROR(IF($K165="%",Q165-P165,Q165/P165-1),""))</f>
        <v>-0.33</v>
      </c>
      <c r="S165" s="5" t="str">
        <f aca="false">IF(OR(P165="",Q165=""),"",IF($F165="Maior Melhor",IF(Q165&gt;=P165,"Sim","Não"),IF(Q165&lt;=P165,"Sim","Não")))</f>
        <v>Não</v>
      </c>
      <c r="T165" s="3" t="n">
        <v>0.9</v>
      </c>
      <c r="U165" s="3" t="n">
        <v>0.98</v>
      </c>
      <c r="V165" s="4" t="n">
        <f aca="false">IF(OR(T165="",U165=""),"",IFERROR(IF($K165="%",U165-T165,U165/T165-1),""))</f>
        <v>0.08</v>
      </c>
      <c r="W165" s="5" t="str">
        <f aca="false">IF(OR(T165="",U165=""),"",IF($F165="Maior Melhor",IF(U165&gt;=T165,"Sim","Não"),IF(U165&lt;=T165,"Sim","Não")))</f>
        <v>Sim</v>
      </c>
      <c r="X165" s="3" t="n">
        <v>0.9</v>
      </c>
      <c r="Y165" s="3" t="n">
        <v>0.98</v>
      </c>
      <c r="Z165" s="4" t="n">
        <f aca="false">IF(OR(X165="",Y165=""),"",IFERROR(IF($K165="%",Y165-X165,Y165/X165-1),""))</f>
        <v>0.08</v>
      </c>
      <c r="AA165" s="5" t="str">
        <f aca="false">IF(OR(X165="",Y165=""),"",IF($F165="Maior Melhor",IF(Y165&gt;=X165,"Sim","Não"),IF(Y165&lt;=X165,"Sim","Não")))</f>
        <v>Sim</v>
      </c>
      <c r="AB165" s="3" t="n">
        <v>0.9</v>
      </c>
      <c r="AC165" s="3" t="n">
        <v>0.98</v>
      </c>
      <c r="AD165" s="4" t="n">
        <f aca="false">IF(OR(AB165="",AC165=""),"",IFERROR(IF($K165="%",AC165-AB165,AC165/AB165-1),""))</f>
        <v>0.08</v>
      </c>
      <c r="AE165" s="5" t="str">
        <f aca="false">IF(OR(AB165="",AC165=""),"",IF($F165="Maior Melhor",IF(AC165&gt;=AB165,"Sim","Não"),IF(AC165&lt;=AB165,"Sim","Não")))</f>
        <v>Sim</v>
      </c>
      <c r="AF165" s="3" t="n">
        <v>0.9</v>
      </c>
      <c r="AG165" s="3" t="n">
        <v>0.99</v>
      </c>
      <c r="AH165" s="4" t="n">
        <f aca="false">IF(OR(AF165="",AG165=""),"",IFERROR(IF($K165="%",AG165-AF165,AG165/AF165-1),""))</f>
        <v>0.09</v>
      </c>
      <c r="AI165" s="5" t="str">
        <f aca="false">IF(OR(AF165="",AG165=""),"",IF($F165="Maior Melhor",IF(AG165&gt;=AF165,"Sim","Não"),IF(AG165&lt;=AF165,"Sim","Não")))</f>
        <v>Sim</v>
      </c>
      <c r="AJ165" s="3" t="n">
        <v>0.9</v>
      </c>
      <c r="AK165" s="3" t="n">
        <v>0.99</v>
      </c>
      <c r="AL165" s="4" t="n">
        <f aca="false">IF(OR(AJ165="",AK165=""),"",IFERROR(IF($K165="%",AK165-AJ165,AK165/AJ165-1),""))</f>
        <v>0.09</v>
      </c>
      <c r="AM165" s="5" t="str">
        <f aca="false">IF(OR(AJ165="",AK165=""),"",IF($F165="Maior Melhor",IF(AK165&gt;=AJ165,"Sim","Não"),IF(AK165&lt;=AJ165,"Sim","Não")))</f>
        <v>Sim</v>
      </c>
      <c r="AN165" s="3" t="n">
        <v>0.9</v>
      </c>
      <c r="AO165" s="3" t="n">
        <v>0.92</v>
      </c>
      <c r="AP165" s="4" t="n">
        <f aca="false">IF(OR(AN165="",AO165=""),"",IFERROR(IF($K165="%",AO165-AN165,AO165/AN165-1),""))</f>
        <v>0.02</v>
      </c>
      <c r="AQ165" s="5" t="str">
        <f aca="false">IF(OR(AN165="",AO165=""),"",IF($F165="Maior Melhor",IF(AO165&gt;=AN165,"Sim","Não"),IF(AO165&lt;=AN165,"Sim","Não")))</f>
        <v>Sim</v>
      </c>
      <c r="AR165" s="3" t="n">
        <v>0.9</v>
      </c>
      <c r="AS165" s="3" t="n">
        <v>0.92</v>
      </c>
      <c r="AT165" s="4" t="n">
        <f aca="false">IF(OR(AR165="",AS165=""),"",IFERROR(IF($K165="%",AS165-AR165,AS165/AR165-1),""))</f>
        <v>0.02</v>
      </c>
      <c r="AU165" s="5" t="str">
        <f aca="false">IF(OR(AR165="",AS165=""),"",IF($F165="Maior Melhor",IF(AS165&gt;=AR165,"Sim","Não"),IF(AS165&lt;=AR165,"Sim","Não")))</f>
        <v>Sim</v>
      </c>
      <c r="AV165" s="3" t="n">
        <v>0.9</v>
      </c>
      <c r="AW165" s="3" t="n">
        <v>0.96</v>
      </c>
      <c r="AX165" s="4" t="n">
        <f aca="false">IF(OR(AV165="",AW165=""),"",IFERROR(IF($K165="%",AW165-AV165,AW165/AV165-1),""))</f>
        <v>0.0599999999999999</v>
      </c>
      <c r="AY165" s="5" t="str">
        <f aca="false">IF(OR(AV165="",AW165=""),"",IF($F165="Maior Melhor",IF(AW165&gt;=AV165,"Sim","Não"),IF(AW165&lt;=AV165,"Sim","Não")))</f>
        <v>Sim</v>
      </c>
      <c r="AZ165" s="3" t="n">
        <v>0.9</v>
      </c>
      <c r="BA165" s="3" t="n">
        <v>0.96</v>
      </c>
      <c r="BB165" s="4" t="n">
        <f aca="false">IF(OR(AZ165="",BA165=""),"",IFERROR(IF($K165="%",BA165-AZ165,BA165/AZ165-1),""))</f>
        <v>0.0599999999999999</v>
      </c>
      <c r="BC165" s="5" t="str">
        <f aca="false">IF(OR(AZ165="",BA165=""),"",IF($F165="Maior Melhor",IF(BA165&gt;=AZ165,"Sim","Não"),IF(BA165&lt;=AZ165,"Sim","Não")))</f>
        <v>Sim</v>
      </c>
      <c r="BD165" s="3" t="n">
        <v>0.9</v>
      </c>
      <c r="BE165" s="3" t="n">
        <v>0.99</v>
      </c>
      <c r="BF165" s="4" t="n">
        <f aca="false">IF(OR(BD165="",BE165=""),"",IFERROR(IF($K165="%",BE165-BD165,BE165/BD165-1),""))</f>
        <v>0.09</v>
      </c>
      <c r="BG165" s="5" t="str">
        <f aca="false">IF(OR(BD165="",BE165=""),"",IF($F165="Maior Melhor",IF(BE165&gt;=BD165,"Sim","Não"),IF(BE165&lt;=BD165,"Sim","Não")))</f>
        <v>Sim</v>
      </c>
      <c r="BH165" s="3" t="n">
        <v>0.9</v>
      </c>
      <c r="BI165" s="3" t="n">
        <v>0.99</v>
      </c>
      <c r="BJ165" s="4" t="n">
        <f aca="false">IF(OR(BH165="",BI165=""),"",IFERROR(IF($K165="%",BI165-BH165,BI165/BH165-1),""))</f>
        <v>0.09</v>
      </c>
      <c r="BK165" s="5" t="str">
        <f aca="false">IF(OR(BH165="",BI165=""),"",IF($F165="Maior Melhor",IF(BI165&gt;=BH165,"Sim","Não"),IF(BI165&lt;=BH165,"Sim","Não")))</f>
        <v>Sim</v>
      </c>
      <c r="BL165" s="6"/>
      <c r="BM165" s="6"/>
      <c r="BN165" s="4" t="str">
        <f aca="false">IF(OR(BL165="",BM165=""),"",IFERROR(IF($K165="%",BM165-BL165,BM165/BL165-1),""))</f>
        <v/>
      </c>
      <c r="BO165" s="5" t="str">
        <f aca="false">IF(OR(BL165="",BM165=""),"",IF($F165="Maior Melhor",IF(BM165&gt;=BL165,"Sim","Não"),IF(BM165&lt;=BL165,"Sim","Não")))</f>
        <v/>
      </c>
      <c r="BP165" s="6"/>
      <c r="BQ165" s="6"/>
      <c r="BR165" s="4" t="str">
        <f aca="false">IF(OR(BP165="",BQ165=""),"",IFERROR(IF($K165="%",BQ165-BP165,BQ165/BP165-1),""))</f>
        <v/>
      </c>
      <c r="BS165" s="5" t="str">
        <f aca="false">IF(OR(BP165="",BQ165=""),"",IF($F165="Maior Melhor",IF(BQ165&gt;=BP165,"Sim","Não"),IF(BQ165&lt;=BP165,"Sim","Não")))</f>
        <v/>
      </c>
      <c r="BT165" s="6"/>
      <c r="BU165" s="6"/>
      <c r="BV165" s="4" t="str">
        <f aca="false">IF(OR(BT165="",BU165=""),"",IFERROR(IF($K165="%",BU165-BT165,BU165/BT165-1),""))</f>
        <v/>
      </c>
      <c r="BW165" s="5" t="str">
        <f aca="false">IF(OR(BT165="",BU165=""),"",IF($F165="Maior Melhor",IF(BU165&gt;=BT165,"Sim","Não"),IF(BU165&lt;=BT165,"Sim","Não")))</f>
        <v/>
      </c>
      <c r="BX165" s="6"/>
      <c r="BY165" s="6"/>
      <c r="BZ165" s="4" t="str">
        <f aca="false">IF(OR(BX165="",BY165=""),"",IFERROR(IF($K165="%",BY165-BX165,BY165/BX165-1),""))</f>
        <v/>
      </c>
      <c r="CA165" s="5" t="str">
        <f aca="false">IF(OR(BX165="",BY165=""),"",IF($F165="Maior Melhor",IF(BY165&gt;=BX165,"Sim","Não"),IF(BY165&lt;=BX165,"Sim","Não")))</f>
        <v/>
      </c>
      <c r="CB165" s="6"/>
      <c r="CC165" s="6"/>
      <c r="CD165" s="4" t="str">
        <f aca="false">IF(OR(CB165="",CC165=""),"",IFERROR(IF($K165="%",CC165-CB165,CC165/CB165-1),""))</f>
        <v/>
      </c>
      <c r="CE165" s="5" t="str">
        <f aca="false">IF(OR(CB165="",CC165=""),"",IF($F165="Maior Melhor",IF(CC165&gt;=CB165,"Sim","Não"),IF(CC165&lt;=CB165,"Sim","Não")))</f>
        <v/>
      </c>
      <c r="CF165" s="6"/>
      <c r="CG165" s="6"/>
      <c r="CH165" s="4" t="str">
        <f aca="false">IF(OR(CF165="",CG165=""),"",IFERROR(IF($K165="%",CG165-CF165,CG165/CF165-1),""))</f>
        <v/>
      </c>
      <c r="CI165" s="5" t="str">
        <f aca="false">IF(OR(CF165="",CG165=""),"",IF($F165="Maior Melhor",IF(CG165&gt;=CF165,"Sim","Não"),IF(CG165&lt;=CF165,"Sim","Não")))</f>
        <v/>
      </c>
      <c r="CJ165" s="6"/>
      <c r="CK165" s="6"/>
      <c r="CL165" s="4" t="str">
        <f aca="false">IF(OR(CJ165="",CK165=""),"",IFERROR(IF($K165="%",CK165-CJ165,CK165/CJ165-1),""))</f>
        <v/>
      </c>
      <c r="CM165" s="5" t="str">
        <f aca="false">IF(OR(CJ165="",CK165=""),"",IF($F165="Maior Melhor",IF(CK165&gt;=CJ165,"Sim","Não"),IF(CK165&lt;=CJ165,"Sim","Não")))</f>
        <v/>
      </c>
      <c r="CN165" s="6"/>
      <c r="CO165" s="6"/>
      <c r="CP165" s="4" t="str">
        <f aca="false">IF(OR(CN165="",CO165=""),"",IFERROR(IF($K165="%",CO165-CN165,CO165/CN165-1),""))</f>
        <v/>
      </c>
      <c r="CQ165" s="5" t="str">
        <f aca="false">IF(OR(CN165="",CO165=""),"",IF($F165="Maior Melhor",IF(CO165&gt;=CN165,"Sim","Não"),IF(CO165&lt;=CN165,"Sim","Não")))</f>
        <v/>
      </c>
      <c r="CR165" s="2" t="s">
        <v>105</v>
      </c>
    </row>
    <row r="166" customFormat="false" ht="15" hidden="false" customHeight="false" outlineLevel="0" collapsed="false">
      <c r="A166" s="2" t="s">
        <v>172</v>
      </c>
      <c r="B166" s="2" t="s">
        <v>108</v>
      </c>
      <c r="C166" s="2" t="s">
        <v>109</v>
      </c>
      <c r="D166" s="2" t="s">
        <v>173</v>
      </c>
      <c r="E166" s="2" t="str">
        <f aca="false">C166&amp;D166</f>
        <v>Gerência SudoesteEficiência do uso de medidores - EMED - UTDs</v>
      </c>
      <c r="F166" s="2" t="s">
        <v>100</v>
      </c>
      <c r="G166" s="2" t="s">
        <v>174</v>
      </c>
      <c r="H166" s="2" t="s">
        <v>102</v>
      </c>
      <c r="I166" s="2" t="s">
        <v>103</v>
      </c>
      <c r="J166" s="2" t="n">
        <v>2</v>
      </c>
      <c r="K166" s="2" t="s">
        <v>104</v>
      </c>
      <c r="L166" s="3" t="n">
        <v>0.9</v>
      </c>
      <c r="M166" s="3" t="n">
        <v>0.8</v>
      </c>
      <c r="N166" s="4" t="n">
        <f aca="false">IF(OR(L166="",M166=""),"",IFERROR(IF($K166="%",M166-L166,M166/L166-1),""))</f>
        <v>-0.1</v>
      </c>
      <c r="O166" s="5" t="str">
        <f aca="false">IF(OR(L166="",M166=""),"",IF($F166="Maior Melhor",IF(M166&gt;=L166,"Sim","Não"),IF(M166&lt;=L166,"Sim","Não")))</f>
        <v>Não</v>
      </c>
      <c r="P166" s="3" t="n">
        <v>0.9</v>
      </c>
      <c r="Q166" s="3" t="n">
        <v>0.86</v>
      </c>
      <c r="R166" s="4" t="n">
        <f aca="false">IF(OR(P166="",Q166=""),"",IFERROR(IF($K166="%",Q166-P166,Q166/P166-1),""))</f>
        <v>-0.04</v>
      </c>
      <c r="S166" s="5" t="str">
        <f aca="false">IF(OR(P166="",Q166=""),"",IF($F166="Maior Melhor",IF(Q166&gt;=P166,"Sim","Não"),IF(Q166&lt;=P166,"Sim","Não")))</f>
        <v>Não</v>
      </c>
      <c r="T166" s="3" t="n">
        <v>0.9</v>
      </c>
      <c r="U166" s="3" t="n">
        <v>0.9</v>
      </c>
      <c r="V166" s="4" t="n">
        <f aca="false">IF(OR(T166="",U166=""),"",IFERROR(IF($K166="%",U166-T166,U166/T166-1),""))</f>
        <v>0</v>
      </c>
      <c r="W166" s="5" t="str">
        <f aca="false">IF(OR(T166="",U166=""),"",IF($F166="Maior Melhor",IF(U166&gt;=T166,"Sim","Não"),IF(U166&lt;=T166,"Sim","Não")))</f>
        <v>Sim</v>
      </c>
      <c r="X166" s="3" t="n">
        <v>0.9</v>
      </c>
      <c r="Y166" s="3" t="n">
        <v>0.93</v>
      </c>
      <c r="Z166" s="4" t="n">
        <f aca="false">IF(OR(X166="",Y166=""),"",IFERROR(IF($K166="%",Y166-X166,Y166/X166-1),""))</f>
        <v>0.03</v>
      </c>
      <c r="AA166" s="5" t="str">
        <f aca="false">IF(OR(X166="",Y166=""),"",IF($F166="Maior Melhor",IF(Y166&gt;=X166,"Sim","Não"),IF(Y166&lt;=X166,"Sim","Não")))</f>
        <v>Sim</v>
      </c>
      <c r="AB166" s="3" t="n">
        <v>0.9</v>
      </c>
      <c r="AC166" s="3" t="n">
        <v>0.93</v>
      </c>
      <c r="AD166" s="4" t="n">
        <f aca="false">IF(OR(AB166="",AC166=""),"",IFERROR(IF($K166="%",AC166-AB166,AC166/AB166-1),""))</f>
        <v>0.03</v>
      </c>
      <c r="AE166" s="5" t="str">
        <f aca="false">IF(OR(AB166="",AC166=""),"",IF($F166="Maior Melhor",IF(AC166&gt;=AB166,"Sim","Não"),IF(AC166&lt;=AB166,"Sim","Não")))</f>
        <v>Sim</v>
      </c>
      <c r="AF166" s="3" t="n">
        <v>0.9</v>
      </c>
      <c r="AG166" s="3" t="n">
        <v>0.93</v>
      </c>
      <c r="AH166" s="4" t="n">
        <f aca="false">IF(OR(AF166="",AG166=""),"",IFERROR(IF($K166="%",AG166-AF166,AG166/AF166-1),""))</f>
        <v>0.03</v>
      </c>
      <c r="AI166" s="5" t="str">
        <f aca="false">IF(OR(AF166="",AG166=""),"",IF($F166="Maior Melhor",IF(AG166&gt;=AF166,"Sim","Não"),IF(AG166&lt;=AF166,"Sim","Não")))</f>
        <v>Sim</v>
      </c>
      <c r="AJ166" s="3" t="n">
        <v>0.9</v>
      </c>
      <c r="AK166" s="3" t="n">
        <v>0.93</v>
      </c>
      <c r="AL166" s="4" t="n">
        <f aca="false">IF(OR(AJ166="",AK166=""),"",IFERROR(IF($K166="%",AK166-AJ166,AK166/AJ166-1),""))</f>
        <v>0.03</v>
      </c>
      <c r="AM166" s="5" t="str">
        <f aca="false">IF(OR(AJ166="",AK166=""),"",IF($F166="Maior Melhor",IF(AK166&gt;=AJ166,"Sim","Não"),IF(AK166&lt;=AJ166,"Sim","Não")))</f>
        <v>Sim</v>
      </c>
      <c r="AN166" s="3" t="n">
        <v>0.9</v>
      </c>
      <c r="AO166" s="3" t="n">
        <v>0.93</v>
      </c>
      <c r="AP166" s="4" t="n">
        <f aca="false">IF(OR(AN166="",AO166=""),"",IFERROR(IF($K166="%",AO166-AN166,AO166/AN166-1),""))</f>
        <v>0.03</v>
      </c>
      <c r="AQ166" s="5" t="str">
        <f aca="false">IF(OR(AN166="",AO166=""),"",IF($F166="Maior Melhor",IF(AO166&gt;=AN166,"Sim","Não"),IF(AO166&lt;=AN166,"Sim","Não")))</f>
        <v>Sim</v>
      </c>
      <c r="AR166" s="3" t="n">
        <v>0.9</v>
      </c>
      <c r="AS166" s="3" t="n">
        <v>0.93</v>
      </c>
      <c r="AT166" s="4" t="n">
        <f aca="false">IF(OR(AR166="",AS166=""),"",IFERROR(IF($K166="%",AS166-AR166,AS166/AR166-1),""))</f>
        <v>0.03</v>
      </c>
      <c r="AU166" s="5" t="str">
        <f aca="false">IF(OR(AR166="",AS166=""),"",IF($F166="Maior Melhor",IF(AS166&gt;=AR166,"Sim","Não"),IF(AS166&lt;=AR166,"Sim","Não")))</f>
        <v>Sim</v>
      </c>
      <c r="AV166" s="3" t="n">
        <v>0.9</v>
      </c>
      <c r="AW166" s="3" t="n">
        <v>0.97</v>
      </c>
      <c r="AX166" s="4" t="n">
        <f aca="false">IF(OR(AV166="",AW166=""),"",IFERROR(IF($K166="%",AW166-AV166,AW166/AV166-1),""))</f>
        <v>0.07</v>
      </c>
      <c r="AY166" s="5" t="str">
        <f aca="false">IF(OR(AV166="",AW166=""),"",IF($F166="Maior Melhor",IF(AW166&gt;=AV166,"Sim","Não"),IF(AW166&lt;=AV166,"Sim","Não")))</f>
        <v>Sim</v>
      </c>
      <c r="AZ166" s="3" t="n">
        <v>0.9</v>
      </c>
      <c r="BA166" s="3" t="n">
        <v>0.97</v>
      </c>
      <c r="BB166" s="4" t="n">
        <f aca="false">IF(OR(AZ166="",BA166=""),"",IFERROR(IF($K166="%",BA166-AZ166,BA166/AZ166-1),""))</f>
        <v>0.07</v>
      </c>
      <c r="BC166" s="5" t="str">
        <f aca="false">IF(OR(AZ166="",BA166=""),"",IF($F166="Maior Melhor",IF(BA166&gt;=AZ166,"Sim","Não"),IF(BA166&lt;=AZ166,"Sim","Não")))</f>
        <v>Sim</v>
      </c>
      <c r="BD166" s="3" t="n">
        <v>0.9</v>
      </c>
      <c r="BE166" s="3" t="n">
        <v>0.97</v>
      </c>
      <c r="BF166" s="4" t="n">
        <f aca="false">IF(OR(BD166="",BE166=""),"",IFERROR(IF($K166="%",BE166-BD166,BE166/BD166-1),""))</f>
        <v>0.07</v>
      </c>
      <c r="BG166" s="5" t="str">
        <f aca="false">IF(OR(BD166="",BE166=""),"",IF($F166="Maior Melhor",IF(BE166&gt;=BD166,"Sim","Não"),IF(BE166&lt;=BD166,"Sim","Não")))</f>
        <v>Sim</v>
      </c>
      <c r="BH166" s="3" t="n">
        <v>0.9</v>
      </c>
      <c r="BI166" s="3" t="n">
        <v>0.97</v>
      </c>
      <c r="BJ166" s="4" t="n">
        <f aca="false">IF(OR(BH166="",BI166=""),"",IFERROR(IF($K166="%",BI166-BH166,BI166/BH166-1),""))</f>
        <v>0.07</v>
      </c>
      <c r="BK166" s="5" t="str">
        <f aca="false">IF(OR(BH166="",BI166=""),"",IF($F166="Maior Melhor",IF(BI166&gt;=BH166,"Sim","Não"),IF(BI166&lt;=BH166,"Sim","Não")))</f>
        <v>Sim</v>
      </c>
      <c r="BL166" s="6"/>
      <c r="BM166" s="6"/>
      <c r="BN166" s="4" t="str">
        <f aca="false">IF(OR(BL166="",BM166=""),"",IFERROR(IF($K166="%",BM166-BL166,BM166/BL166-1),""))</f>
        <v/>
      </c>
      <c r="BO166" s="5" t="str">
        <f aca="false">IF(OR(BL166="",BM166=""),"",IF($F166="Maior Melhor",IF(BM166&gt;=BL166,"Sim","Não"),IF(BM166&lt;=BL166,"Sim","Não")))</f>
        <v/>
      </c>
      <c r="BP166" s="6"/>
      <c r="BQ166" s="6"/>
      <c r="BR166" s="4" t="str">
        <f aca="false">IF(OR(BP166="",BQ166=""),"",IFERROR(IF($K166="%",BQ166-BP166,BQ166/BP166-1),""))</f>
        <v/>
      </c>
      <c r="BS166" s="5" t="str">
        <f aca="false">IF(OR(BP166="",BQ166=""),"",IF($F166="Maior Melhor",IF(BQ166&gt;=BP166,"Sim","Não"),IF(BQ166&lt;=BP166,"Sim","Não")))</f>
        <v/>
      </c>
      <c r="BT166" s="6"/>
      <c r="BU166" s="6"/>
      <c r="BV166" s="4" t="str">
        <f aca="false">IF(OR(BT166="",BU166=""),"",IFERROR(IF($K166="%",BU166-BT166,BU166/BT166-1),""))</f>
        <v/>
      </c>
      <c r="BW166" s="5" t="str">
        <f aca="false">IF(OR(BT166="",BU166=""),"",IF($F166="Maior Melhor",IF(BU166&gt;=BT166,"Sim","Não"),IF(BU166&lt;=BT166,"Sim","Não")))</f>
        <v/>
      </c>
      <c r="BX166" s="6"/>
      <c r="BY166" s="6"/>
      <c r="BZ166" s="4" t="str">
        <f aca="false">IF(OR(BX166="",BY166=""),"",IFERROR(IF($K166="%",BY166-BX166,BY166/BX166-1),""))</f>
        <v/>
      </c>
      <c r="CA166" s="5" t="str">
        <f aca="false">IF(OR(BX166="",BY166=""),"",IF($F166="Maior Melhor",IF(BY166&gt;=BX166,"Sim","Não"),IF(BY166&lt;=BX166,"Sim","Não")))</f>
        <v/>
      </c>
      <c r="CB166" s="6"/>
      <c r="CC166" s="6"/>
      <c r="CD166" s="4" t="str">
        <f aca="false">IF(OR(CB166="",CC166=""),"",IFERROR(IF($K166="%",CC166-CB166,CC166/CB166-1),""))</f>
        <v/>
      </c>
      <c r="CE166" s="5" t="str">
        <f aca="false">IF(OR(CB166="",CC166=""),"",IF($F166="Maior Melhor",IF(CC166&gt;=CB166,"Sim","Não"),IF(CC166&lt;=CB166,"Sim","Não")))</f>
        <v/>
      </c>
      <c r="CF166" s="6"/>
      <c r="CG166" s="6"/>
      <c r="CH166" s="4" t="str">
        <f aca="false">IF(OR(CF166="",CG166=""),"",IFERROR(IF($K166="%",CG166-CF166,CG166/CF166-1),""))</f>
        <v/>
      </c>
      <c r="CI166" s="5" t="str">
        <f aca="false">IF(OR(CF166="",CG166=""),"",IF($F166="Maior Melhor",IF(CG166&gt;=CF166,"Sim","Não"),IF(CG166&lt;=CF166,"Sim","Não")))</f>
        <v/>
      </c>
      <c r="CJ166" s="6"/>
      <c r="CK166" s="6"/>
      <c r="CL166" s="4" t="str">
        <f aca="false">IF(OR(CJ166="",CK166=""),"",IFERROR(IF($K166="%",CK166-CJ166,CK166/CJ166-1),""))</f>
        <v/>
      </c>
      <c r="CM166" s="5" t="str">
        <f aca="false">IF(OR(CJ166="",CK166=""),"",IF($F166="Maior Melhor",IF(CK166&gt;=CJ166,"Sim","Não"),IF(CK166&lt;=CJ166,"Sim","Não")))</f>
        <v/>
      </c>
      <c r="CN166" s="6"/>
      <c r="CO166" s="6"/>
      <c r="CP166" s="4" t="str">
        <f aca="false">IF(OR(CN166="",CO166=""),"",IFERROR(IF($K166="%",CO166-CN166,CO166/CN166-1),""))</f>
        <v/>
      </c>
      <c r="CQ166" s="5" t="str">
        <f aca="false">IF(OR(CN166="",CO166=""),"",IF($F166="Maior Melhor",IF(CO166&gt;=CN166,"Sim","Não"),IF(CO166&lt;=CN166,"Sim","Não")))</f>
        <v/>
      </c>
      <c r="CR166" s="2" t="s">
        <v>105</v>
      </c>
    </row>
    <row r="167" customFormat="false" ht="15" hidden="false" customHeight="false" outlineLevel="0" collapsed="false">
      <c r="A167" s="2" t="s">
        <v>172</v>
      </c>
      <c r="B167" s="2" t="s">
        <v>110</v>
      </c>
      <c r="C167" s="2" t="s">
        <v>110</v>
      </c>
      <c r="D167" s="2" t="s">
        <v>173</v>
      </c>
      <c r="E167" s="2" t="str">
        <f aca="false">C167&amp;D167</f>
        <v>Sup OesteEficiência do uso de medidores - EMED - UTDs</v>
      </c>
      <c r="F167" s="2" t="s">
        <v>100</v>
      </c>
      <c r="G167" s="2" t="s">
        <v>174</v>
      </c>
      <c r="H167" s="2" t="s">
        <v>102</v>
      </c>
      <c r="I167" s="2" t="s">
        <v>103</v>
      </c>
      <c r="J167" s="2" t="n">
        <v>2</v>
      </c>
      <c r="K167" s="2" t="s">
        <v>104</v>
      </c>
      <c r="L167" s="3" t="n">
        <v>0.9</v>
      </c>
      <c r="M167" s="3" t="n">
        <v>0.52</v>
      </c>
      <c r="N167" s="4" t="n">
        <f aca="false">IF(OR(L167="",M167=""),"",IFERROR(IF($K167="%",M167-L167,M167/L167-1),""))</f>
        <v>-0.38</v>
      </c>
      <c r="O167" s="5" t="str">
        <f aca="false">IF(OR(L167="",M167=""),"",IF($F167="Maior Melhor",IF(M167&gt;=L167,"Sim","Não"),IF(M167&lt;=L167,"Sim","Não")))</f>
        <v>Não</v>
      </c>
      <c r="P167" s="3" t="n">
        <v>0.9</v>
      </c>
      <c r="Q167" s="3" t="n">
        <v>0.73</v>
      </c>
      <c r="R167" s="4" t="n">
        <f aca="false">IF(OR(P167="",Q167=""),"",IFERROR(IF($K167="%",Q167-P167,Q167/P167-1),""))</f>
        <v>-0.17</v>
      </c>
      <c r="S167" s="5" t="str">
        <f aca="false">IF(OR(P167="",Q167=""),"",IF($F167="Maior Melhor",IF(Q167&gt;=P167,"Sim","Não"),IF(Q167&lt;=P167,"Sim","Não")))</f>
        <v>Não</v>
      </c>
      <c r="T167" s="3" t="n">
        <v>0.9</v>
      </c>
      <c r="U167" s="3" t="n">
        <v>0.91</v>
      </c>
      <c r="V167" s="4" t="n">
        <f aca="false">IF(OR(T167="",U167=""),"",IFERROR(IF($K167="%",U167-T167,U167/T167-1),""))</f>
        <v>0.01</v>
      </c>
      <c r="W167" s="5" t="str">
        <f aca="false">IF(OR(T167="",U167=""),"",IF($F167="Maior Melhor",IF(U167&gt;=T167,"Sim","Não"),IF(U167&lt;=T167,"Sim","Não")))</f>
        <v>Sim</v>
      </c>
      <c r="X167" s="3" t="n">
        <v>0.9</v>
      </c>
      <c r="Y167" s="3" t="n">
        <v>0.93</v>
      </c>
      <c r="Z167" s="4" t="n">
        <f aca="false">IF(OR(X167="",Y167=""),"",IFERROR(IF($K167="%",Y167-X167,Y167/X167-1),""))</f>
        <v>0.03</v>
      </c>
      <c r="AA167" s="5" t="str">
        <f aca="false">IF(OR(X167="",Y167=""),"",IF($F167="Maior Melhor",IF(Y167&gt;=X167,"Sim","Não"),IF(Y167&lt;=X167,"Sim","Não")))</f>
        <v>Sim</v>
      </c>
      <c r="AB167" s="3" t="n">
        <v>0.9</v>
      </c>
      <c r="AC167" s="3" t="n">
        <v>0.93</v>
      </c>
      <c r="AD167" s="4" t="n">
        <f aca="false">IF(OR(AB167="",AC167=""),"",IFERROR(IF($K167="%",AC167-AB167,AC167/AB167-1),""))</f>
        <v>0.03</v>
      </c>
      <c r="AE167" s="5" t="str">
        <f aca="false">IF(OR(AB167="",AC167=""),"",IF($F167="Maior Melhor",IF(AC167&gt;=AB167,"Sim","Não"),IF(AC167&lt;=AB167,"Sim","Não")))</f>
        <v>Sim</v>
      </c>
      <c r="AF167" s="3" t="n">
        <v>0.9</v>
      </c>
      <c r="AG167" s="3" t="n">
        <v>0.96</v>
      </c>
      <c r="AH167" s="4" t="n">
        <f aca="false">IF(OR(AF167="",AG167=""),"",IFERROR(IF($K167="%",AG167-AF167,AG167/AF167-1),""))</f>
        <v>0.0599999999999999</v>
      </c>
      <c r="AI167" s="5" t="str">
        <f aca="false">IF(OR(AF167="",AG167=""),"",IF($F167="Maior Melhor",IF(AG167&gt;=AF167,"Sim","Não"),IF(AG167&lt;=AF167,"Sim","Não")))</f>
        <v>Sim</v>
      </c>
      <c r="AJ167" s="3" t="n">
        <v>0.9</v>
      </c>
      <c r="AK167" s="3" t="n">
        <v>0.96</v>
      </c>
      <c r="AL167" s="4" t="n">
        <f aca="false">IF(OR(AJ167="",AK167=""),"",IFERROR(IF($K167="%",AK167-AJ167,AK167/AJ167-1),""))</f>
        <v>0.0599999999999999</v>
      </c>
      <c r="AM167" s="5" t="str">
        <f aca="false">IF(OR(AJ167="",AK167=""),"",IF($F167="Maior Melhor",IF(AK167&gt;=AJ167,"Sim","Não"),IF(AK167&lt;=AJ167,"Sim","Não")))</f>
        <v>Sim</v>
      </c>
      <c r="AN167" s="3" t="n">
        <v>0.9</v>
      </c>
      <c r="AO167" s="3" t="n">
        <v>0.94</v>
      </c>
      <c r="AP167" s="4" t="n">
        <f aca="false">IF(OR(AN167="",AO167=""),"",IFERROR(IF($K167="%",AO167-AN167,AO167/AN167-1),""))</f>
        <v>0.0399999999999999</v>
      </c>
      <c r="AQ167" s="5" t="str">
        <f aca="false">IF(OR(AN167="",AO167=""),"",IF($F167="Maior Melhor",IF(AO167&gt;=AN167,"Sim","Não"),IF(AO167&lt;=AN167,"Sim","Não")))</f>
        <v>Sim</v>
      </c>
      <c r="AR167" s="3" t="n">
        <v>0.9</v>
      </c>
      <c r="AS167" s="3" t="n">
        <v>0.94</v>
      </c>
      <c r="AT167" s="4" t="n">
        <f aca="false">IF(OR(AR167="",AS167=""),"",IFERROR(IF($K167="%",AS167-AR167,AS167/AR167-1),""))</f>
        <v>0.0399999999999999</v>
      </c>
      <c r="AU167" s="5" t="str">
        <f aca="false">IF(OR(AR167="",AS167=""),"",IF($F167="Maior Melhor",IF(AS167&gt;=AR167,"Sim","Não"),IF(AS167&lt;=AR167,"Sim","Não")))</f>
        <v>Sim</v>
      </c>
      <c r="AV167" s="3" t="n">
        <v>0.9</v>
      </c>
      <c r="AW167" s="3" t="n">
        <v>0.97</v>
      </c>
      <c r="AX167" s="4" t="n">
        <f aca="false">IF(OR(AV167="",AW167=""),"",IFERROR(IF($K167="%",AW167-AV167,AW167/AV167-1),""))</f>
        <v>0.07</v>
      </c>
      <c r="AY167" s="5" t="str">
        <f aca="false">IF(OR(AV167="",AW167=""),"",IF($F167="Maior Melhor",IF(AW167&gt;=AV167,"Sim","Não"),IF(AW167&lt;=AV167,"Sim","Não")))</f>
        <v>Sim</v>
      </c>
      <c r="AZ167" s="3" t="n">
        <v>0.9</v>
      </c>
      <c r="BA167" s="3" t="n">
        <v>0.97</v>
      </c>
      <c r="BB167" s="4" t="n">
        <f aca="false">IF(OR(AZ167="",BA167=""),"",IFERROR(IF($K167="%",BA167-AZ167,BA167/AZ167-1),""))</f>
        <v>0.07</v>
      </c>
      <c r="BC167" s="5" t="str">
        <f aca="false">IF(OR(AZ167="",BA167=""),"",IF($F167="Maior Melhor",IF(BA167&gt;=AZ167,"Sim","Não"),IF(BA167&lt;=AZ167,"Sim","Não")))</f>
        <v>Sim</v>
      </c>
      <c r="BD167" s="3" t="n">
        <v>0.9</v>
      </c>
      <c r="BE167" s="3" t="n">
        <v>0.97</v>
      </c>
      <c r="BF167" s="4" t="n">
        <f aca="false">IF(OR(BD167="",BE167=""),"",IFERROR(IF($K167="%",BE167-BD167,BE167/BD167-1),""))</f>
        <v>0.07</v>
      </c>
      <c r="BG167" s="5" t="str">
        <f aca="false">IF(OR(BD167="",BE167=""),"",IF($F167="Maior Melhor",IF(BE167&gt;=BD167,"Sim","Não"),IF(BE167&lt;=BD167,"Sim","Não")))</f>
        <v>Sim</v>
      </c>
      <c r="BH167" s="3" t="n">
        <v>0.9</v>
      </c>
      <c r="BI167" s="3" t="n">
        <v>0.97</v>
      </c>
      <c r="BJ167" s="4" t="n">
        <f aca="false">IF(OR(BH167="",BI167=""),"",IFERROR(IF($K167="%",BI167-BH167,BI167/BH167-1),""))</f>
        <v>0.07</v>
      </c>
      <c r="BK167" s="5" t="str">
        <f aca="false">IF(OR(BH167="",BI167=""),"",IF($F167="Maior Melhor",IF(BI167&gt;=BH167,"Sim","Não"),IF(BI167&lt;=BH167,"Sim","Não")))</f>
        <v>Sim</v>
      </c>
      <c r="BL167" s="6"/>
      <c r="BM167" s="6"/>
      <c r="BN167" s="4" t="str">
        <f aca="false">IF(OR(BL167="",BM167=""),"",IFERROR(IF($K167="%",BM167-BL167,BM167/BL167-1),""))</f>
        <v/>
      </c>
      <c r="BO167" s="5" t="str">
        <f aca="false">IF(OR(BL167="",BM167=""),"",IF($F167="Maior Melhor",IF(BM167&gt;=BL167,"Sim","Não"),IF(BM167&lt;=BL167,"Sim","Não")))</f>
        <v/>
      </c>
      <c r="BP167" s="6"/>
      <c r="BQ167" s="6"/>
      <c r="BR167" s="4" t="str">
        <f aca="false">IF(OR(BP167="",BQ167=""),"",IFERROR(IF($K167="%",BQ167-BP167,BQ167/BP167-1),""))</f>
        <v/>
      </c>
      <c r="BS167" s="5" t="str">
        <f aca="false">IF(OR(BP167="",BQ167=""),"",IF($F167="Maior Melhor",IF(BQ167&gt;=BP167,"Sim","Não"),IF(BQ167&lt;=BP167,"Sim","Não")))</f>
        <v/>
      </c>
      <c r="BT167" s="6"/>
      <c r="BU167" s="6"/>
      <c r="BV167" s="4" t="str">
        <f aca="false">IF(OR(BT167="",BU167=""),"",IFERROR(IF($K167="%",BU167-BT167,BU167/BT167-1),""))</f>
        <v/>
      </c>
      <c r="BW167" s="5" t="str">
        <f aca="false">IF(OR(BT167="",BU167=""),"",IF($F167="Maior Melhor",IF(BU167&gt;=BT167,"Sim","Não"),IF(BU167&lt;=BT167,"Sim","Não")))</f>
        <v/>
      </c>
      <c r="BX167" s="6"/>
      <c r="BY167" s="6"/>
      <c r="BZ167" s="4" t="str">
        <f aca="false">IF(OR(BX167="",BY167=""),"",IFERROR(IF($K167="%",BY167-BX167,BY167/BX167-1),""))</f>
        <v/>
      </c>
      <c r="CA167" s="5" t="str">
        <f aca="false">IF(OR(BX167="",BY167=""),"",IF($F167="Maior Melhor",IF(BY167&gt;=BX167,"Sim","Não"),IF(BY167&lt;=BX167,"Sim","Não")))</f>
        <v/>
      </c>
      <c r="CB167" s="6"/>
      <c r="CC167" s="6"/>
      <c r="CD167" s="4" t="str">
        <f aca="false">IF(OR(CB167="",CC167=""),"",IFERROR(IF($K167="%",CC167-CB167,CC167/CB167-1),""))</f>
        <v/>
      </c>
      <c r="CE167" s="5" t="str">
        <f aca="false">IF(OR(CB167="",CC167=""),"",IF($F167="Maior Melhor",IF(CC167&gt;=CB167,"Sim","Não"),IF(CC167&lt;=CB167,"Sim","Não")))</f>
        <v/>
      </c>
      <c r="CF167" s="6"/>
      <c r="CG167" s="6"/>
      <c r="CH167" s="4" t="str">
        <f aca="false">IF(OR(CF167="",CG167=""),"",IFERROR(IF($K167="%",CG167-CF167,CG167/CF167-1),""))</f>
        <v/>
      </c>
      <c r="CI167" s="5" t="str">
        <f aca="false">IF(OR(CF167="",CG167=""),"",IF($F167="Maior Melhor",IF(CG167&gt;=CF167,"Sim","Não"),IF(CG167&lt;=CF167,"Sim","Não")))</f>
        <v/>
      </c>
      <c r="CJ167" s="6"/>
      <c r="CK167" s="6"/>
      <c r="CL167" s="4" t="str">
        <f aca="false">IF(OR(CJ167="",CK167=""),"",IFERROR(IF($K167="%",CK167-CJ167,CK167/CJ167-1),""))</f>
        <v/>
      </c>
      <c r="CM167" s="5" t="str">
        <f aca="false">IF(OR(CJ167="",CK167=""),"",IF($F167="Maior Melhor",IF(CK167&gt;=CJ167,"Sim","Não"),IF(CK167&lt;=CJ167,"Sim","Não")))</f>
        <v/>
      </c>
      <c r="CN167" s="6"/>
      <c r="CO167" s="6"/>
      <c r="CP167" s="4" t="str">
        <f aca="false">IF(OR(CN167="",CO167=""),"",IFERROR(IF($K167="%",CO167-CN167,CO167/CN167-1),""))</f>
        <v/>
      </c>
      <c r="CQ167" s="5" t="str">
        <f aca="false">IF(OR(CN167="",CO167=""),"",IF($F167="Maior Melhor",IF(CO167&gt;=CN167,"Sim","Não"),IF(CO167&lt;=CN167,"Sim","Não")))</f>
        <v/>
      </c>
      <c r="CR167" s="2" t="s">
        <v>105</v>
      </c>
    </row>
    <row r="168" customFormat="false" ht="15" hidden="false" customHeight="false" outlineLevel="0" collapsed="false">
      <c r="A168" s="2" t="s">
        <v>172</v>
      </c>
      <c r="B168" s="2" t="s">
        <v>106</v>
      </c>
      <c r="C168" s="2" t="s">
        <v>111</v>
      </c>
      <c r="D168" s="2" t="s">
        <v>173</v>
      </c>
      <c r="E168" s="2" t="str">
        <f aca="false">C168&amp;D168</f>
        <v>UTD BARREIRASEficiência do uso de medidores - EMED - UTDs</v>
      </c>
      <c r="F168" s="2" t="s">
        <v>100</v>
      </c>
      <c r="G168" s="2" t="s">
        <v>174</v>
      </c>
      <c r="H168" s="2" t="s">
        <v>102</v>
      </c>
      <c r="I168" s="2" t="s">
        <v>103</v>
      </c>
      <c r="J168" s="2" t="n">
        <v>2</v>
      </c>
      <c r="K168" s="2" t="s">
        <v>104</v>
      </c>
      <c r="L168" s="3" t="n">
        <v>0.9</v>
      </c>
      <c r="M168" s="3" t="n">
        <v>0.63</v>
      </c>
      <c r="N168" s="4" t="n">
        <f aca="false">IF(OR(L168="",M168=""),"",IFERROR(IF($K168="%",M168-L168,M168/L168-1),""))</f>
        <v>-0.27</v>
      </c>
      <c r="O168" s="5" t="str">
        <f aca="false">IF(OR(L168="",M168=""),"",IF($F168="Maior Melhor",IF(M168&gt;=L168,"Sim","Não"),IF(M168&lt;=L168,"Sim","Não")))</f>
        <v>Não</v>
      </c>
      <c r="P168" s="3" t="n">
        <v>0.9</v>
      </c>
      <c r="Q168" s="3" t="n">
        <v>0.61</v>
      </c>
      <c r="R168" s="4" t="n">
        <f aca="false">IF(OR(P168="",Q168=""),"",IFERROR(IF($K168="%",Q168-P168,Q168/P168-1),""))</f>
        <v>-0.29</v>
      </c>
      <c r="S168" s="5" t="str">
        <f aca="false">IF(OR(P168="",Q168=""),"",IF($F168="Maior Melhor",IF(Q168&gt;=P168,"Sim","Não"),IF(Q168&lt;=P168,"Sim","Não")))</f>
        <v>Não</v>
      </c>
      <c r="T168" s="3" t="n">
        <v>0.9</v>
      </c>
      <c r="U168" s="3" t="n">
        <v>1</v>
      </c>
      <c r="V168" s="4" t="n">
        <f aca="false">IF(OR(T168="",U168=""),"",IFERROR(IF($K168="%",U168-T168,U168/T168-1),""))</f>
        <v>0.1</v>
      </c>
      <c r="W168" s="5" t="str">
        <f aca="false">IF(OR(T168="",U168=""),"",IF($F168="Maior Melhor",IF(U168&gt;=T168,"Sim","Não"),IF(U168&lt;=T168,"Sim","Não")))</f>
        <v>Sim</v>
      </c>
      <c r="X168" s="3" t="n">
        <v>0.9</v>
      </c>
      <c r="Y168" s="3" t="n">
        <v>1</v>
      </c>
      <c r="Z168" s="4" t="n">
        <f aca="false">IF(OR(X168="",Y168=""),"",IFERROR(IF($K168="%",Y168-X168,Y168/X168-1),""))</f>
        <v>0.1</v>
      </c>
      <c r="AA168" s="5" t="str">
        <f aca="false">IF(OR(X168="",Y168=""),"",IF($F168="Maior Melhor",IF(Y168&gt;=X168,"Sim","Não"),IF(Y168&lt;=X168,"Sim","Não")))</f>
        <v>Sim</v>
      </c>
      <c r="AB168" s="3" t="n">
        <v>0.9</v>
      </c>
      <c r="AC168" s="3" t="n">
        <v>1</v>
      </c>
      <c r="AD168" s="4" t="n">
        <f aca="false">IF(OR(AB168="",AC168=""),"",IFERROR(IF($K168="%",AC168-AB168,AC168/AB168-1),""))</f>
        <v>0.1</v>
      </c>
      <c r="AE168" s="5" t="str">
        <f aca="false">IF(OR(AB168="",AC168=""),"",IF($F168="Maior Melhor",IF(AC168&gt;=AB168,"Sim","Não"),IF(AC168&lt;=AB168,"Sim","Não")))</f>
        <v>Sim</v>
      </c>
      <c r="AF168" s="3" t="n">
        <v>0.9</v>
      </c>
      <c r="AG168" s="3" t="n">
        <v>1</v>
      </c>
      <c r="AH168" s="4" t="n">
        <f aca="false">IF(OR(AF168="",AG168=""),"",IFERROR(IF($K168="%",AG168-AF168,AG168/AF168-1),""))</f>
        <v>0.1</v>
      </c>
      <c r="AI168" s="5" t="str">
        <f aca="false">IF(OR(AF168="",AG168=""),"",IF($F168="Maior Melhor",IF(AG168&gt;=AF168,"Sim","Não"),IF(AG168&lt;=AF168,"Sim","Não")))</f>
        <v>Sim</v>
      </c>
      <c r="AJ168" s="3" t="n">
        <v>0.9</v>
      </c>
      <c r="AK168" s="3" t="n">
        <v>100</v>
      </c>
      <c r="AL168" s="4" t="n">
        <f aca="false">IF(OR(AJ168="",AK168=""),"",IFERROR(IF($K168="%",AK168-AJ168,AK168/AJ168-1),""))</f>
        <v>99.1</v>
      </c>
      <c r="AM168" s="5" t="str">
        <f aca="false">IF(OR(AJ168="",AK168=""),"",IF($F168="Maior Melhor",IF(AK168&gt;=AJ168,"Sim","Não"),IF(AK168&lt;=AJ168,"Sim","Não")))</f>
        <v>Sim</v>
      </c>
      <c r="AN168" s="3" t="n">
        <v>0.9</v>
      </c>
      <c r="AO168" s="3" t="n">
        <v>0.86</v>
      </c>
      <c r="AP168" s="4" t="n">
        <f aca="false">IF(OR(AN168="",AO168=""),"",IFERROR(IF($K168="%",AO168-AN168,AO168/AN168-1),""))</f>
        <v>-0.04</v>
      </c>
      <c r="AQ168" s="5" t="str">
        <f aca="false">IF(OR(AN168="",AO168=""),"",IF($F168="Maior Melhor",IF(AO168&gt;=AN168,"Sim","Não"),IF(AO168&lt;=AN168,"Sim","Não")))</f>
        <v>Não</v>
      </c>
      <c r="AR168" s="3" t="n">
        <v>0.9</v>
      </c>
      <c r="AS168" s="3" t="n">
        <v>0.86</v>
      </c>
      <c r="AT168" s="4" t="n">
        <f aca="false">IF(OR(AR168="",AS168=""),"",IFERROR(IF($K168="%",AS168-AR168,AS168/AR168-1),""))</f>
        <v>-0.04</v>
      </c>
      <c r="AU168" s="5" t="str">
        <f aca="false">IF(OR(AR168="",AS168=""),"",IF($F168="Maior Melhor",IF(AS168&gt;=AR168,"Sim","Não"),IF(AS168&lt;=AR168,"Sim","Não")))</f>
        <v>Não</v>
      </c>
      <c r="AV168" s="3" t="n">
        <v>0.9</v>
      </c>
      <c r="AW168" s="3" t="n">
        <v>1</v>
      </c>
      <c r="AX168" s="4" t="n">
        <f aca="false">IF(OR(AV168="",AW168=""),"",IFERROR(IF($K168="%",AW168-AV168,AW168/AV168-1),""))</f>
        <v>0.1</v>
      </c>
      <c r="AY168" s="5" t="str">
        <f aca="false">IF(OR(AV168="",AW168=""),"",IF($F168="Maior Melhor",IF(AW168&gt;=AV168,"Sim","Não"),IF(AW168&lt;=AV168,"Sim","Não")))</f>
        <v>Sim</v>
      </c>
      <c r="AZ168" s="3" t="n">
        <v>0.9</v>
      </c>
      <c r="BA168" s="3" t="n">
        <v>1</v>
      </c>
      <c r="BB168" s="4" t="n">
        <f aca="false">IF(OR(AZ168="",BA168=""),"",IFERROR(IF($K168="%",BA168-AZ168,BA168/AZ168-1),""))</f>
        <v>0.1</v>
      </c>
      <c r="BC168" s="5" t="str">
        <f aca="false">IF(OR(AZ168="",BA168=""),"",IF($F168="Maior Melhor",IF(BA168&gt;=AZ168,"Sim","Não"),IF(BA168&lt;=AZ168,"Sim","Não")))</f>
        <v>Sim</v>
      </c>
      <c r="BD168" s="3" t="n">
        <v>0.9</v>
      </c>
      <c r="BE168" s="3" t="n">
        <v>1</v>
      </c>
      <c r="BF168" s="4" t="n">
        <f aca="false">IF(OR(BD168="",BE168=""),"",IFERROR(IF($K168="%",BE168-BD168,BE168/BD168-1),""))</f>
        <v>0.1</v>
      </c>
      <c r="BG168" s="5" t="str">
        <f aca="false">IF(OR(BD168="",BE168=""),"",IF($F168="Maior Melhor",IF(BE168&gt;=BD168,"Sim","Não"),IF(BE168&lt;=BD168,"Sim","Não")))</f>
        <v>Sim</v>
      </c>
      <c r="BH168" s="3" t="n">
        <v>0.9</v>
      </c>
      <c r="BI168" s="3" t="n">
        <v>1</v>
      </c>
      <c r="BJ168" s="4" t="n">
        <f aca="false">IF(OR(BH168="",BI168=""),"",IFERROR(IF($K168="%",BI168-BH168,BI168/BH168-1),""))</f>
        <v>0.1</v>
      </c>
      <c r="BK168" s="5" t="str">
        <f aca="false">IF(OR(BH168="",BI168=""),"",IF($F168="Maior Melhor",IF(BI168&gt;=BH168,"Sim","Não"),IF(BI168&lt;=BH168,"Sim","Não")))</f>
        <v>Sim</v>
      </c>
      <c r="BL168" s="6"/>
      <c r="BM168" s="6"/>
      <c r="BN168" s="4" t="str">
        <f aca="false">IF(OR(BL168="",BM168=""),"",IFERROR(IF($K168="%",BM168-BL168,BM168/BL168-1),""))</f>
        <v/>
      </c>
      <c r="BO168" s="5" t="str">
        <f aca="false">IF(OR(BL168="",BM168=""),"",IF($F168="Maior Melhor",IF(BM168&gt;=BL168,"Sim","Não"),IF(BM168&lt;=BL168,"Sim","Não")))</f>
        <v/>
      </c>
      <c r="BP168" s="6"/>
      <c r="BQ168" s="6"/>
      <c r="BR168" s="4" t="str">
        <f aca="false">IF(OR(BP168="",BQ168=""),"",IFERROR(IF($K168="%",BQ168-BP168,BQ168/BP168-1),""))</f>
        <v/>
      </c>
      <c r="BS168" s="5" t="str">
        <f aca="false">IF(OR(BP168="",BQ168=""),"",IF($F168="Maior Melhor",IF(BQ168&gt;=BP168,"Sim","Não"),IF(BQ168&lt;=BP168,"Sim","Não")))</f>
        <v/>
      </c>
      <c r="BT168" s="6"/>
      <c r="BU168" s="6"/>
      <c r="BV168" s="4" t="str">
        <f aca="false">IF(OR(BT168="",BU168=""),"",IFERROR(IF($K168="%",BU168-BT168,BU168/BT168-1),""))</f>
        <v/>
      </c>
      <c r="BW168" s="5" t="str">
        <f aca="false">IF(OR(BT168="",BU168=""),"",IF($F168="Maior Melhor",IF(BU168&gt;=BT168,"Sim","Não"),IF(BU168&lt;=BT168,"Sim","Não")))</f>
        <v/>
      </c>
      <c r="BX168" s="6"/>
      <c r="BY168" s="6"/>
      <c r="BZ168" s="4" t="str">
        <f aca="false">IF(OR(BX168="",BY168=""),"",IFERROR(IF($K168="%",BY168-BX168,BY168/BX168-1),""))</f>
        <v/>
      </c>
      <c r="CA168" s="5" t="str">
        <f aca="false">IF(OR(BX168="",BY168=""),"",IF($F168="Maior Melhor",IF(BY168&gt;=BX168,"Sim","Não"),IF(BY168&lt;=BX168,"Sim","Não")))</f>
        <v/>
      </c>
      <c r="CB168" s="6"/>
      <c r="CC168" s="6"/>
      <c r="CD168" s="4" t="str">
        <f aca="false">IF(OR(CB168="",CC168=""),"",IFERROR(IF($K168="%",CC168-CB168,CC168/CB168-1),""))</f>
        <v/>
      </c>
      <c r="CE168" s="5" t="str">
        <f aca="false">IF(OR(CB168="",CC168=""),"",IF($F168="Maior Melhor",IF(CC168&gt;=CB168,"Sim","Não"),IF(CC168&lt;=CB168,"Sim","Não")))</f>
        <v/>
      </c>
      <c r="CF168" s="6"/>
      <c r="CG168" s="6"/>
      <c r="CH168" s="4" t="str">
        <f aca="false">IF(OR(CF168="",CG168=""),"",IFERROR(IF($K168="%",CG168-CF168,CG168/CF168-1),""))</f>
        <v/>
      </c>
      <c r="CI168" s="5" t="str">
        <f aca="false">IF(OR(CF168="",CG168=""),"",IF($F168="Maior Melhor",IF(CG168&gt;=CF168,"Sim","Não"),IF(CG168&lt;=CF168,"Sim","Não")))</f>
        <v/>
      </c>
      <c r="CJ168" s="6"/>
      <c r="CK168" s="6"/>
      <c r="CL168" s="4" t="str">
        <f aca="false">IF(OR(CJ168="",CK168=""),"",IFERROR(IF($K168="%",CK168-CJ168,CK168/CJ168-1),""))</f>
        <v/>
      </c>
      <c r="CM168" s="5" t="str">
        <f aca="false">IF(OR(CJ168="",CK168=""),"",IF($F168="Maior Melhor",IF(CK168&gt;=CJ168,"Sim","Não"),IF(CK168&lt;=CJ168,"Sim","Não")))</f>
        <v/>
      </c>
      <c r="CN168" s="6"/>
      <c r="CO168" s="6"/>
      <c r="CP168" s="4" t="str">
        <f aca="false">IF(OR(CN168="",CO168=""),"",IFERROR(IF($K168="%",CO168-CN168,CO168/CN168-1),""))</f>
        <v/>
      </c>
      <c r="CQ168" s="5" t="str">
        <f aca="false">IF(OR(CN168="",CO168=""),"",IF($F168="Maior Melhor",IF(CO168&gt;=CN168,"Sim","Não"),IF(CO168&lt;=CN168,"Sim","Não")))</f>
        <v/>
      </c>
      <c r="CR168" s="2" t="s">
        <v>175</v>
      </c>
    </row>
    <row r="169" customFormat="false" ht="15" hidden="false" customHeight="false" outlineLevel="0" collapsed="false">
      <c r="A169" s="2" t="s">
        <v>172</v>
      </c>
      <c r="B169" s="2" t="s">
        <v>106</v>
      </c>
      <c r="C169" s="2" t="s">
        <v>113</v>
      </c>
      <c r="D169" s="2" t="s">
        <v>173</v>
      </c>
      <c r="E169" s="2" t="str">
        <f aca="false">C169&amp;D169</f>
        <v>UTD BOM JESUS DA LAPAEficiência do uso de medidores - EMED - UTDs</v>
      </c>
      <c r="F169" s="2" t="s">
        <v>100</v>
      </c>
      <c r="G169" s="2" t="s">
        <v>174</v>
      </c>
      <c r="H169" s="2" t="s">
        <v>102</v>
      </c>
      <c r="I169" s="2" t="s">
        <v>103</v>
      </c>
      <c r="J169" s="2" t="n">
        <v>2</v>
      </c>
      <c r="K169" s="2" t="s">
        <v>104</v>
      </c>
      <c r="L169" s="3" t="n">
        <v>0.9</v>
      </c>
      <c r="M169" s="3" t="n">
        <v>0.66</v>
      </c>
      <c r="N169" s="4" t="n">
        <f aca="false">IF(OR(L169="",M169=""),"",IFERROR(IF($K169="%",M169-L169,M169/L169-1),""))</f>
        <v>-0.24</v>
      </c>
      <c r="O169" s="5" t="str">
        <f aca="false">IF(OR(L169="",M169=""),"",IF($F169="Maior Melhor",IF(M169&gt;=L169,"Sim","Não"),IF(M169&lt;=L169,"Sim","Não")))</f>
        <v>Não</v>
      </c>
      <c r="P169" s="3" t="n">
        <v>0.9</v>
      </c>
      <c r="Q169" s="3" t="n">
        <v>0.83</v>
      </c>
      <c r="R169" s="4" t="n">
        <f aca="false">IF(OR(P169="",Q169=""),"",IFERROR(IF($K169="%",Q169-P169,Q169/P169-1),""))</f>
        <v>-0.0700000000000001</v>
      </c>
      <c r="S169" s="5" t="str">
        <f aca="false">IF(OR(P169="",Q169=""),"",IF($F169="Maior Melhor",IF(Q169&gt;=P169,"Sim","Não"),IF(Q169&lt;=P169,"Sim","Não")))</f>
        <v>Não</v>
      </c>
      <c r="T169" s="3" t="n">
        <v>0.9</v>
      </c>
      <c r="U169" s="3" t="n">
        <v>1</v>
      </c>
      <c r="V169" s="4" t="n">
        <f aca="false">IF(OR(T169="",U169=""),"",IFERROR(IF($K169="%",U169-T169,U169/T169-1),""))</f>
        <v>0.1</v>
      </c>
      <c r="W169" s="5" t="str">
        <f aca="false">IF(OR(T169="",U169=""),"",IF($F169="Maior Melhor",IF(U169&gt;=T169,"Sim","Não"),IF(U169&lt;=T169,"Sim","Não")))</f>
        <v>Sim</v>
      </c>
      <c r="X169" s="3" t="n">
        <v>0.9</v>
      </c>
      <c r="Y169" s="3" t="n">
        <v>1</v>
      </c>
      <c r="Z169" s="4" t="n">
        <f aca="false">IF(OR(X169="",Y169=""),"",IFERROR(IF($K169="%",Y169-X169,Y169/X169-1),""))</f>
        <v>0.1</v>
      </c>
      <c r="AA169" s="5" t="str">
        <f aca="false">IF(OR(X169="",Y169=""),"",IF($F169="Maior Melhor",IF(Y169&gt;=X169,"Sim","Não"),IF(Y169&lt;=X169,"Sim","Não")))</f>
        <v>Sim</v>
      </c>
      <c r="AB169" s="3" t="n">
        <v>0.9</v>
      </c>
      <c r="AC169" s="3" t="n">
        <v>1</v>
      </c>
      <c r="AD169" s="4" t="n">
        <f aca="false">IF(OR(AB169="",AC169=""),"",IFERROR(IF($K169="%",AC169-AB169,AC169/AB169-1),""))</f>
        <v>0.1</v>
      </c>
      <c r="AE169" s="5" t="str">
        <f aca="false">IF(OR(AB169="",AC169=""),"",IF($F169="Maior Melhor",IF(AC169&gt;=AB169,"Sim","Não"),IF(AC169&lt;=AB169,"Sim","Não")))</f>
        <v>Sim</v>
      </c>
      <c r="AF169" s="3" t="n">
        <v>0.9</v>
      </c>
      <c r="AG169" s="3" t="n">
        <v>0.98</v>
      </c>
      <c r="AH169" s="4" t="n">
        <f aca="false">IF(OR(AF169="",AG169=""),"",IFERROR(IF($K169="%",AG169-AF169,AG169/AF169-1),""))</f>
        <v>0.08</v>
      </c>
      <c r="AI169" s="5" t="str">
        <f aca="false">IF(OR(AF169="",AG169=""),"",IF($F169="Maior Melhor",IF(AG169&gt;=AF169,"Sim","Não"),IF(AG169&lt;=AF169,"Sim","Não")))</f>
        <v>Sim</v>
      </c>
      <c r="AJ169" s="3" t="n">
        <v>0.9</v>
      </c>
      <c r="AK169" s="3" t="n">
        <v>0.98</v>
      </c>
      <c r="AL169" s="4" t="n">
        <f aca="false">IF(OR(AJ169="",AK169=""),"",IFERROR(IF($K169="%",AK169-AJ169,AK169/AJ169-1),""))</f>
        <v>0.08</v>
      </c>
      <c r="AM169" s="5" t="str">
        <f aca="false">IF(OR(AJ169="",AK169=""),"",IF($F169="Maior Melhor",IF(AK169&gt;=AJ169,"Sim","Não"),IF(AK169&lt;=AJ169,"Sim","Não")))</f>
        <v>Sim</v>
      </c>
      <c r="AN169" s="3" t="n">
        <v>0.9</v>
      </c>
      <c r="AO169" s="3" t="n">
        <v>0.85</v>
      </c>
      <c r="AP169" s="4" t="n">
        <f aca="false">IF(OR(AN169="",AO169=""),"",IFERROR(IF($K169="%",AO169-AN169,AO169/AN169-1),""))</f>
        <v>-0.05</v>
      </c>
      <c r="AQ169" s="5" t="str">
        <f aca="false">IF(OR(AN169="",AO169=""),"",IF($F169="Maior Melhor",IF(AO169&gt;=AN169,"Sim","Não"),IF(AO169&lt;=AN169,"Sim","Não")))</f>
        <v>Não</v>
      </c>
      <c r="AR169" s="3" t="n">
        <v>0.9</v>
      </c>
      <c r="AS169" s="3" t="n">
        <v>0.85</v>
      </c>
      <c r="AT169" s="4" t="n">
        <f aca="false">IF(OR(AR169="",AS169=""),"",IFERROR(IF($K169="%",AS169-AR169,AS169/AR169-1),""))</f>
        <v>-0.05</v>
      </c>
      <c r="AU169" s="5" t="str">
        <f aca="false">IF(OR(AR169="",AS169=""),"",IF($F169="Maior Melhor",IF(AS169&gt;=AR169,"Sim","Não"),IF(AS169&lt;=AR169,"Sim","Não")))</f>
        <v>Não</v>
      </c>
      <c r="AV169" s="3" t="n">
        <v>0.9</v>
      </c>
      <c r="AW169" s="3" t="n">
        <v>0.97</v>
      </c>
      <c r="AX169" s="4" t="n">
        <f aca="false">IF(OR(AV169="",AW169=""),"",IFERROR(IF($K169="%",AW169-AV169,AW169/AV169-1),""))</f>
        <v>0.07</v>
      </c>
      <c r="AY169" s="5" t="str">
        <f aca="false">IF(OR(AV169="",AW169=""),"",IF($F169="Maior Melhor",IF(AW169&gt;=AV169,"Sim","Não"),IF(AW169&lt;=AV169,"Sim","Não")))</f>
        <v>Sim</v>
      </c>
      <c r="AZ169" s="3" t="n">
        <v>0.9</v>
      </c>
      <c r="BA169" s="3" t="n">
        <v>0.97</v>
      </c>
      <c r="BB169" s="4" t="n">
        <f aca="false">IF(OR(AZ169="",BA169=""),"",IFERROR(IF($K169="%",BA169-AZ169,BA169/AZ169-1),""))</f>
        <v>0.07</v>
      </c>
      <c r="BC169" s="5" t="str">
        <f aca="false">IF(OR(AZ169="",BA169=""),"",IF($F169="Maior Melhor",IF(BA169&gt;=AZ169,"Sim","Não"),IF(BA169&lt;=AZ169,"Sim","Não")))</f>
        <v>Sim</v>
      </c>
      <c r="BD169" s="3" t="n">
        <v>0.9</v>
      </c>
      <c r="BE169" s="3" t="n">
        <v>1</v>
      </c>
      <c r="BF169" s="4" t="n">
        <f aca="false">IF(OR(BD169="",BE169=""),"",IFERROR(IF($K169="%",BE169-BD169,BE169/BD169-1),""))</f>
        <v>0.1</v>
      </c>
      <c r="BG169" s="5" t="str">
        <f aca="false">IF(OR(BD169="",BE169=""),"",IF($F169="Maior Melhor",IF(BE169&gt;=BD169,"Sim","Não"),IF(BE169&lt;=BD169,"Sim","Não")))</f>
        <v>Sim</v>
      </c>
      <c r="BH169" s="3" t="n">
        <v>0.9</v>
      </c>
      <c r="BI169" s="3" t="n">
        <v>1</v>
      </c>
      <c r="BJ169" s="4" t="n">
        <f aca="false">IF(OR(BH169="",BI169=""),"",IFERROR(IF($K169="%",BI169-BH169,BI169/BH169-1),""))</f>
        <v>0.1</v>
      </c>
      <c r="BK169" s="5" t="str">
        <f aca="false">IF(OR(BH169="",BI169=""),"",IF($F169="Maior Melhor",IF(BI169&gt;=BH169,"Sim","Não"),IF(BI169&lt;=BH169,"Sim","Não")))</f>
        <v>Sim</v>
      </c>
      <c r="BL169" s="6"/>
      <c r="BM169" s="6"/>
      <c r="BN169" s="4" t="str">
        <f aca="false">IF(OR(BL169="",BM169=""),"",IFERROR(IF($K169="%",BM169-BL169,BM169/BL169-1),""))</f>
        <v/>
      </c>
      <c r="BO169" s="5" t="str">
        <f aca="false">IF(OR(BL169="",BM169=""),"",IF($F169="Maior Melhor",IF(BM169&gt;=BL169,"Sim","Não"),IF(BM169&lt;=BL169,"Sim","Não")))</f>
        <v/>
      </c>
      <c r="BP169" s="6"/>
      <c r="BQ169" s="6"/>
      <c r="BR169" s="4" t="str">
        <f aca="false">IF(OR(BP169="",BQ169=""),"",IFERROR(IF($K169="%",BQ169-BP169,BQ169/BP169-1),""))</f>
        <v/>
      </c>
      <c r="BS169" s="5" t="str">
        <f aca="false">IF(OR(BP169="",BQ169=""),"",IF($F169="Maior Melhor",IF(BQ169&gt;=BP169,"Sim","Não"),IF(BQ169&lt;=BP169,"Sim","Não")))</f>
        <v/>
      </c>
      <c r="BT169" s="6"/>
      <c r="BU169" s="6"/>
      <c r="BV169" s="4" t="str">
        <f aca="false">IF(OR(BT169="",BU169=""),"",IFERROR(IF($K169="%",BU169-BT169,BU169/BT169-1),""))</f>
        <v/>
      </c>
      <c r="BW169" s="5" t="str">
        <f aca="false">IF(OR(BT169="",BU169=""),"",IF($F169="Maior Melhor",IF(BU169&gt;=BT169,"Sim","Não"),IF(BU169&lt;=BT169,"Sim","Não")))</f>
        <v/>
      </c>
      <c r="BX169" s="6"/>
      <c r="BY169" s="6"/>
      <c r="BZ169" s="4" t="str">
        <f aca="false">IF(OR(BX169="",BY169=""),"",IFERROR(IF($K169="%",BY169-BX169,BY169/BX169-1),""))</f>
        <v/>
      </c>
      <c r="CA169" s="5" t="str">
        <f aca="false">IF(OR(BX169="",BY169=""),"",IF($F169="Maior Melhor",IF(BY169&gt;=BX169,"Sim","Não"),IF(BY169&lt;=BX169,"Sim","Não")))</f>
        <v/>
      </c>
      <c r="CB169" s="6"/>
      <c r="CC169" s="6"/>
      <c r="CD169" s="4" t="str">
        <f aca="false">IF(OR(CB169="",CC169=""),"",IFERROR(IF($K169="%",CC169-CB169,CC169/CB169-1),""))</f>
        <v/>
      </c>
      <c r="CE169" s="5" t="str">
        <f aca="false">IF(OR(CB169="",CC169=""),"",IF($F169="Maior Melhor",IF(CC169&gt;=CB169,"Sim","Não"),IF(CC169&lt;=CB169,"Sim","Não")))</f>
        <v/>
      </c>
      <c r="CF169" s="6"/>
      <c r="CG169" s="6"/>
      <c r="CH169" s="4" t="str">
        <f aca="false">IF(OR(CF169="",CG169=""),"",IFERROR(IF($K169="%",CG169-CF169,CG169/CF169-1),""))</f>
        <v/>
      </c>
      <c r="CI169" s="5" t="str">
        <f aca="false">IF(OR(CF169="",CG169=""),"",IF($F169="Maior Melhor",IF(CG169&gt;=CF169,"Sim","Não"),IF(CG169&lt;=CF169,"Sim","Não")))</f>
        <v/>
      </c>
      <c r="CJ169" s="6"/>
      <c r="CK169" s="6"/>
      <c r="CL169" s="4" t="str">
        <f aca="false">IF(OR(CJ169="",CK169=""),"",IFERROR(IF($K169="%",CK169-CJ169,CK169/CJ169-1),""))</f>
        <v/>
      </c>
      <c r="CM169" s="5" t="str">
        <f aca="false">IF(OR(CJ169="",CK169=""),"",IF($F169="Maior Melhor",IF(CK169&gt;=CJ169,"Sim","Não"),IF(CK169&lt;=CJ169,"Sim","Não")))</f>
        <v/>
      </c>
      <c r="CN169" s="6"/>
      <c r="CO169" s="6"/>
      <c r="CP169" s="4" t="str">
        <f aca="false">IF(OR(CN169="",CO169=""),"",IFERROR(IF($K169="%",CO169-CN169,CO169/CN169-1),""))</f>
        <v/>
      </c>
      <c r="CQ169" s="5" t="str">
        <f aca="false">IF(OR(CN169="",CO169=""),"",IF($F169="Maior Melhor",IF(CO169&gt;=CN169,"Sim","Não"),IF(CO169&lt;=CN169,"Sim","Não")))</f>
        <v/>
      </c>
      <c r="CR169" s="2" t="s">
        <v>149</v>
      </c>
    </row>
    <row r="170" customFormat="false" ht="15" hidden="false" customHeight="false" outlineLevel="0" collapsed="false">
      <c r="A170" s="2" t="s">
        <v>172</v>
      </c>
      <c r="B170" s="2" t="s">
        <v>108</v>
      </c>
      <c r="C170" s="2" t="s">
        <v>115</v>
      </c>
      <c r="D170" s="2" t="s">
        <v>173</v>
      </c>
      <c r="E170" s="2" t="str">
        <f aca="false">C170&amp;D170</f>
        <v>UTD BRUMADOEficiência do uso de medidores - EMED - UTDs</v>
      </c>
      <c r="F170" s="2" t="s">
        <v>100</v>
      </c>
      <c r="G170" s="2" t="s">
        <v>174</v>
      </c>
      <c r="H170" s="2" t="s">
        <v>102</v>
      </c>
      <c r="I170" s="2" t="s">
        <v>103</v>
      </c>
      <c r="J170" s="2" t="n">
        <v>2</v>
      </c>
      <c r="K170" s="2" t="s">
        <v>104</v>
      </c>
      <c r="L170" s="3" t="n">
        <v>0.9</v>
      </c>
      <c r="M170" s="3" t="n">
        <v>0.96</v>
      </c>
      <c r="N170" s="4" t="n">
        <f aca="false">IF(OR(L170="",M170=""),"",IFERROR(IF($K170="%",M170-L170,M170/L170-1),""))</f>
        <v>0.0599999999999999</v>
      </c>
      <c r="O170" s="5" t="str">
        <f aca="false">IF(OR(L170="",M170=""),"",IF($F170="Maior Melhor",IF(M170&gt;=L170,"Sim","Não"),IF(M170&lt;=L170,"Sim","Não")))</f>
        <v>Sim</v>
      </c>
      <c r="P170" s="3" t="n">
        <v>0.9</v>
      </c>
      <c r="Q170" s="3" t="n">
        <v>0.87</v>
      </c>
      <c r="R170" s="4" t="n">
        <f aca="false">IF(OR(P170="",Q170=""),"",IFERROR(IF($K170="%",Q170-P170,Q170/P170-1),""))</f>
        <v>-0.03</v>
      </c>
      <c r="S170" s="5" t="str">
        <f aca="false">IF(OR(P170="",Q170=""),"",IF($F170="Maior Melhor",IF(Q170&gt;=P170,"Sim","Não"),IF(Q170&lt;=P170,"Sim","Não")))</f>
        <v>Não</v>
      </c>
      <c r="T170" s="3" t="n">
        <v>0.9</v>
      </c>
      <c r="U170" s="3" t="n">
        <v>1</v>
      </c>
      <c r="V170" s="4" t="n">
        <f aca="false">IF(OR(T170="",U170=""),"",IFERROR(IF($K170="%",U170-T170,U170/T170-1),""))</f>
        <v>0.1</v>
      </c>
      <c r="W170" s="5" t="str">
        <f aca="false">IF(OR(T170="",U170=""),"",IF($F170="Maior Melhor",IF(U170&gt;=T170,"Sim","Não"),IF(U170&lt;=T170,"Sim","Não")))</f>
        <v>Sim</v>
      </c>
      <c r="X170" s="3" t="n">
        <v>0.9</v>
      </c>
      <c r="Y170" s="3" t="n">
        <v>1</v>
      </c>
      <c r="Z170" s="4" t="n">
        <f aca="false">IF(OR(X170="",Y170=""),"",IFERROR(IF($K170="%",Y170-X170,Y170/X170-1),""))</f>
        <v>0.1</v>
      </c>
      <c r="AA170" s="5" t="str">
        <f aca="false">IF(OR(X170="",Y170=""),"",IF($F170="Maior Melhor",IF(Y170&gt;=X170,"Sim","Não"),IF(Y170&lt;=X170,"Sim","Não")))</f>
        <v>Sim</v>
      </c>
      <c r="AB170" s="3" t="n">
        <v>0.9</v>
      </c>
      <c r="AC170" s="3" t="n">
        <v>1</v>
      </c>
      <c r="AD170" s="4" t="n">
        <f aca="false">IF(OR(AB170="",AC170=""),"",IFERROR(IF($K170="%",AC170-AB170,AC170/AB170-1),""))</f>
        <v>0.1</v>
      </c>
      <c r="AE170" s="5" t="str">
        <f aca="false">IF(OR(AB170="",AC170=""),"",IF($F170="Maior Melhor",IF(AC170&gt;=AB170,"Sim","Não"),IF(AC170&lt;=AB170,"Sim","Não")))</f>
        <v>Sim</v>
      </c>
      <c r="AF170" s="3" t="n">
        <v>0.9</v>
      </c>
      <c r="AG170" s="3" t="n">
        <v>0.93</v>
      </c>
      <c r="AH170" s="4" t="n">
        <f aca="false">IF(OR(AF170="",AG170=""),"",IFERROR(IF($K170="%",AG170-AF170,AG170/AF170-1),""))</f>
        <v>0.03</v>
      </c>
      <c r="AI170" s="5" t="str">
        <f aca="false">IF(OR(AF170="",AG170=""),"",IF($F170="Maior Melhor",IF(AG170&gt;=AF170,"Sim","Não"),IF(AG170&lt;=AF170,"Sim","Não")))</f>
        <v>Sim</v>
      </c>
      <c r="AJ170" s="3" t="n">
        <v>0.9</v>
      </c>
      <c r="AK170" s="3" t="n">
        <v>0.93</v>
      </c>
      <c r="AL170" s="4" t="n">
        <f aca="false">IF(OR(AJ170="",AK170=""),"",IFERROR(IF($K170="%",AK170-AJ170,AK170/AJ170-1),""))</f>
        <v>0.03</v>
      </c>
      <c r="AM170" s="5" t="str">
        <f aca="false">IF(OR(AJ170="",AK170=""),"",IF($F170="Maior Melhor",IF(AK170&gt;=AJ170,"Sim","Não"),IF(AK170&lt;=AJ170,"Sim","Não")))</f>
        <v>Sim</v>
      </c>
      <c r="AN170" s="3" t="n">
        <v>0.9</v>
      </c>
      <c r="AO170" s="3" t="n">
        <v>1</v>
      </c>
      <c r="AP170" s="4" t="n">
        <f aca="false">IF(OR(AN170="",AO170=""),"",IFERROR(IF($K170="%",AO170-AN170,AO170/AN170-1),""))</f>
        <v>0.1</v>
      </c>
      <c r="AQ170" s="5" t="str">
        <f aca="false">IF(OR(AN170="",AO170=""),"",IF($F170="Maior Melhor",IF(AO170&gt;=AN170,"Sim","Não"),IF(AO170&lt;=AN170,"Sim","Não")))</f>
        <v>Sim</v>
      </c>
      <c r="AR170" s="3" t="n">
        <v>0.9</v>
      </c>
      <c r="AS170" s="3" t="n">
        <v>1</v>
      </c>
      <c r="AT170" s="4" t="n">
        <f aca="false">IF(OR(AR170="",AS170=""),"",IFERROR(IF($K170="%",AS170-AR170,AS170/AR170-1),""))</f>
        <v>0.1</v>
      </c>
      <c r="AU170" s="5" t="str">
        <f aca="false">IF(OR(AR170="",AS170=""),"",IF($F170="Maior Melhor",IF(AS170&gt;=AR170,"Sim","Não"),IF(AS170&lt;=AR170,"Sim","Não")))</f>
        <v>Sim</v>
      </c>
      <c r="AV170" s="3" t="n">
        <v>0.9</v>
      </c>
      <c r="AW170" s="3" t="n">
        <v>1</v>
      </c>
      <c r="AX170" s="4" t="n">
        <f aca="false">IF(OR(AV170="",AW170=""),"",IFERROR(IF($K170="%",AW170-AV170,AW170/AV170-1),""))</f>
        <v>0.1</v>
      </c>
      <c r="AY170" s="5" t="str">
        <f aca="false">IF(OR(AV170="",AW170=""),"",IF($F170="Maior Melhor",IF(AW170&gt;=AV170,"Sim","Não"),IF(AW170&lt;=AV170,"Sim","Não")))</f>
        <v>Sim</v>
      </c>
      <c r="AZ170" s="3" t="n">
        <v>0.9</v>
      </c>
      <c r="BA170" s="3" t="n">
        <v>1</v>
      </c>
      <c r="BB170" s="4" t="n">
        <f aca="false">IF(OR(AZ170="",BA170=""),"",IFERROR(IF($K170="%",BA170-AZ170,BA170/AZ170-1),""))</f>
        <v>0.1</v>
      </c>
      <c r="BC170" s="5" t="str">
        <f aca="false">IF(OR(AZ170="",BA170=""),"",IF($F170="Maior Melhor",IF(BA170&gt;=AZ170,"Sim","Não"),IF(BA170&lt;=AZ170,"Sim","Não")))</f>
        <v>Sim</v>
      </c>
      <c r="BD170" s="3" t="n">
        <v>0.9</v>
      </c>
      <c r="BE170" s="3" t="n">
        <v>1</v>
      </c>
      <c r="BF170" s="4" t="n">
        <f aca="false">IF(OR(BD170="",BE170=""),"",IFERROR(IF($K170="%",BE170-BD170,BE170/BD170-1),""))</f>
        <v>0.1</v>
      </c>
      <c r="BG170" s="5" t="str">
        <f aca="false">IF(OR(BD170="",BE170=""),"",IF($F170="Maior Melhor",IF(BE170&gt;=BD170,"Sim","Não"),IF(BE170&lt;=BD170,"Sim","Não")))</f>
        <v>Sim</v>
      </c>
      <c r="BH170" s="3" t="n">
        <v>0.9</v>
      </c>
      <c r="BI170" s="3" t="n">
        <v>1</v>
      </c>
      <c r="BJ170" s="4" t="n">
        <f aca="false">IF(OR(BH170="",BI170=""),"",IFERROR(IF($K170="%",BI170-BH170,BI170/BH170-1),""))</f>
        <v>0.1</v>
      </c>
      <c r="BK170" s="5" t="str">
        <f aca="false">IF(OR(BH170="",BI170=""),"",IF($F170="Maior Melhor",IF(BI170&gt;=BH170,"Sim","Não"),IF(BI170&lt;=BH170,"Sim","Não")))</f>
        <v>Sim</v>
      </c>
      <c r="BL170" s="6"/>
      <c r="BM170" s="6"/>
      <c r="BN170" s="4" t="str">
        <f aca="false">IF(OR(BL170="",BM170=""),"",IFERROR(IF($K170="%",BM170-BL170,BM170/BL170-1),""))</f>
        <v/>
      </c>
      <c r="BO170" s="5" t="str">
        <f aca="false">IF(OR(BL170="",BM170=""),"",IF($F170="Maior Melhor",IF(BM170&gt;=BL170,"Sim","Não"),IF(BM170&lt;=BL170,"Sim","Não")))</f>
        <v/>
      </c>
      <c r="BP170" s="6"/>
      <c r="BQ170" s="6"/>
      <c r="BR170" s="4" t="str">
        <f aca="false">IF(OR(BP170="",BQ170=""),"",IFERROR(IF($K170="%",BQ170-BP170,BQ170/BP170-1),""))</f>
        <v/>
      </c>
      <c r="BS170" s="5" t="str">
        <f aca="false">IF(OR(BP170="",BQ170=""),"",IF($F170="Maior Melhor",IF(BQ170&gt;=BP170,"Sim","Não"),IF(BQ170&lt;=BP170,"Sim","Não")))</f>
        <v/>
      </c>
      <c r="BT170" s="6"/>
      <c r="BU170" s="6"/>
      <c r="BV170" s="4" t="str">
        <f aca="false">IF(OR(BT170="",BU170=""),"",IFERROR(IF($K170="%",BU170-BT170,BU170/BT170-1),""))</f>
        <v/>
      </c>
      <c r="BW170" s="5" t="str">
        <f aca="false">IF(OR(BT170="",BU170=""),"",IF($F170="Maior Melhor",IF(BU170&gt;=BT170,"Sim","Não"),IF(BU170&lt;=BT170,"Sim","Não")))</f>
        <v/>
      </c>
      <c r="BX170" s="6"/>
      <c r="BY170" s="6"/>
      <c r="BZ170" s="4" t="str">
        <f aca="false">IF(OR(BX170="",BY170=""),"",IFERROR(IF($K170="%",BY170-BX170,BY170/BX170-1),""))</f>
        <v/>
      </c>
      <c r="CA170" s="5" t="str">
        <f aca="false">IF(OR(BX170="",BY170=""),"",IF($F170="Maior Melhor",IF(BY170&gt;=BX170,"Sim","Não"),IF(BY170&lt;=BX170,"Sim","Não")))</f>
        <v/>
      </c>
      <c r="CB170" s="6"/>
      <c r="CC170" s="6"/>
      <c r="CD170" s="4" t="str">
        <f aca="false">IF(OR(CB170="",CC170=""),"",IFERROR(IF($K170="%",CC170-CB170,CC170/CB170-1),""))</f>
        <v/>
      </c>
      <c r="CE170" s="5" t="str">
        <f aca="false">IF(OR(CB170="",CC170=""),"",IF($F170="Maior Melhor",IF(CC170&gt;=CB170,"Sim","Não"),IF(CC170&lt;=CB170,"Sim","Não")))</f>
        <v/>
      </c>
      <c r="CF170" s="6"/>
      <c r="CG170" s="6"/>
      <c r="CH170" s="4" t="str">
        <f aca="false">IF(OR(CF170="",CG170=""),"",IFERROR(IF($K170="%",CG170-CF170,CG170/CF170-1),""))</f>
        <v/>
      </c>
      <c r="CI170" s="5" t="str">
        <f aca="false">IF(OR(CF170="",CG170=""),"",IF($F170="Maior Melhor",IF(CG170&gt;=CF170,"Sim","Não"),IF(CG170&lt;=CF170,"Sim","Não")))</f>
        <v/>
      </c>
      <c r="CJ170" s="6"/>
      <c r="CK170" s="6"/>
      <c r="CL170" s="4" t="str">
        <f aca="false">IF(OR(CJ170="",CK170=""),"",IFERROR(IF($K170="%",CK170-CJ170,CK170/CJ170-1),""))</f>
        <v/>
      </c>
      <c r="CM170" s="5" t="str">
        <f aca="false">IF(OR(CJ170="",CK170=""),"",IF($F170="Maior Melhor",IF(CK170&gt;=CJ170,"Sim","Não"),IF(CK170&lt;=CJ170,"Sim","Não")))</f>
        <v/>
      </c>
      <c r="CN170" s="6"/>
      <c r="CO170" s="6"/>
      <c r="CP170" s="4" t="str">
        <f aca="false">IF(OR(CN170="",CO170=""),"",IFERROR(IF($K170="%",CO170-CN170,CO170/CN170-1),""))</f>
        <v/>
      </c>
      <c r="CQ170" s="5" t="str">
        <f aca="false">IF(OR(CN170="",CO170=""),"",IF($F170="Maior Melhor",IF(CO170&gt;=CN170,"Sim","Não"),IF(CO170&lt;=CN170,"Sim","Não")))</f>
        <v/>
      </c>
      <c r="CR170" s="2" t="s">
        <v>105</v>
      </c>
    </row>
    <row r="171" customFormat="false" ht="15" hidden="false" customHeight="false" outlineLevel="0" collapsed="false">
      <c r="A171" s="2" t="s">
        <v>172</v>
      </c>
      <c r="B171" s="2" t="s">
        <v>108</v>
      </c>
      <c r="C171" s="2" t="s">
        <v>117</v>
      </c>
      <c r="D171" s="2" t="s">
        <v>173</v>
      </c>
      <c r="E171" s="2" t="str">
        <f aca="false">C171&amp;D171</f>
        <v>UTD GUANAMBIEficiência do uso de medidores - EMED - UTDs</v>
      </c>
      <c r="F171" s="2" t="s">
        <v>100</v>
      </c>
      <c r="G171" s="2" t="s">
        <v>174</v>
      </c>
      <c r="H171" s="2" t="s">
        <v>102</v>
      </c>
      <c r="I171" s="2" t="s">
        <v>103</v>
      </c>
      <c r="J171" s="2" t="n">
        <v>2</v>
      </c>
      <c r="K171" s="2" t="s">
        <v>104</v>
      </c>
      <c r="L171" s="3" t="n">
        <v>0.9</v>
      </c>
      <c r="M171" s="3" t="n">
        <v>0.82</v>
      </c>
      <c r="N171" s="4" t="n">
        <f aca="false">IF(OR(L171="",M171=""),"",IFERROR(IF($K171="%",M171-L171,M171/L171-1),""))</f>
        <v>-0.0800000000000001</v>
      </c>
      <c r="O171" s="5" t="str">
        <f aca="false">IF(OR(L171="",M171=""),"",IF($F171="Maior Melhor",IF(M171&gt;=L171,"Sim","Não"),IF(M171&lt;=L171,"Sim","Não")))</f>
        <v>Não</v>
      </c>
      <c r="P171" s="3" t="n">
        <v>0.9</v>
      </c>
      <c r="Q171" s="3" t="n">
        <v>0.92</v>
      </c>
      <c r="R171" s="4" t="n">
        <f aca="false">IF(OR(P171="",Q171=""),"",IFERROR(IF($K171="%",Q171-P171,Q171/P171-1),""))</f>
        <v>0.02</v>
      </c>
      <c r="S171" s="5" t="str">
        <f aca="false">IF(OR(P171="",Q171=""),"",IF($F171="Maior Melhor",IF(Q171&gt;=P171,"Sim","Não"),IF(Q171&lt;=P171,"Sim","Não")))</f>
        <v>Sim</v>
      </c>
      <c r="T171" s="3" t="n">
        <v>0.9</v>
      </c>
      <c r="U171" s="3" t="n">
        <v>1</v>
      </c>
      <c r="V171" s="4" t="n">
        <f aca="false">IF(OR(T171="",U171=""),"",IFERROR(IF($K171="%",U171-T171,U171/T171-1),""))</f>
        <v>0.1</v>
      </c>
      <c r="W171" s="5" t="str">
        <f aca="false">IF(OR(T171="",U171=""),"",IF($F171="Maior Melhor",IF(U171&gt;=T171,"Sim","Não"),IF(U171&lt;=T171,"Sim","Não")))</f>
        <v>Sim</v>
      </c>
      <c r="X171" s="3" t="n">
        <v>0.9</v>
      </c>
      <c r="Y171" s="3" t="n">
        <v>0.94</v>
      </c>
      <c r="Z171" s="4" t="n">
        <f aca="false">IF(OR(X171="",Y171=""),"",IFERROR(IF($K171="%",Y171-X171,Y171/X171-1),""))</f>
        <v>0.0399999999999999</v>
      </c>
      <c r="AA171" s="5" t="str">
        <f aca="false">IF(OR(X171="",Y171=""),"",IF($F171="Maior Melhor",IF(Y171&gt;=X171,"Sim","Não"),IF(Y171&lt;=X171,"Sim","Não")))</f>
        <v>Sim</v>
      </c>
      <c r="AB171" s="3" t="n">
        <v>0.9</v>
      </c>
      <c r="AC171" s="3" t="n">
        <v>0.94</v>
      </c>
      <c r="AD171" s="4" t="n">
        <f aca="false">IF(OR(AB171="",AC171=""),"",IFERROR(IF($K171="%",AC171-AB171,AC171/AB171-1),""))</f>
        <v>0.0399999999999999</v>
      </c>
      <c r="AE171" s="5" t="str">
        <f aca="false">IF(OR(AB171="",AC171=""),"",IF($F171="Maior Melhor",IF(AC171&gt;=AB171,"Sim","Não"),IF(AC171&lt;=AB171,"Sim","Não")))</f>
        <v>Sim</v>
      </c>
      <c r="AF171" s="3" t="n">
        <v>0.9</v>
      </c>
      <c r="AG171" s="3" t="n">
        <v>0.95</v>
      </c>
      <c r="AH171" s="4" t="n">
        <f aca="false">IF(OR(AF171="",AG171=""),"",IFERROR(IF($K171="%",AG171-AF171,AG171/AF171-1),""))</f>
        <v>0.0499999999999999</v>
      </c>
      <c r="AI171" s="5" t="str">
        <f aca="false">IF(OR(AF171="",AG171=""),"",IF($F171="Maior Melhor",IF(AG171&gt;=AF171,"Sim","Não"),IF(AG171&lt;=AF171,"Sim","Não")))</f>
        <v>Sim</v>
      </c>
      <c r="AJ171" s="3" t="n">
        <v>0.9</v>
      </c>
      <c r="AK171" s="3" t="n">
        <v>0.95</v>
      </c>
      <c r="AL171" s="4" t="n">
        <f aca="false">IF(OR(AJ171="",AK171=""),"",IFERROR(IF($K171="%",AK171-AJ171,AK171/AJ171-1),""))</f>
        <v>0.0499999999999999</v>
      </c>
      <c r="AM171" s="5" t="str">
        <f aca="false">IF(OR(AJ171="",AK171=""),"",IF($F171="Maior Melhor",IF(AK171&gt;=AJ171,"Sim","Não"),IF(AK171&lt;=AJ171,"Sim","Não")))</f>
        <v>Sim</v>
      </c>
      <c r="AN171" s="3" t="n">
        <v>0.9</v>
      </c>
      <c r="AO171" s="3" t="n">
        <v>0.95</v>
      </c>
      <c r="AP171" s="4" t="n">
        <f aca="false">IF(OR(AN171="",AO171=""),"",IFERROR(IF($K171="%",AO171-AN171,AO171/AN171-1),""))</f>
        <v>0.0499999999999999</v>
      </c>
      <c r="AQ171" s="5" t="str">
        <f aca="false">IF(OR(AN171="",AO171=""),"",IF($F171="Maior Melhor",IF(AO171&gt;=AN171,"Sim","Não"),IF(AO171&lt;=AN171,"Sim","Não")))</f>
        <v>Sim</v>
      </c>
      <c r="AR171" s="3" t="n">
        <v>0.9</v>
      </c>
      <c r="AS171" s="3" t="n">
        <v>0.95</v>
      </c>
      <c r="AT171" s="4" t="n">
        <f aca="false">IF(OR(AR171="",AS171=""),"",IFERROR(IF($K171="%",AS171-AR171,AS171/AR171-1),""))</f>
        <v>0.0499999999999999</v>
      </c>
      <c r="AU171" s="5" t="str">
        <f aca="false">IF(OR(AR171="",AS171=""),"",IF($F171="Maior Melhor",IF(AS171&gt;=AR171,"Sim","Não"),IF(AS171&lt;=AR171,"Sim","Não")))</f>
        <v>Sim</v>
      </c>
      <c r="AV171" s="3" t="n">
        <v>0.9</v>
      </c>
      <c r="AW171" s="3" t="n">
        <v>1</v>
      </c>
      <c r="AX171" s="4" t="n">
        <f aca="false">IF(OR(AV171="",AW171=""),"",IFERROR(IF($K171="%",AW171-AV171,AW171/AV171-1),""))</f>
        <v>0.1</v>
      </c>
      <c r="AY171" s="5" t="str">
        <f aca="false">IF(OR(AV171="",AW171=""),"",IF($F171="Maior Melhor",IF(AW171&gt;=AV171,"Sim","Não"),IF(AW171&lt;=AV171,"Sim","Não")))</f>
        <v>Sim</v>
      </c>
      <c r="AZ171" s="3" t="n">
        <v>0.9</v>
      </c>
      <c r="BA171" s="3" t="n">
        <v>1</v>
      </c>
      <c r="BB171" s="4" t="n">
        <f aca="false">IF(OR(AZ171="",BA171=""),"",IFERROR(IF($K171="%",BA171-AZ171,BA171/AZ171-1),""))</f>
        <v>0.1</v>
      </c>
      <c r="BC171" s="5" t="str">
        <f aca="false">IF(OR(AZ171="",BA171=""),"",IF($F171="Maior Melhor",IF(BA171&gt;=AZ171,"Sim","Não"),IF(BA171&lt;=AZ171,"Sim","Não")))</f>
        <v>Sim</v>
      </c>
      <c r="BD171" s="3" t="n">
        <v>0.9</v>
      </c>
      <c r="BE171" s="3" t="n">
        <v>1</v>
      </c>
      <c r="BF171" s="4" t="n">
        <f aca="false">IF(OR(BD171="",BE171=""),"",IFERROR(IF($K171="%",BE171-BD171,BE171/BD171-1),""))</f>
        <v>0.1</v>
      </c>
      <c r="BG171" s="5" t="str">
        <f aca="false">IF(OR(BD171="",BE171=""),"",IF($F171="Maior Melhor",IF(BE171&gt;=BD171,"Sim","Não"),IF(BE171&lt;=BD171,"Sim","Não")))</f>
        <v>Sim</v>
      </c>
      <c r="BH171" s="3" t="n">
        <v>0.9</v>
      </c>
      <c r="BI171" s="3" t="n">
        <v>1</v>
      </c>
      <c r="BJ171" s="4" t="n">
        <f aca="false">IF(OR(BH171="",BI171=""),"",IFERROR(IF($K171="%",BI171-BH171,BI171/BH171-1),""))</f>
        <v>0.1</v>
      </c>
      <c r="BK171" s="5" t="str">
        <f aca="false">IF(OR(BH171="",BI171=""),"",IF($F171="Maior Melhor",IF(BI171&gt;=BH171,"Sim","Não"),IF(BI171&lt;=BH171,"Sim","Não")))</f>
        <v>Sim</v>
      </c>
      <c r="BL171" s="6"/>
      <c r="BM171" s="6"/>
      <c r="BN171" s="4" t="str">
        <f aca="false">IF(OR(BL171="",BM171=""),"",IFERROR(IF($K171="%",BM171-BL171,BM171/BL171-1),""))</f>
        <v/>
      </c>
      <c r="BO171" s="5" t="str">
        <f aca="false">IF(OR(BL171="",BM171=""),"",IF($F171="Maior Melhor",IF(BM171&gt;=BL171,"Sim","Não"),IF(BM171&lt;=BL171,"Sim","Não")))</f>
        <v/>
      </c>
      <c r="BP171" s="6"/>
      <c r="BQ171" s="6"/>
      <c r="BR171" s="4" t="str">
        <f aca="false">IF(OR(BP171="",BQ171=""),"",IFERROR(IF($K171="%",BQ171-BP171,BQ171/BP171-1),""))</f>
        <v/>
      </c>
      <c r="BS171" s="5" t="str">
        <f aca="false">IF(OR(BP171="",BQ171=""),"",IF($F171="Maior Melhor",IF(BQ171&gt;=BP171,"Sim","Não"),IF(BQ171&lt;=BP171,"Sim","Não")))</f>
        <v/>
      </c>
      <c r="BT171" s="6"/>
      <c r="BU171" s="6"/>
      <c r="BV171" s="4" t="str">
        <f aca="false">IF(OR(BT171="",BU171=""),"",IFERROR(IF($K171="%",BU171-BT171,BU171/BT171-1),""))</f>
        <v/>
      </c>
      <c r="BW171" s="5" t="str">
        <f aca="false">IF(OR(BT171="",BU171=""),"",IF($F171="Maior Melhor",IF(BU171&gt;=BT171,"Sim","Não"),IF(BU171&lt;=BT171,"Sim","Não")))</f>
        <v/>
      </c>
      <c r="BX171" s="6"/>
      <c r="BY171" s="6"/>
      <c r="BZ171" s="4" t="str">
        <f aca="false">IF(OR(BX171="",BY171=""),"",IFERROR(IF($K171="%",BY171-BX171,BY171/BX171-1),""))</f>
        <v/>
      </c>
      <c r="CA171" s="5" t="str">
        <f aca="false">IF(OR(BX171="",BY171=""),"",IF($F171="Maior Melhor",IF(BY171&gt;=BX171,"Sim","Não"),IF(BY171&lt;=BX171,"Sim","Não")))</f>
        <v/>
      </c>
      <c r="CB171" s="6"/>
      <c r="CC171" s="6"/>
      <c r="CD171" s="4" t="str">
        <f aca="false">IF(OR(CB171="",CC171=""),"",IFERROR(IF($K171="%",CC171-CB171,CC171/CB171-1),""))</f>
        <v/>
      </c>
      <c r="CE171" s="5" t="str">
        <f aca="false">IF(OR(CB171="",CC171=""),"",IF($F171="Maior Melhor",IF(CC171&gt;=CB171,"Sim","Não"),IF(CC171&lt;=CB171,"Sim","Não")))</f>
        <v/>
      </c>
      <c r="CF171" s="6"/>
      <c r="CG171" s="6"/>
      <c r="CH171" s="4" t="str">
        <f aca="false">IF(OR(CF171="",CG171=""),"",IFERROR(IF($K171="%",CG171-CF171,CG171/CF171-1),""))</f>
        <v/>
      </c>
      <c r="CI171" s="5" t="str">
        <f aca="false">IF(OR(CF171="",CG171=""),"",IF($F171="Maior Melhor",IF(CG171&gt;=CF171,"Sim","Não"),IF(CG171&lt;=CF171,"Sim","Não")))</f>
        <v/>
      </c>
      <c r="CJ171" s="6"/>
      <c r="CK171" s="6"/>
      <c r="CL171" s="4" t="str">
        <f aca="false">IF(OR(CJ171="",CK171=""),"",IFERROR(IF($K171="%",CK171-CJ171,CK171/CJ171-1),""))</f>
        <v/>
      </c>
      <c r="CM171" s="5" t="str">
        <f aca="false">IF(OR(CJ171="",CK171=""),"",IF($F171="Maior Melhor",IF(CK171&gt;=CJ171,"Sim","Não"),IF(CK171&lt;=CJ171,"Sim","Não")))</f>
        <v/>
      </c>
      <c r="CN171" s="6"/>
      <c r="CO171" s="6"/>
      <c r="CP171" s="4" t="str">
        <f aca="false">IF(OR(CN171="",CO171=""),"",IFERROR(IF($K171="%",CO171-CN171,CO171/CN171-1),""))</f>
        <v/>
      </c>
      <c r="CQ171" s="5" t="str">
        <f aca="false">IF(OR(CN171="",CO171=""),"",IF($F171="Maior Melhor",IF(CO171&gt;=CN171,"Sim","Não"),IF(CO171&lt;=CN171,"Sim","Não")))</f>
        <v/>
      </c>
      <c r="CR171" s="2" t="s">
        <v>105</v>
      </c>
    </row>
    <row r="172" customFormat="false" ht="15" hidden="false" customHeight="false" outlineLevel="0" collapsed="false">
      <c r="A172" s="2" t="s">
        <v>172</v>
      </c>
      <c r="B172" s="2" t="s">
        <v>106</v>
      </c>
      <c r="C172" s="2" t="s">
        <v>118</v>
      </c>
      <c r="D172" s="2" t="s">
        <v>173</v>
      </c>
      <c r="E172" s="2" t="str">
        <f aca="false">C172&amp;D172</f>
        <v>UTD IBOTIRAMAEficiência do uso de medidores - EMED - UTDs</v>
      </c>
      <c r="F172" s="2" t="s">
        <v>100</v>
      </c>
      <c r="G172" s="2" t="s">
        <v>174</v>
      </c>
      <c r="H172" s="2" t="s">
        <v>119</v>
      </c>
      <c r="I172" s="2" t="s">
        <v>103</v>
      </c>
      <c r="J172" s="2" t="n">
        <v>2</v>
      </c>
      <c r="K172" s="2" t="s">
        <v>104</v>
      </c>
      <c r="L172" s="3" t="n">
        <v>0.9</v>
      </c>
      <c r="M172" s="3" t="n">
        <v>0.64</v>
      </c>
      <c r="N172" s="4" t="n">
        <f aca="false">IF(OR(L172="",M172=""),"",IFERROR(IF($K172="%",M172-L172,M172/L172-1),""))</f>
        <v>-0.26</v>
      </c>
      <c r="O172" s="5" t="str">
        <f aca="false">IF(OR(L172="",M172=""),"",IF($F172="Maior Melhor",IF(M172&gt;=L172,"Sim","Não"),IF(M172&lt;=L172,"Sim","Não")))</f>
        <v>Não</v>
      </c>
      <c r="P172" s="3" t="n">
        <v>0.9</v>
      </c>
      <c r="Q172" s="3" t="n">
        <v>0.53</v>
      </c>
      <c r="R172" s="4" t="n">
        <f aca="false">IF(OR(P172="",Q172=""),"",IFERROR(IF($K172="%",Q172-P172,Q172/P172-1),""))</f>
        <v>-0.37</v>
      </c>
      <c r="S172" s="5" t="str">
        <f aca="false">IF(OR(P172="",Q172=""),"",IF($F172="Maior Melhor",IF(Q172&gt;=P172,"Sim","Não"),IF(Q172&lt;=P172,"Sim","Não")))</f>
        <v>Não</v>
      </c>
      <c r="T172" s="3" t="n">
        <v>0.9</v>
      </c>
      <c r="U172" s="3" t="n">
        <v>0.92</v>
      </c>
      <c r="V172" s="4" t="n">
        <f aca="false">IF(OR(T172="",U172=""),"",IFERROR(IF($K172="%",U172-T172,U172/T172-1),""))</f>
        <v>0.02</v>
      </c>
      <c r="W172" s="5" t="str">
        <f aca="false">IF(OR(T172="",U172=""),"",IF($F172="Maior Melhor",IF(U172&gt;=T172,"Sim","Não"),IF(U172&lt;=T172,"Sim","Não")))</f>
        <v>Sim</v>
      </c>
      <c r="X172" s="3" t="n">
        <v>0.9</v>
      </c>
      <c r="Y172" s="3" t="n">
        <v>0.93</v>
      </c>
      <c r="Z172" s="4" t="n">
        <f aca="false">IF(OR(X172="",Y172=""),"",IFERROR(IF($K172="%",Y172-X172,Y172/X172-1),""))</f>
        <v>0.03</v>
      </c>
      <c r="AA172" s="5" t="str">
        <f aca="false">IF(OR(X172="",Y172=""),"",IF($F172="Maior Melhor",IF(Y172&gt;=X172,"Sim","Não"),IF(Y172&lt;=X172,"Sim","Não")))</f>
        <v>Sim</v>
      </c>
      <c r="AB172" s="3" t="n">
        <v>0.9</v>
      </c>
      <c r="AC172" s="3" t="n">
        <v>0.93</v>
      </c>
      <c r="AD172" s="4" t="n">
        <f aca="false">IF(OR(AB172="",AC172=""),"",IFERROR(IF($K172="%",AC172-AB172,AC172/AB172-1),""))</f>
        <v>0.03</v>
      </c>
      <c r="AE172" s="5" t="str">
        <f aca="false">IF(OR(AB172="",AC172=""),"",IF($F172="Maior Melhor",IF(AC172&gt;=AB172,"Sim","Não"),IF(AC172&lt;=AB172,"Sim","Não")))</f>
        <v>Sim</v>
      </c>
      <c r="AF172" s="3" t="n">
        <v>0.9</v>
      </c>
      <c r="AG172" s="3" t="n">
        <v>1</v>
      </c>
      <c r="AH172" s="4" t="n">
        <f aca="false">IF(OR(AF172="",AG172=""),"",IFERROR(IF($K172="%",AG172-AF172,AG172/AF172-1),""))</f>
        <v>0.1</v>
      </c>
      <c r="AI172" s="5" t="str">
        <f aca="false">IF(OR(AF172="",AG172=""),"",IF($F172="Maior Melhor",IF(AG172&gt;=AF172,"Sim","Não"),IF(AG172&lt;=AF172,"Sim","Não")))</f>
        <v>Sim</v>
      </c>
      <c r="AJ172" s="3" t="n">
        <v>0.9</v>
      </c>
      <c r="AK172" s="3" t="n">
        <v>1</v>
      </c>
      <c r="AL172" s="4" t="n">
        <f aca="false">IF(OR(AJ172="",AK172=""),"",IFERROR(IF($K172="%",AK172-AJ172,AK172/AJ172-1),""))</f>
        <v>0.1</v>
      </c>
      <c r="AM172" s="5" t="str">
        <f aca="false">IF(OR(AJ172="",AK172=""),"",IF($F172="Maior Melhor",IF(AK172&gt;=AJ172,"Sim","Não"),IF(AK172&lt;=AJ172,"Sim","Não")))</f>
        <v>Sim</v>
      </c>
      <c r="AN172" s="3" t="n">
        <v>0.9</v>
      </c>
      <c r="AO172" s="3" t="n">
        <v>0.96</v>
      </c>
      <c r="AP172" s="4" t="n">
        <f aca="false">IF(OR(AN172="",AO172=""),"",IFERROR(IF($K172="%",AO172-AN172,AO172/AN172-1),""))</f>
        <v>0.0599999999999999</v>
      </c>
      <c r="AQ172" s="5" t="str">
        <f aca="false">IF(OR(AN172="",AO172=""),"",IF($F172="Maior Melhor",IF(AO172&gt;=AN172,"Sim","Não"),IF(AO172&lt;=AN172,"Sim","Não")))</f>
        <v>Sim</v>
      </c>
      <c r="AR172" s="3" t="n">
        <v>0.9</v>
      </c>
      <c r="AS172" s="3" t="n">
        <v>0.96</v>
      </c>
      <c r="AT172" s="4" t="n">
        <f aca="false">IF(OR(AR172="",AS172=""),"",IFERROR(IF($K172="%",AS172-AR172,AS172/AR172-1),""))</f>
        <v>0.0599999999999999</v>
      </c>
      <c r="AU172" s="5" t="str">
        <f aca="false">IF(OR(AR172="",AS172=""),"",IF($F172="Maior Melhor",IF(AS172&gt;=AR172,"Sim","Não"),IF(AS172&lt;=AR172,"Sim","Não")))</f>
        <v>Sim</v>
      </c>
      <c r="AV172" s="3" t="n">
        <v>0.9</v>
      </c>
      <c r="AW172" s="3" t="n">
        <v>0.98</v>
      </c>
      <c r="AX172" s="4" t="n">
        <f aca="false">IF(OR(AV172="",AW172=""),"",IFERROR(IF($K172="%",AW172-AV172,AW172/AV172-1),""))</f>
        <v>0.08</v>
      </c>
      <c r="AY172" s="5" t="str">
        <f aca="false">IF(OR(AV172="",AW172=""),"",IF($F172="Maior Melhor",IF(AW172&gt;=AV172,"Sim","Não"),IF(AW172&lt;=AV172,"Sim","Não")))</f>
        <v>Sim</v>
      </c>
      <c r="AZ172" s="3" t="n">
        <v>0.9</v>
      </c>
      <c r="BA172" s="3" t="n">
        <v>0.98</v>
      </c>
      <c r="BB172" s="4" t="n">
        <f aca="false">IF(OR(AZ172="",BA172=""),"",IFERROR(IF($K172="%",BA172-AZ172,BA172/AZ172-1),""))</f>
        <v>0.08</v>
      </c>
      <c r="BC172" s="5" t="str">
        <f aca="false">IF(OR(AZ172="",BA172=""),"",IF($F172="Maior Melhor",IF(BA172&gt;=AZ172,"Sim","Não"),IF(BA172&lt;=AZ172,"Sim","Não")))</f>
        <v>Sim</v>
      </c>
      <c r="BD172" s="3" t="n">
        <v>0.9</v>
      </c>
      <c r="BE172" s="3" t="n">
        <v>0.99</v>
      </c>
      <c r="BF172" s="4" t="n">
        <f aca="false">IF(OR(BD172="",BE172=""),"",IFERROR(IF($K172="%",BE172-BD172,BE172/BD172-1),""))</f>
        <v>0.09</v>
      </c>
      <c r="BG172" s="5" t="str">
        <f aca="false">IF(OR(BD172="",BE172=""),"",IF($F172="Maior Melhor",IF(BE172&gt;=BD172,"Sim","Não"),IF(BE172&lt;=BD172,"Sim","Não")))</f>
        <v>Sim</v>
      </c>
      <c r="BH172" s="3" t="n">
        <v>0.9</v>
      </c>
      <c r="BI172" s="3" t="n">
        <v>0.99</v>
      </c>
      <c r="BJ172" s="4" t="n">
        <f aca="false">IF(OR(BH172="",BI172=""),"",IFERROR(IF($K172="%",BI172-BH172,BI172/BH172-1),""))</f>
        <v>0.09</v>
      </c>
      <c r="BK172" s="5" t="str">
        <f aca="false">IF(OR(BH172="",BI172=""),"",IF($F172="Maior Melhor",IF(BI172&gt;=BH172,"Sim","Não"),IF(BI172&lt;=BH172,"Sim","Não")))</f>
        <v>Sim</v>
      </c>
      <c r="BL172" s="6"/>
      <c r="BM172" s="6"/>
      <c r="BN172" s="4" t="str">
        <f aca="false">IF(OR(BL172="",BM172=""),"",IFERROR(IF($K172="%",BM172-BL172,BM172/BL172-1),""))</f>
        <v/>
      </c>
      <c r="BO172" s="5" t="str">
        <f aca="false">IF(OR(BL172="",BM172=""),"",IF($F172="Maior Melhor",IF(BM172&gt;=BL172,"Sim","Não"),IF(BM172&lt;=BL172,"Sim","Não")))</f>
        <v/>
      </c>
      <c r="BP172" s="6"/>
      <c r="BQ172" s="6"/>
      <c r="BR172" s="4" t="str">
        <f aca="false">IF(OR(BP172="",BQ172=""),"",IFERROR(IF($K172="%",BQ172-BP172,BQ172/BP172-1),""))</f>
        <v/>
      </c>
      <c r="BS172" s="5" t="str">
        <f aca="false">IF(OR(BP172="",BQ172=""),"",IF($F172="Maior Melhor",IF(BQ172&gt;=BP172,"Sim","Não"),IF(BQ172&lt;=BP172,"Sim","Não")))</f>
        <v/>
      </c>
      <c r="BT172" s="6"/>
      <c r="BU172" s="6"/>
      <c r="BV172" s="4" t="str">
        <f aca="false">IF(OR(BT172="",BU172=""),"",IFERROR(IF($K172="%",BU172-BT172,BU172/BT172-1),""))</f>
        <v/>
      </c>
      <c r="BW172" s="5" t="str">
        <f aca="false">IF(OR(BT172="",BU172=""),"",IF($F172="Maior Melhor",IF(BU172&gt;=BT172,"Sim","Não"),IF(BU172&lt;=BT172,"Sim","Não")))</f>
        <v/>
      </c>
      <c r="BX172" s="6"/>
      <c r="BY172" s="6"/>
      <c r="BZ172" s="4" t="str">
        <f aca="false">IF(OR(BX172="",BY172=""),"",IFERROR(IF($K172="%",BY172-BX172,BY172/BX172-1),""))</f>
        <v/>
      </c>
      <c r="CA172" s="5" t="str">
        <f aca="false">IF(OR(BX172="",BY172=""),"",IF($F172="Maior Melhor",IF(BY172&gt;=BX172,"Sim","Não"),IF(BY172&lt;=BX172,"Sim","Não")))</f>
        <v/>
      </c>
      <c r="CB172" s="6"/>
      <c r="CC172" s="6"/>
      <c r="CD172" s="4" t="str">
        <f aca="false">IF(OR(CB172="",CC172=""),"",IFERROR(IF($K172="%",CC172-CB172,CC172/CB172-1),""))</f>
        <v/>
      </c>
      <c r="CE172" s="5" t="str">
        <f aca="false">IF(OR(CB172="",CC172=""),"",IF($F172="Maior Melhor",IF(CC172&gt;=CB172,"Sim","Não"),IF(CC172&lt;=CB172,"Sim","Não")))</f>
        <v/>
      </c>
      <c r="CF172" s="6"/>
      <c r="CG172" s="6"/>
      <c r="CH172" s="4" t="str">
        <f aca="false">IF(OR(CF172="",CG172=""),"",IFERROR(IF($K172="%",CG172-CF172,CG172/CF172-1),""))</f>
        <v/>
      </c>
      <c r="CI172" s="5" t="str">
        <f aca="false">IF(OR(CF172="",CG172=""),"",IF($F172="Maior Melhor",IF(CG172&gt;=CF172,"Sim","Não"),IF(CG172&lt;=CF172,"Sim","Não")))</f>
        <v/>
      </c>
      <c r="CJ172" s="6"/>
      <c r="CK172" s="6"/>
      <c r="CL172" s="4" t="str">
        <f aca="false">IF(OR(CJ172="",CK172=""),"",IFERROR(IF($K172="%",CK172-CJ172,CK172/CJ172-1),""))</f>
        <v/>
      </c>
      <c r="CM172" s="5" t="str">
        <f aca="false">IF(OR(CJ172="",CK172=""),"",IF($F172="Maior Melhor",IF(CK172&gt;=CJ172,"Sim","Não"),IF(CK172&lt;=CJ172,"Sim","Não")))</f>
        <v/>
      </c>
      <c r="CN172" s="6"/>
      <c r="CO172" s="6"/>
      <c r="CP172" s="4" t="str">
        <f aca="false">IF(OR(CN172="",CO172=""),"",IFERROR(IF($K172="%",CO172-CN172,CO172/CN172-1),""))</f>
        <v/>
      </c>
      <c r="CQ172" s="5" t="str">
        <f aca="false">IF(OR(CN172="",CO172=""),"",IF($F172="Maior Melhor",IF(CO172&gt;=CN172,"Sim","Não"),IF(CO172&lt;=CN172,"Sim","Não")))</f>
        <v/>
      </c>
      <c r="CR172" s="2" t="s">
        <v>141</v>
      </c>
    </row>
    <row r="173" customFormat="false" ht="15" hidden="false" customHeight="false" outlineLevel="0" collapsed="false">
      <c r="A173" s="2" t="s">
        <v>172</v>
      </c>
      <c r="B173" s="2" t="s">
        <v>97</v>
      </c>
      <c r="C173" s="2" t="s">
        <v>121</v>
      </c>
      <c r="D173" s="2" t="s">
        <v>173</v>
      </c>
      <c r="E173" s="2" t="str">
        <f aca="false">C173&amp;D173</f>
        <v>UTD IRECÊEficiência do uso de medidores - EMED - UTDs</v>
      </c>
      <c r="F173" s="2" t="s">
        <v>100</v>
      </c>
      <c r="G173" s="2" t="s">
        <v>174</v>
      </c>
      <c r="H173" s="2" t="s">
        <v>102</v>
      </c>
      <c r="I173" s="2" t="s">
        <v>103</v>
      </c>
      <c r="J173" s="2" t="n">
        <v>2</v>
      </c>
      <c r="K173" s="2" t="s">
        <v>104</v>
      </c>
      <c r="L173" s="3" t="n">
        <v>0.9</v>
      </c>
      <c r="M173" s="3" t="n">
        <v>0.94</v>
      </c>
      <c r="N173" s="4" t="n">
        <f aca="false">IF(OR(L173="",M173=""),"",IFERROR(IF($K173="%",M173-L173,M173/L173-1),""))</f>
        <v>0.0399999999999999</v>
      </c>
      <c r="O173" s="5" t="str">
        <f aca="false">IF(OR(L173="",M173=""),"",IF($F173="Maior Melhor",IF(M173&gt;=L173,"Sim","Não"),IF(M173&lt;=L173,"Sim","Não")))</f>
        <v>Sim</v>
      </c>
      <c r="P173" s="3" t="n">
        <v>0.9</v>
      </c>
      <c r="Q173" s="3" t="n">
        <v>0.6</v>
      </c>
      <c r="R173" s="4" t="n">
        <f aca="false">IF(OR(P173="",Q173=""),"",IFERROR(IF($K173="%",Q173-P173,Q173/P173-1),""))</f>
        <v>-0.3</v>
      </c>
      <c r="S173" s="5" t="str">
        <f aca="false">IF(OR(P173="",Q173=""),"",IF($F173="Maior Melhor",IF(Q173&gt;=P173,"Sim","Não"),IF(Q173&lt;=P173,"Sim","Não")))</f>
        <v>Não</v>
      </c>
      <c r="T173" s="3" t="n">
        <v>0.9</v>
      </c>
      <c r="U173" s="3" t="n">
        <v>0.91</v>
      </c>
      <c r="V173" s="4" t="n">
        <f aca="false">IF(OR(T173="",U173=""),"",IFERROR(IF($K173="%",U173-T173,U173/T173-1),""))</f>
        <v>0.01</v>
      </c>
      <c r="W173" s="5" t="str">
        <f aca="false">IF(OR(T173="",U173=""),"",IF($F173="Maior Melhor",IF(U173&gt;=T173,"Sim","Não"),IF(U173&lt;=T173,"Sim","Não")))</f>
        <v>Sim</v>
      </c>
      <c r="X173" s="3" t="n">
        <v>0.9</v>
      </c>
      <c r="Y173" s="3" t="n">
        <v>0.98</v>
      </c>
      <c r="Z173" s="4" t="n">
        <f aca="false">IF(OR(X173="",Y173=""),"",IFERROR(IF($K173="%",Y173-X173,Y173/X173-1),""))</f>
        <v>0.08</v>
      </c>
      <c r="AA173" s="5" t="str">
        <f aca="false">IF(OR(X173="",Y173=""),"",IF($F173="Maior Melhor",IF(Y173&gt;=X173,"Sim","Não"),IF(Y173&lt;=X173,"Sim","Não")))</f>
        <v>Sim</v>
      </c>
      <c r="AB173" s="3" t="n">
        <v>0.9</v>
      </c>
      <c r="AC173" s="3" t="n">
        <v>0.98</v>
      </c>
      <c r="AD173" s="4" t="n">
        <f aca="false">IF(OR(AB173="",AC173=""),"",IFERROR(IF($K173="%",AC173-AB173,AC173/AB173-1),""))</f>
        <v>0.08</v>
      </c>
      <c r="AE173" s="5" t="str">
        <f aca="false">IF(OR(AB173="",AC173=""),"",IF($F173="Maior Melhor",IF(AC173&gt;=AB173,"Sim","Não"),IF(AC173&lt;=AB173,"Sim","Não")))</f>
        <v>Sim</v>
      </c>
      <c r="AF173" s="3" t="n">
        <v>0.9</v>
      </c>
      <c r="AG173" s="3" t="n">
        <v>1</v>
      </c>
      <c r="AH173" s="4" t="n">
        <f aca="false">IF(OR(AF173="",AG173=""),"",IFERROR(IF($K173="%",AG173-AF173,AG173/AF173-1),""))</f>
        <v>0.1</v>
      </c>
      <c r="AI173" s="5" t="str">
        <f aca="false">IF(OR(AF173="",AG173=""),"",IF($F173="Maior Melhor",IF(AG173&gt;=AF173,"Sim","Não"),IF(AG173&lt;=AF173,"Sim","Não")))</f>
        <v>Sim</v>
      </c>
      <c r="AJ173" s="3" t="n">
        <v>0.9</v>
      </c>
      <c r="AK173" s="3" t="n">
        <v>1</v>
      </c>
      <c r="AL173" s="4" t="n">
        <f aca="false">IF(OR(AJ173="",AK173=""),"",IFERROR(IF($K173="%",AK173-AJ173,AK173/AJ173-1),""))</f>
        <v>0.1</v>
      </c>
      <c r="AM173" s="5" t="str">
        <f aca="false">IF(OR(AJ173="",AK173=""),"",IF($F173="Maior Melhor",IF(AK173&gt;=AJ173,"Sim","Não"),IF(AK173&lt;=AJ173,"Sim","Não")))</f>
        <v>Sim</v>
      </c>
      <c r="AN173" s="3" t="n">
        <v>0.9</v>
      </c>
      <c r="AO173" s="3" t="n">
        <v>1</v>
      </c>
      <c r="AP173" s="4" t="n">
        <f aca="false">IF(OR(AN173="",AO173=""),"",IFERROR(IF($K173="%",AO173-AN173,AO173/AN173-1),""))</f>
        <v>0.1</v>
      </c>
      <c r="AQ173" s="5" t="str">
        <f aca="false">IF(OR(AN173="",AO173=""),"",IF($F173="Maior Melhor",IF(AO173&gt;=AN173,"Sim","Não"),IF(AO173&lt;=AN173,"Sim","Não")))</f>
        <v>Sim</v>
      </c>
      <c r="AR173" s="3" t="n">
        <v>0.9</v>
      </c>
      <c r="AS173" s="3" t="n">
        <v>1</v>
      </c>
      <c r="AT173" s="4" t="n">
        <f aca="false">IF(OR(AR173="",AS173=""),"",IFERROR(IF($K173="%",AS173-AR173,AS173/AR173-1),""))</f>
        <v>0.1</v>
      </c>
      <c r="AU173" s="5" t="str">
        <f aca="false">IF(OR(AR173="",AS173=""),"",IF($F173="Maior Melhor",IF(AS173&gt;=AR173,"Sim","Não"),IF(AS173&lt;=AR173,"Sim","Não")))</f>
        <v>Sim</v>
      </c>
      <c r="AV173" s="3" t="n">
        <v>0.9</v>
      </c>
      <c r="AW173" s="3" t="n">
        <v>1</v>
      </c>
      <c r="AX173" s="4" t="n">
        <f aca="false">IF(OR(AV173="",AW173=""),"",IFERROR(IF($K173="%",AW173-AV173,AW173/AV173-1),""))</f>
        <v>0.1</v>
      </c>
      <c r="AY173" s="5" t="str">
        <f aca="false">IF(OR(AV173="",AW173=""),"",IF($F173="Maior Melhor",IF(AW173&gt;=AV173,"Sim","Não"),IF(AW173&lt;=AV173,"Sim","Não")))</f>
        <v>Sim</v>
      </c>
      <c r="AZ173" s="3" t="n">
        <v>0.9</v>
      </c>
      <c r="BA173" s="3" t="n">
        <v>1</v>
      </c>
      <c r="BB173" s="4" t="n">
        <f aca="false">IF(OR(AZ173="",BA173=""),"",IFERROR(IF($K173="%",BA173-AZ173,BA173/AZ173-1),""))</f>
        <v>0.1</v>
      </c>
      <c r="BC173" s="5" t="str">
        <f aca="false">IF(OR(AZ173="",BA173=""),"",IF($F173="Maior Melhor",IF(BA173&gt;=AZ173,"Sim","Não"),IF(BA173&lt;=AZ173,"Sim","Não")))</f>
        <v>Sim</v>
      </c>
      <c r="BD173" s="3" t="n">
        <v>0.9</v>
      </c>
      <c r="BE173" s="3" t="n">
        <v>0.99</v>
      </c>
      <c r="BF173" s="4" t="n">
        <f aca="false">IF(OR(BD173="",BE173=""),"",IFERROR(IF($K173="%",BE173-BD173,BE173/BD173-1),""))</f>
        <v>0.09</v>
      </c>
      <c r="BG173" s="5" t="str">
        <f aca="false">IF(OR(BD173="",BE173=""),"",IF($F173="Maior Melhor",IF(BE173&gt;=BD173,"Sim","Não"),IF(BE173&lt;=BD173,"Sim","Não")))</f>
        <v>Sim</v>
      </c>
      <c r="BH173" s="3" t="n">
        <v>0.9</v>
      </c>
      <c r="BI173" s="3" t="n">
        <v>0.99</v>
      </c>
      <c r="BJ173" s="4" t="n">
        <f aca="false">IF(OR(BH173="",BI173=""),"",IFERROR(IF($K173="%",BI173-BH173,BI173/BH173-1),""))</f>
        <v>0.09</v>
      </c>
      <c r="BK173" s="5" t="str">
        <f aca="false">IF(OR(BH173="",BI173=""),"",IF($F173="Maior Melhor",IF(BI173&gt;=BH173,"Sim","Não"),IF(BI173&lt;=BH173,"Sim","Não")))</f>
        <v>Sim</v>
      </c>
      <c r="BL173" s="6"/>
      <c r="BM173" s="6"/>
      <c r="BN173" s="4" t="str">
        <f aca="false">IF(OR(BL173="",BM173=""),"",IFERROR(IF($K173="%",BM173-BL173,BM173/BL173-1),""))</f>
        <v/>
      </c>
      <c r="BO173" s="5" t="str">
        <f aca="false">IF(OR(BL173="",BM173=""),"",IF($F173="Maior Melhor",IF(BM173&gt;=BL173,"Sim","Não"),IF(BM173&lt;=BL173,"Sim","Não")))</f>
        <v/>
      </c>
      <c r="BP173" s="6"/>
      <c r="BQ173" s="6"/>
      <c r="BR173" s="4" t="str">
        <f aca="false">IF(OR(BP173="",BQ173=""),"",IFERROR(IF($K173="%",BQ173-BP173,BQ173/BP173-1),""))</f>
        <v/>
      </c>
      <c r="BS173" s="5" t="str">
        <f aca="false">IF(OR(BP173="",BQ173=""),"",IF($F173="Maior Melhor",IF(BQ173&gt;=BP173,"Sim","Não"),IF(BQ173&lt;=BP173,"Sim","Não")))</f>
        <v/>
      </c>
      <c r="BT173" s="6"/>
      <c r="BU173" s="6"/>
      <c r="BV173" s="4" t="str">
        <f aca="false">IF(OR(BT173="",BU173=""),"",IFERROR(IF($K173="%",BU173-BT173,BU173/BT173-1),""))</f>
        <v/>
      </c>
      <c r="BW173" s="5" t="str">
        <f aca="false">IF(OR(BT173="",BU173=""),"",IF($F173="Maior Melhor",IF(BU173&gt;=BT173,"Sim","Não"),IF(BU173&lt;=BT173,"Sim","Não")))</f>
        <v/>
      </c>
      <c r="BX173" s="6"/>
      <c r="BY173" s="6"/>
      <c r="BZ173" s="4" t="str">
        <f aca="false">IF(OR(BX173="",BY173=""),"",IFERROR(IF($K173="%",BY173-BX173,BY173/BX173-1),""))</f>
        <v/>
      </c>
      <c r="CA173" s="5" t="str">
        <f aca="false">IF(OR(BX173="",BY173=""),"",IF($F173="Maior Melhor",IF(BY173&gt;=BX173,"Sim","Não"),IF(BY173&lt;=BX173,"Sim","Não")))</f>
        <v/>
      </c>
      <c r="CB173" s="6"/>
      <c r="CC173" s="6"/>
      <c r="CD173" s="4" t="str">
        <f aca="false">IF(OR(CB173="",CC173=""),"",IFERROR(IF($K173="%",CC173-CB173,CC173/CB173-1),""))</f>
        <v/>
      </c>
      <c r="CE173" s="5" t="str">
        <f aca="false">IF(OR(CB173="",CC173=""),"",IF($F173="Maior Melhor",IF(CC173&gt;=CB173,"Sim","Não"),IF(CC173&lt;=CB173,"Sim","Não")))</f>
        <v/>
      </c>
      <c r="CF173" s="6"/>
      <c r="CG173" s="6"/>
      <c r="CH173" s="4" t="str">
        <f aca="false">IF(OR(CF173="",CG173=""),"",IFERROR(IF($K173="%",CG173-CF173,CG173/CF173-1),""))</f>
        <v/>
      </c>
      <c r="CI173" s="5" t="str">
        <f aca="false">IF(OR(CF173="",CG173=""),"",IF($F173="Maior Melhor",IF(CG173&gt;=CF173,"Sim","Não"),IF(CG173&lt;=CF173,"Sim","Não")))</f>
        <v/>
      </c>
      <c r="CJ173" s="6"/>
      <c r="CK173" s="6"/>
      <c r="CL173" s="4" t="str">
        <f aca="false">IF(OR(CJ173="",CK173=""),"",IFERROR(IF($K173="%",CK173-CJ173,CK173/CJ173-1),""))</f>
        <v/>
      </c>
      <c r="CM173" s="5" t="str">
        <f aca="false">IF(OR(CJ173="",CK173=""),"",IF($F173="Maior Melhor",IF(CK173&gt;=CJ173,"Sim","Não"),IF(CK173&lt;=CJ173,"Sim","Não")))</f>
        <v/>
      </c>
      <c r="CN173" s="6"/>
      <c r="CO173" s="6"/>
      <c r="CP173" s="4" t="str">
        <f aca="false">IF(OR(CN173="",CO173=""),"",IFERROR(IF($K173="%",CO173-CN173,CO173/CN173-1),""))</f>
        <v/>
      </c>
      <c r="CQ173" s="5" t="str">
        <f aca="false">IF(OR(CN173="",CO173=""),"",IF($F173="Maior Melhor",IF(CO173&gt;=CN173,"Sim","Não"),IF(CO173&lt;=CN173,"Sim","Não")))</f>
        <v/>
      </c>
      <c r="CR173" s="2" t="s">
        <v>105</v>
      </c>
    </row>
    <row r="174" customFormat="false" ht="15" hidden="false" customHeight="false" outlineLevel="0" collapsed="false">
      <c r="A174" s="2" t="s">
        <v>172</v>
      </c>
      <c r="B174" s="2" t="s">
        <v>97</v>
      </c>
      <c r="C174" s="2" t="s">
        <v>122</v>
      </c>
      <c r="D174" s="2" t="s">
        <v>173</v>
      </c>
      <c r="E174" s="2" t="str">
        <f aca="false">C174&amp;D174</f>
        <v>UTD ITABERABAEficiência do uso de medidores - EMED - UTDs</v>
      </c>
      <c r="F174" s="2" t="s">
        <v>100</v>
      </c>
      <c r="G174" s="2" t="s">
        <v>174</v>
      </c>
      <c r="H174" s="2" t="s">
        <v>102</v>
      </c>
      <c r="I174" s="2" t="s">
        <v>103</v>
      </c>
      <c r="J174" s="2" t="n">
        <v>2</v>
      </c>
      <c r="K174" s="2" t="s">
        <v>104</v>
      </c>
      <c r="L174" s="3" t="n">
        <v>0.9</v>
      </c>
      <c r="M174" s="3" t="n">
        <v>0.5</v>
      </c>
      <c r="N174" s="4" t="n">
        <f aca="false">IF(OR(L174="",M174=""),"",IFERROR(IF($K174="%",M174-L174,M174/L174-1),""))</f>
        <v>-0.4</v>
      </c>
      <c r="O174" s="5" t="str">
        <f aca="false">IF(OR(L174="",M174=""),"",IF($F174="Maior Melhor",IF(M174&gt;=L174,"Sim","Não"),IF(M174&lt;=L174,"Sim","Não")))</f>
        <v>Não</v>
      </c>
      <c r="P174" s="3" t="n">
        <v>0.9</v>
      </c>
      <c r="Q174" s="3" t="n">
        <v>1</v>
      </c>
      <c r="R174" s="4" t="n">
        <f aca="false">IF(OR(P174="",Q174=""),"",IFERROR(IF($K174="%",Q174-P174,Q174/P174-1),""))</f>
        <v>0.1</v>
      </c>
      <c r="S174" s="5" t="str">
        <f aca="false">IF(OR(P174="",Q174=""),"",IF($F174="Maior Melhor",IF(Q174&gt;=P174,"Sim","Não"),IF(Q174&lt;=P174,"Sim","Não")))</f>
        <v>Sim</v>
      </c>
      <c r="T174" s="3" t="n">
        <v>0.9</v>
      </c>
      <c r="U174" s="3" t="n">
        <v>1</v>
      </c>
      <c r="V174" s="4" t="n">
        <f aca="false">IF(OR(T174="",U174=""),"",IFERROR(IF($K174="%",U174-T174,U174/T174-1),""))</f>
        <v>0.1</v>
      </c>
      <c r="W174" s="5" t="str">
        <f aca="false">IF(OR(T174="",U174=""),"",IF($F174="Maior Melhor",IF(U174&gt;=T174,"Sim","Não"),IF(U174&lt;=T174,"Sim","Não")))</f>
        <v>Sim</v>
      </c>
      <c r="X174" s="3" t="n">
        <v>0.9</v>
      </c>
      <c r="Y174" s="3" t="n">
        <v>0.96</v>
      </c>
      <c r="Z174" s="4" t="n">
        <f aca="false">IF(OR(X174="",Y174=""),"",IFERROR(IF($K174="%",Y174-X174,Y174/X174-1),""))</f>
        <v>0.0599999999999999</v>
      </c>
      <c r="AA174" s="5" t="str">
        <f aca="false">IF(OR(X174="",Y174=""),"",IF($F174="Maior Melhor",IF(Y174&gt;=X174,"Sim","Não"),IF(Y174&lt;=X174,"Sim","Não")))</f>
        <v>Sim</v>
      </c>
      <c r="AB174" s="3" t="n">
        <v>0.9</v>
      </c>
      <c r="AC174" s="3" t="n">
        <v>0.96</v>
      </c>
      <c r="AD174" s="4" t="n">
        <f aca="false">IF(OR(AB174="",AC174=""),"",IFERROR(IF($K174="%",AC174-AB174,AC174/AB174-1),""))</f>
        <v>0.0599999999999999</v>
      </c>
      <c r="AE174" s="5" t="str">
        <f aca="false">IF(OR(AB174="",AC174=""),"",IF($F174="Maior Melhor",IF(AC174&gt;=AB174,"Sim","Não"),IF(AC174&lt;=AB174,"Sim","Não")))</f>
        <v>Sim</v>
      </c>
      <c r="AF174" s="3" t="n">
        <v>0.9</v>
      </c>
      <c r="AG174" s="3" t="n">
        <v>1</v>
      </c>
      <c r="AH174" s="4" t="n">
        <f aca="false">IF(OR(AF174="",AG174=""),"",IFERROR(IF($K174="%",AG174-AF174,AG174/AF174-1),""))</f>
        <v>0.1</v>
      </c>
      <c r="AI174" s="5" t="str">
        <f aca="false">IF(OR(AF174="",AG174=""),"",IF($F174="Maior Melhor",IF(AG174&gt;=AF174,"Sim","Não"),IF(AG174&lt;=AF174,"Sim","Não")))</f>
        <v>Sim</v>
      </c>
      <c r="AJ174" s="3" t="n">
        <v>0.9</v>
      </c>
      <c r="AK174" s="3" t="n">
        <v>1</v>
      </c>
      <c r="AL174" s="4" t="n">
        <f aca="false">IF(OR(AJ174="",AK174=""),"",IFERROR(IF($K174="%",AK174-AJ174,AK174/AJ174-1),""))</f>
        <v>0.1</v>
      </c>
      <c r="AM174" s="5" t="str">
        <f aca="false">IF(OR(AJ174="",AK174=""),"",IF($F174="Maior Melhor",IF(AK174&gt;=AJ174,"Sim","Não"),IF(AK174&lt;=AJ174,"Sim","Não")))</f>
        <v>Sim</v>
      </c>
      <c r="AN174" s="3" t="n">
        <v>0.9</v>
      </c>
      <c r="AO174" s="3" t="n">
        <v>0.98</v>
      </c>
      <c r="AP174" s="4" t="n">
        <f aca="false">IF(OR(AN174="",AO174=""),"",IFERROR(IF($K174="%",AO174-AN174,AO174/AN174-1),""))</f>
        <v>0.08</v>
      </c>
      <c r="AQ174" s="5" t="str">
        <f aca="false">IF(OR(AN174="",AO174=""),"",IF($F174="Maior Melhor",IF(AO174&gt;=AN174,"Sim","Não"),IF(AO174&lt;=AN174,"Sim","Não")))</f>
        <v>Sim</v>
      </c>
      <c r="AR174" s="3" t="n">
        <v>0.9</v>
      </c>
      <c r="AS174" s="3" t="n">
        <v>0.98</v>
      </c>
      <c r="AT174" s="4" t="n">
        <f aca="false">IF(OR(AR174="",AS174=""),"",IFERROR(IF($K174="%",AS174-AR174,AS174/AR174-1),""))</f>
        <v>0.08</v>
      </c>
      <c r="AU174" s="5" t="str">
        <f aca="false">IF(OR(AR174="",AS174=""),"",IF($F174="Maior Melhor",IF(AS174&gt;=AR174,"Sim","Não"),IF(AS174&lt;=AR174,"Sim","Não")))</f>
        <v>Sim</v>
      </c>
      <c r="AV174" s="3" t="n">
        <v>0.9</v>
      </c>
      <c r="AW174" s="3" t="n">
        <v>1</v>
      </c>
      <c r="AX174" s="4" t="n">
        <f aca="false">IF(OR(AV174="",AW174=""),"",IFERROR(IF($K174="%",AW174-AV174,AW174/AV174-1),""))</f>
        <v>0.1</v>
      </c>
      <c r="AY174" s="5" t="str">
        <f aca="false">IF(OR(AV174="",AW174=""),"",IF($F174="Maior Melhor",IF(AW174&gt;=AV174,"Sim","Não"),IF(AW174&lt;=AV174,"Sim","Não")))</f>
        <v>Sim</v>
      </c>
      <c r="AZ174" s="3" t="n">
        <v>0.9</v>
      </c>
      <c r="BA174" s="3" t="n">
        <v>1</v>
      </c>
      <c r="BB174" s="4" t="n">
        <f aca="false">IF(OR(AZ174="",BA174=""),"",IFERROR(IF($K174="%",BA174-AZ174,BA174/AZ174-1),""))</f>
        <v>0.1</v>
      </c>
      <c r="BC174" s="5" t="str">
        <f aca="false">IF(OR(AZ174="",BA174=""),"",IF($F174="Maior Melhor",IF(BA174&gt;=AZ174,"Sim","Não"),IF(BA174&lt;=AZ174,"Sim","Não")))</f>
        <v>Sim</v>
      </c>
      <c r="BD174" s="3" t="n">
        <v>0.9</v>
      </c>
      <c r="BE174" s="3" t="n">
        <v>1</v>
      </c>
      <c r="BF174" s="4" t="n">
        <f aca="false">IF(OR(BD174="",BE174=""),"",IFERROR(IF($K174="%",BE174-BD174,BE174/BD174-1),""))</f>
        <v>0.1</v>
      </c>
      <c r="BG174" s="5" t="str">
        <f aca="false">IF(OR(BD174="",BE174=""),"",IF($F174="Maior Melhor",IF(BE174&gt;=BD174,"Sim","Não"),IF(BE174&lt;=BD174,"Sim","Não")))</f>
        <v>Sim</v>
      </c>
      <c r="BH174" s="3" t="n">
        <v>0.9</v>
      </c>
      <c r="BI174" s="3" t="n">
        <v>1</v>
      </c>
      <c r="BJ174" s="4" t="n">
        <f aca="false">IF(OR(BH174="",BI174=""),"",IFERROR(IF($K174="%",BI174-BH174,BI174/BH174-1),""))</f>
        <v>0.1</v>
      </c>
      <c r="BK174" s="5" t="str">
        <f aca="false">IF(OR(BH174="",BI174=""),"",IF($F174="Maior Melhor",IF(BI174&gt;=BH174,"Sim","Não"),IF(BI174&lt;=BH174,"Sim","Não")))</f>
        <v>Sim</v>
      </c>
      <c r="BL174" s="6"/>
      <c r="BM174" s="6"/>
      <c r="BN174" s="4" t="str">
        <f aca="false">IF(OR(BL174="",BM174=""),"",IFERROR(IF($K174="%",BM174-BL174,BM174/BL174-1),""))</f>
        <v/>
      </c>
      <c r="BO174" s="5" t="str">
        <f aca="false">IF(OR(BL174="",BM174=""),"",IF($F174="Maior Melhor",IF(BM174&gt;=BL174,"Sim","Não"),IF(BM174&lt;=BL174,"Sim","Não")))</f>
        <v/>
      </c>
      <c r="BP174" s="6"/>
      <c r="BQ174" s="6"/>
      <c r="BR174" s="4" t="str">
        <f aca="false">IF(OR(BP174="",BQ174=""),"",IFERROR(IF($K174="%",BQ174-BP174,BQ174/BP174-1),""))</f>
        <v/>
      </c>
      <c r="BS174" s="5" t="str">
        <f aca="false">IF(OR(BP174="",BQ174=""),"",IF($F174="Maior Melhor",IF(BQ174&gt;=BP174,"Sim","Não"),IF(BQ174&lt;=BP174,"Sim","Não")))</f>
        <v/>
      </c>
      <c r="BT174" s="6"/>
      <c r="BU174" s="6"/>
      <c r="BV174" s="4" t="str">
        <f aca="false">IF(OR(BT174="",BU174=""),"",IFERROR(IF($K174="%",BU174-BT174,BU174/BT174-1),""))</f>
        <v/>
      </c>
      <c r="BW174" s="5" t="str">
        <f aca="false">IF(OR(BT174="",BU174=""),"",IF($F174="Maior Melhor",IF(BU174&gt;=BT174,"Sim","Não"),IF(BU174&lt;=BT174,"Sim","Não")))</f>
        <v/>
      </c>
      <c r="BX174" s="6"/>
      <c r="BY174" s="6"/>
      <c r="BZ174" s="4" t="str">
        <f aca="false">IF(OR(BX174="",BY174=""),"",IFERROR(IF($K174="%",BY174-BX174,BY174/BX174-1),""))</f>
        <v/>
      </c>
      <c r="CA174" s="5" t="str">
        <f aca="false">IF(OR(BX174="",BY174=""),"",IF($F174="Maior Melhor",IF(BY174&gt;=BX174,"Sim","Não"),IF(BY174&lt;=BX174,"Sim","Não")))</f>
        <v/>
      </c>
      <c r="CB174" s="6"/>
      <c r="CC174" s="6"/>
      <c r="CD174" s="4" t="str">
        <f aca="false">IF(OR(CB174="",CC174=""),"",IFERROR(IF($K174="%",CC174-CB174,CC174/CB174-1),""))</f>
        <v/>
      </c>
      <c r="CE174" s="5" t="str">
        <f aca="false">IF(OR(CB174="",CC174=""),"",IF($F174="Maior Melhor",IF(CC174&gt;=CB174,"Sim","Não"),IF(CC174&lt;=CB174,"Sim","Não")))</f>
        <v/>
      </c>
      <c r="CF174" s="6"/>
      <c r="CG174" s="6"/>
      <c r="CH174" s="4" t="str">
        <f aca="false">IF(OR(CF174="",CG174=""),"",IFERROR(IF($K174="%",CG174-CF174,CG174/CF174-1),""))</f>
        <v/>
      </c>
      <c r="CI174" s="5" t="str">
        <f aca="false">IF(OR(CF174="",CG174=""),"",IF($F174="Maior Melhor",IF(CG174&gt;=CF174,"Sim","Não"),IF(CG174&lt;=CF174,"Sim","Não")))</f>
        <v/>
      </c>
      <c r="CJ174" s="6"/>
      <c r="CK174" s="6"/>
      <c r="CL174" s="4" t="str">
        <f aca="false">IF(OR(CJ174="",CK174=""),"",IFERROR(IF($K174="%",CK174-CJ174,CK174/CJ174-1),""))</f>
        <v/>
      </c>
      <c r="CM174" s="5" t="str">
        <f aca="false">IF(OR(CJ174="",CK174=""),"",IF($F174="Maior Melhor",IF(CK174&gt;=CJ174,"Sim","Não"),IF(CK174&lt;=CJ174,"Sim","Não")))</f>
        <v/>
      </c>
      <c r="CN174" s="6"/>
      <c r="CO174" s="6"/>
      <c r="CP174" s="4" t="str">
        <f aca="false">IF(OR(CN174="",CO174=""),"",IFERROR(IF($K174="%",CO174-CN174,CO174/CN174-1),""))</f>
        <v/>
      </c>
      <c r="CQ174" s="5" t="str">
        <f aca="false">IF(OR(CN174="",CO174=""),"",IF($F174="Maior Melhor",IF(CO174&gt;=CN174,"Sim","Não"),IF(CO174&lt;=CN174,"Sim","Não")))</f>
        <v/>
      </c>
      <c r="CR174" s="2" t="s">
        <v>135</v>
      </c>
    </row>
    <row r="175" customFormat="false" ht="15" hidden="false" customHeight="false" outlineLevel="0" collapsed="false">
      <c r="A175" s="2" t="s">
        <v>172</v>
      </c>
      <c r="B175" s="2" t="s">
        <v>108</v>
      </c>
      <c r="C175" s="2" t="s">
        <v>124</v>
      </c>
      <c r="D175" s="2" t="s">
        <v>173</v>
      </c>
      <c r="E175" s="2" t="str">
        <f aca="false">C175&amp;D175</f>
        <v>UTD ITAPETINGAEficiência do uso de medidores - EMED - UTDs</v>
      </c>
      <c r="F175" s="2" t="s">
        <v>100</v>
      </c>
      <c r="G175" s="2" t="s">
        <v>174</v>
      </c>
      <c r="H175" s="2" t="s">
        <v>102</v>
      </c>
      <c r="I175" s="2" t="s">
        <v>103</v>
      </c>
      <c r="J175" s="2" t="n">
        <v>2</v>
      </c>
      <c r="K175" s="2" t="s">
        <v>104</v>
      </c>
      <c r="L175" s="3" t="n">
        <v>0.9</v>
      </c>
      <c r="M175" s="3" t="n">
        <v>0.57</v>
      </c>
      <c r="N175" s="4" t="n">
        <f aca="false">IF(OR(L175="",M175=""),"",IFERROR(IF($K175="%",M175-L175,M175/L175-1),""))</f>
        <v>-0.33</v>
      </c>
      <c r="O175" s="5" t="str">
        <f aca="false">IF(OR(L175="",M175=""),"",IF($F175="Maior Melhor",IF(M175&gt;=L175,"Sim","Não"),IF(M175&lt;=L175,"Sim","Não")))</f>
        <v>Não</v>
      </c>
      <c r="P175" s="3" t="n">
        <v>0.9</v>
      </c>
      <c r="Q175" s="3" t="n">
        <v>0.55</v>
      </c>
      <c r="R175" s="4" t="n">
        <f aca="false">IF(OR(P175="",Q175=""),"",IFERROR(IF($K175="%",Q175-P175,Q175/P175-1),""))</f>
        <v>-0.35</v>
      </c>
      <c r="S175" s="5" t="str">
        <f aca="false">IF(OR(P175="",Q175=""),"",IF($F175="Maior Melhor",IF(Q175&gt;=P175,"Sim","Não"),IF(Q175&lt;=P175,"Sim","Não")))</f>
        <v>Não</v>
      </c>
      <c r="T175" s="3" t="n">
        <v>0.9</v>
      </c>
      <c r="U175" s="3" t="n">
        <v>0.92</v>
      </c>
      <c r="V175" s="4" t="n">
        <f aca="false">IF(OR(T175="",U175=""),"",IFERROR(IF($K175="%",U175-T175,U175/T175-1),""))</f>
        <v>0.02</v>
      </c>
      <c r="W175" s="5" t="str">
        <f aca="false">IF(OR(T175="",U175=""),"",IF($F175="Maior Melhor",IF(U175&gt;=T175,"Sim","Não"),IF(U175&lt;=T175,"Sim","Não")))</f>
        <v>Sim</v>
      </c>
      <c r="X175" s="3" t="n">
        <v>0.9</v>
      </c>
      <c r="Y175" s="3" t="n">
        <v>0.94</v>
      </c>
      <c r="Z175" s="4" t="n">
        <f aca="false">IF(OR(X175="",Y175=""),"",IFERROR(IF($K175="%",Y175-X175,Y175/X175-1),""))</f>
        <v>0.0399999999999999</v>
      </c>
      <c r="AA175" s="5" t="str">
        <f aca="false">IF(OR(X175="",Y175=""),"",IF($F175="Maior Melhor",IF(Y175&gt;=X175,"Sim","Não"),IF(Y175&lt;=X175,"Sim","Não")))</f>
        <v>Sim</v>
      </c>
      <c r="AB175" s="3" t="n">
        <v>0.9</v>
      </c>
      <c r="AC175" s="3" t="n">
        <v>0.94</v>
      </c>
      <c r="AD175" s="4" t="n">
        <f aca="false">IF(OR(AB175="",AC175=""),"",IFERROR(IF($K175="%",AC175-AB175,AC175/AB175-1),""))</f>
        <v>0.0399999999999999</v>
      </c>
      <c r="AE175" s="5" t="str">
        <f aca="false">IF(OR(AB175="",AC175=""),"",IF($F175="Maior Melhor",IF(AC175&gt;=AB175,"Sim","Não"),IF(AC175&lt;=AB175,"Sim","Não")))</f>
        <v>Sim</v>
      </c>
      <c r="AF175" s="3" t="n">
        <v>0.9</v>
      </c>
      <c r="AG175" s="3" t="n">
        <v>0.92</v>
      </c>
      <c r="AH175" s="4" t="n">
        <f aca="false">IF(OR(AF175="",AG175=""),"",IFERROR(IF($K175="%",AG175-AF175,AG175/AF175-1),""))</f>
        <v>0.02</v>
      </c>
      <c r="AI175" s="5" t="str">
        <f aca="false">IF(OR(AF175="",AG175=""),"",IF($F175="Maior Melhor",IF(AG175&gt;=AF175,"Sim","Não"),IF(AG175&lt;=AF175,"Sim","Não")))</f>
        <v>Sim</v>
      </c>
      <c r="AJ175" s="3" t="n">
        <v>0.9</v>
      </c>
      <c r="AK175" s="3" t="n">
        <v>0.92</v>
      </c>
      <c r="AL175" s="4" t="n">
        <f aca="false">IF(OR(AJ175="",AK175=""),"",IFERROR(IF($K175="%",AK175-AJ175,AK175/AJ175-1),""))</f>
        <v>0.02</v>
      </c>
      <c r="AM175" s="5" t="str">
        <f aca="false">IF(OR(AJ175="",AK175=""),"",IF($F175="Maior Melhor",IF(AK175&gt;=AJ175,"Sim","Não"),IF(AK175&lt;=AJ175,"Sim","Não")))</f>
        <v>Sim</v>
      </c>
      <c r="AN175" s="3" t="n">
        <v>0.9</v>
      </c>
      <c r="AO175" s="3" t="n">
        <v>0.78</v>
      </c>
      <c r="AP175" s="4" t="n">
        <f aca="false">IF(OR(AN175="",AO175=""),"",IFERROR(IF($K175="%",AO175-AN175,AO175/AN175-1),""))</f>
        <v>-0.12</v>
      </c>
      <c r="AQ175" s="5" t="str">
        <f aca="false">IF(OR(AN175="",AO175=""),"",IF($F175="Maior Melhor",IF(AO175&gt;=AN175,"Sim","Não"),IF(AO175&lt;=AN175,"Sim","Não")))</f>
        <v>Não</v>
      </c>
      <c r="AR175" s="3" t="n">
        <v>0.9</v>
      </c>
      <c r="AS175" s="3" t="n">
        <v>0.78</v>
      </c>
      <c r="AT175" s="4" t="n">
        <f aca="false">IF(OR(AR175="",AS175=""),"",IFERROR(IF($K175="%",AS175-AR175,AS175/AR175-1),""))</f>
        <v>-0.12</v>
      </c>
      <c r="AU175" s="5" t="str">
        <f aca="false">IF(OR(AR175="",AS175=""),"",IF($F175="Maior Melhor",IF(AS175&gt;=AR175,"Sim","Não"),IF(AS175&lt;=AR175,"Sim","Não")))</f>
        <v>Não</v>
      </c>
      <c r="AV175" s="3" t="n">
        <v>0.9</v>
      </c>
      <c r="AW175" s="3" t="n">
        <v>1</v>
      </c>
      <c r="AX175" s="4" t="n">
        <f aca="false">IF(OR(AV175="",AW175=""),"",IFERROR(IF($K175="%",AW175-AV175,AW175/AV175-1),""))</f>
        <v>0.1</v>
      </c>
      <c r="AY175" s="5" t="str">
        <f aca="false">IF(OR(AV175="",AW175=""),"",IF($F175="Maior Melhor",IF(AW175&gt;=AV175,"Sim","Não"),IF(AW175&lt;=AV175,"Sim","Não")))</f>
        <v>Sim</v>
      </c>
      <c r="AZ175" s="3" t="n">
        <v>0.9</v>
      </c>
      <c r="BA175" s="3" t="n">
        <v>1</v>
      </c>
      <c r="BB175" s="4" t="n">
        <f aca="false">IF(OR(AZ175="",BA175=""),"",IFERROR(IF($K175="%",BA175-AZ175,BA175/AZ175-1),""))</f>
        <v>0.1</v>
      </c>
      <c r="BC175" s="5" t="str">
        <f aca="false">IF(OR(AZ175="",BA175=""),"",IF($F175="Maior Melhor",IF(BA175&gt;=AZ175,"Sim","Não"),IF(BA175&lt;=AZ175,"Sim","Não")))</f>
        <v>Sim</v>
      </c>
      <c r="BD175" s="3" t="n">
        <v>0.9</v>
      </c>
      <c r="BE175" s="3" t="n">
        <v>0.99</v>
      </c>
      <c r="BF175" s="4" t="n">
        <f aca="false">IF(OR(BD175="",BE175=""),"",IFERROR(IF($K175="%",BE175-BD175,BE175/BD175-1),""))</f>
        <v>0.09</v>
      </c>
      <c r="BG175" s="5" t="str">
        <f aca="false">IF(OR(BD175="",BE175=""),"",IF($F175="Maior Melhor",IF(BE175&gt;=BD175,"Sim","Não"),IF(BE175&lt;=BD175,"Sim","Não")))</f>
        <v>Sim</v>
      </c>
      <c r="BH175" s="3" t="n">
        <v>0.9</v>
      </c>
      <c r="BI175" s="3" t="n">
        <v>0.99</v>
      </c>
      <c r="BJ175" s="4" t="n">
        <f aca="false">IF(OR(BH175="",BI175=""),"",IFERROR(IF($K175="%",BI175-BH175,BI175/BH175-1),""))</f>
        <v>0.09</v>
      </c>
      <c r="BK175" s="5" t="str">
        <f aca="false">IF(OR(BH175="",BI175=""),"",IF($F175="Maior Melhor",IF(BI175&gt;=BH175,"Sim","Não"),IF(BI175&lt;=BH175,"Sim","Não")))</f>
        <v>Sim</v>
      </c>
      <c r="BL175" s="6"/>
      <c r="BM175" s="6"/>
      <c r="BN175" s="4" t="str">
        <f aca="false">IF(OR(BL175="",BM175=""),"",IFERROR(IF($K175="%",BM175-BL175,BM175/BL175-1),""))</f>
        <v/>
      </c>
      <c r="BO175" s="5" t="str">
        <f aca="false">IF(OR(BL175="",BM175=""),"",IF($F175="Maior Melhor",IF(BM175&gt;=BL175,"Sim","Não"),IF(BM175&lt;=BL175,"Sim","Não")))</f>
        <v/>
      </c>
      <c r="BP175" s="6"/>
      <c r="BQ175" s="6"/>
      <c r="BR175" s="4" t="str">
        <f aca="false">IF(OR(BP175="",BQ175=""),"",IFERROR(IF($K175="%",BQ175-BP175,BQ175/BP175-1),""))</f>
        <v/>
      </c>
      <c r="BS175" s="5" t="str">
        <f aca="false">IF(OR(BP175="",BQ175=""),"",IF($F175="Maior Melhor",IF(BQ175&gt;=BP175,"Sim","Não"),IF(BQ175&lt;=BP175,"Sim","Não")))</f>
        <v/>
      </c>
      <c r="BT175" s="6"/>
      <c r="BU175" s="6"/>
      <c r="BV175" s="4" t="str">
        <f aca="false">IF(OR(BT175="",BU175=""),"",IFERROR(IF($K175="%",BU175-BT175,BU175/BT175-1),""))</f>
        <v/>
      </c>
      <c r="BW175" s="5" t="str">
        <f aca="false">IF(OR(BT175="",BU175=""),"",IF($F175="Maior Melhor",IF(BU175&gt;=BT175,"Sim","Não"),IF(BU175&lt;=BT175,"Sim","Não")))</f>
        <v/>
      </c>
      <c r="BX175" s="6"/>
      <c r="BY175" s="6"/>
      <c r="BZ175" s="4" t="str">
        <f aca="false">IF(OR(BX175="",BY175=""),"",IFERROR(IF($K175="%",BY175-BX175,BY175/BX175-1),""))</f>
        <v/>
      </c>
      <c r="CA175" s="5" t="str">
        <f aca="false">IF(OR(BX175="",BY175=""),"",IF($F175="Maior Melhor",IF(BY175&gt;=BX175,"Sim","Não"),IF(BY175&lt;=BX175,"Sim","Não")))</f>
        <v/>
      </c>
      <c r="CB175" s="6"/>
      <c r="CC175" s="6"/>
      <c r="CD175" s="4" t="str">
        <f aca="false">IF(OR(CB175="",CC175=""),"",IFERROR(IF($K175="%",CC175-CB175,CC175/CB175-1),""))</f>
        <v/>
      </c>
      <c r="CE175" s="5" t="str">
        <f aca="false">IF(OR(CB175="",CC175=""),"",IF($F175="Maior Melhor",IF(CC175&gt;=CB175,"Sim","Não"),IF(CC175&lt;=CB175,"Sim","Não")))</f>
        <v/>
      </c>
      <c r="CF175" s="6"/>
      <c r="CG175" s="6"/>
      <c r="CH175" s="4" t="str">
        <f aca="false">IF(OR(CF175="",CG175=""),"",IFERROR(IF($K175="%",CG175-CF175,CG175/CF175-1),""))</f>
        <v/>
      </c>
      <c r="CI175" s="5" t="str">
        <f aca="false">IF(OR(CF175="",CG175=""),"",IF($F175="Maior Melhor",IF(CG175&gt;=CF175,"Sim","Não"),IF(CG175&lt;=CF175,"Sim","Não")))</f>
        <v/>
      </c>
      <c r="CJ175" s="6"/>
      <c r="CK175" s="6"/>
      <c r="CL175" s="4" t="str">
        <f aca="false">IF(OR(CJ175="",CK175=""),"",IFERROR(IF($K175="%",CK175-CJ175,CK175/CJ175-1),""))</f>
        <v/>
      </c>
      <c r="CM175" s="5" t="str">
        <f aca="false">IF(OR(CJ175="",CK175=""),"",IF($F175="Maior Melhor",IF(CK175&gt;=CJ175,"Sim","Não"),IF(CK175&lt;=CJ175,"Sim","Não")))</f>
        <v/>
      </c>
      <c r="CN175" s="6"/>
      <c r="CO175" s="6"/>
      <c r="CP175" s="4" t="str">
        <f aca="false">IF(OR(CN175="",CO175=""),"",IFERROR(IF($K175="%",CO175-CN175,CO175/CN175-1),""))</f>
        <v/>
      </c>
      <c r="CQ175" s="5" t="str">
        <f aca="false">IF(OR(CN175="",CO175=""),"",IF($F175="Maior Melhor",IF(CO175&gt;=CN175,"Sim","Não"),IF(CO175&lt;=CN175,"Sim","Não")))</f>
        <v/>
      </c>
      <c r="CR175" s="2" t="s">
        <v>105</v>
      </c>
    </row>
    <row r="176" customFormat="false" ht="15" hidden="false" customHeight="false" outlineLevel="0" collapsed="false">
      <c r="A176" s="2" t="s">
        <v>172</v>
      </c>
      <c r="B176" s="2" t="s">
        <v>97</v>
      </c>
      <c r="C176" s="2" t="s">
        <v>125</v>
      </c>
      <c r="D176" s="2" t="s">
        <v>173</v>
      </c>
      <c r="E176" s="2" t="str">
        <f aca="false">C176&amp;D176</f>
        <v>UTD JEQUIÉEficiência do uso de medidores - EMED - UTDs</v>
      </c>
      <c r="F176" s="2" t="s">
        <v>100</v>
      </c>
      <c r="G176" s="2" t="s">
        <v>174</v>
      </c>
      <c r="H176" s="2" t="s">
        <v>102</v>
      </c>
      <c r="I176" s="2" t="s">
        <v>103</v>
      </c>
      <c r="J176" s="2" t="n">
        <v>2</v>
      </c>
      <c r="K176" s="2" t="s">
        <v>104</v>
      </c>
      <c r="L176" s="3" t="n">
        <v>0.9</v>
      </c>
      <c r="M176" s="3" t="n">
        <v>0.9</v>
      </c>
      <c r="N176" s="4" t="n">
        <f aca="false">IF(OR(L176="",M176=""),"",IFERROR(IF($K176="%",M176-L176,M176/L176-1),""))</f>
        <v>0</v>
      </c>
      <c r="O176" s="5" t="str">
        <f aca="false">IF(OR(L176="",M176=""),"",IF($F176="Maior Melhor",IF(M176&gt;=L176,"Sim","Não"),IF(M176&lt;=L176,"Sim","Não")))</f>
        <v>Sim</v>
      </c>
      <c r="P176" s="3" t="n">
        <v>0.9</v>
      </c>
      <c r="Q176" s="3" t="n">
        <v>0.96</v>
      </c>
      <c r="R176" s="4" t="n">
        <f aca="false">IF(OR(P176="",Q176=""),"",IFERROR(IF($K176="%",Q176-P176,Q176/P176-1),""))</f>
        <v>0.0599999999999999</v>
      </c>
      <c r="S176" s="5" t="str">
        <f aca="false">IF(OR(P176="",Q176=""),"",IF($F176="Maior Melhor",IF(Q176&gt;=P176,"Sim","Não"),IF(Q176&lt;=P176,"Sim","Não")))</f>
        <v>Sim</v>
      </c>
      <c r="T176" s="3" t="n">
        <v>0.9</v>
      </c>
      <c r="U176" s="3" t="n">
        <v>0.96</v>
      </c>
      <c r="V176" s="4" t="n">
        <f aca="false">IF(OR(T176="",U176=""),"",IFERROR(IF($K176="%",U176-T176,U176/T176-1),""))</f>
        <v>0.0599999999999999</v>
      </c>
      <c r="W176" s="5" t="str">
        <f aca="false">IF(OR(T176="",U176=""),"",IF($F176="Maior Melhor",IF(U176&gt;=T176,"Sim","Não"),IF(U176&lt;=T176,"Sim","Não")))</f>
        <v>Sim</v>
      </c>
      <c r="X176" s="3" t="n">
        <v>0.9</v>
      </c>
      <c r="Y176" s="3" t="n">
        <v>0.97</v>
      </c>
      <c r="Z176" s="4" t="n">
        <f aca="false">IF(OR(X176="",Y176=""),"",IFERROR(IF($K176="%",Y176-X176,Y176/X176-1),""))</f>
        <v>0.07</v>
      </c>
      <c r="AA176" s="5" t="str">
        <f aca="false">IF(OR(X176="",Y176=""),"",IF($F176="Maior Melhor",IF(Y176&gt;=X176,"Sim","Não"),IF(Y176&lt;=X176,"Sim","Não")))</f>
        <v>Sim</v>
      </c>
      <c r="AB176" s="3" t="n">
        <v>0.9</v>
      </c>
      <c r="AC176" s="3" t="n">
        <v>0.97</v>
      </c>
      <c r="AD176" s="4" t="n">
        <f aca="false">IF(OR(AB176="",AC176=""),"",IFERROR(IF($K176="%",AC176-AB176,AC176/AB176-1),""))</f>
        <v>0.07</v>
      </c>
      <c r="AE176" s="5" t="str">
        <f aca="false">IF(OR(AB176="",AC176=""),"",IF($F176="Maior Melhor",IF(AC176&gt;=AB176,"Sim","Não"),IF(AC176&lt;=AB176,"Sim","Não")))</f>
        <v>Sim</v>
      </c>
      <c r="AF176" s="3" t="n">
        <v>0.9</v>
      </c>
      <c r="AG176" s="3" t="n">
        <v>0.81</v>
      </c>
      <c r="AH176" s="4" t="n">
        <f aca="false">IF(OR(AF176="",AG176=""),"",IFERROR(IF($K176="%",AG176-AF176,AG176/AF176-1),""))</f>
        <v>-0.09</v>
      </c>
      <c r="AI176" s="5" t="str">
        <f aca="false">IF(OR(AF176="",AG176=""),"",IF($F176="Maior Melhor",IF(AG176&gt;=AF176,"Sim","Não"),IF(AG176&lt;=AF176,"Sim","Não")))</f>
        <v>Não</v>
      </c>
      <c r="AJ176" s="3" t="n">
        <v>0.9</v>
      </c>
      <c r="AK176" s="3" t="n">
        <v>0.81</v>
      </c>
      <c r="AL176" s="4" t="n">
        <f aca="false">IF(OR(AJ176="",AK176=""),"",IFERROR(IF($K176="%",AK176-AJ176,AK176/AJ176-1),""))</f>
        <v>-0.09</v>
      </c>
      <c r="AM176" s="5" t="str">
        <f aca="false">IF(OR(AJ176="",AK176=""),"",IF($F176="Maior Melhor",IF(AK176&gt;=AJ176,"Sim","Não"),IF(AK176&lt;=AJ176,"Sim","Não")))</f>
        <v>Não</v>
      </c>
      <c r="AN176" s="3" t="n">
        <v>0.9</v>
      </c>
      <c r="AO176" s="3" t="n">
        <v>0.98</v>
      </c>
      <c r="AP176" s="4" t="n">
        <f aca="false">IF(OR(AN176="",AO176=""),"",IFERROR(IF($K176="%",AO176-AN176,AO176/AN176-1),""))</f>
        <v>0.08</v>
      </c>
      <c r="AQ176" s="5" t="str">
        <f aca="false">IF(OR(AN176="",AO176=""),"",IF($F176="Maior Melhor",IF(AO176&gt;=AN176,"Sim","Não"),IF(AO176&lt;=AN176,"Sim","Não")))</f>
        <v>Sim</v>
      </c>
      <c r="AR176" s="3" t="n">
        <v>0.9</v>
      </c>
      <c r="AS176" s="3" t="n">
        <v>0.98</v>
      </c>
      <c r="AT176" s="4" t="n">
        <f aca="false">IF(OR(AR176="",AS176=""),"",IFERROR(IF($K176="%",AS176-AR176,AS176/AR176-1),""))</f>
        <v>0.08</v>
      </c>
      <c r="AU176" s="5" t="str">
        <f aca="false">IF(OR(AR176="",AS176=""),"",IF($F176="Maior Melhor",IF(AS176&gt;=AR176,"Sim","Não"),IF(AS176&lt;=AR176,"Sim","Não")))</f>
        <v>Sim</v>
      </c>
      <c r="AV176" s="3" t="n">
        <v>0.9</v>
      </c>
      <c r="AW176" s="3" t="n">
        <v>1</v>
      </c>
      <c r="AX176" s="4" t="n">
        <f aca="false">IF(OR(AV176="",AW176=""),"",IFERROR(IF($K176="%",AW176-AV176,AW176/AV176-1),""))</f>
        <v>0.1</v>
      </c>
      <c r="AY176" s="5" t="str">
        <f aca="false">IF(OR(AV176="",AW176=""),"",IF($F176="Maior Melhor",IF(AW176&gt;=AV176,"Sim","Não"),IF(AW176&lt;=AV176,"Sim","Não")))</f>
        <v>Sim</v>
      </c>
      <c r="AZ176" s="3" t="n">
        <v>0.9</v>
      </c>
      <c r="BA176" s="3" t="n">
        <v>1</v>
      </c>
      <c r="BB176" s="4" t="n">
        <f aca="false">IF(OR(AZ176="",BA176=""),"",IFERROR(IF($K176="%",BA176-AZ176,BA176/AZ176-1),""))</f>
        <v>0.1</v>
      </c>
      <c r="BC176" s="5" t="str">
        <f aca="false">IF(OR(AZ176="",BA176=""),"",IF($F176="Maior Melhor",IF(BA176&gt;=AZ176,"Sim","Não"),IF(BA176&lt;=AZ176,"Sim","Não")))</f>
        <v>Sim</v>
      </c>
      <c r="BD176" s="3" t="n">
        <v>0.9</v>
      </c>
      <c r="BE176" s="3" t="n">
        <v>0.96</v>
      </c>
      <c r="BF176" s="4" t="n">
        <f aca="false">IF(OR(BD176="",BE176=""),"",IFERROR(IF($K176="%",BE176-BD176,BE176/BD176-1),""))</f>
        <v>0.0599999999999999</v>
      </c>
      <c r="BG176" s="5" t="str">
        <f aca="false">IF(OR(BD176="",BE176=""),"",IF($F176="Maior Melhor",IF(BE176&gt;=BD176,"Sim","Não"),IF(BE176&lt;=BD176,"Sim","Não")))</f>
        <v>Sim</v>
      </c>
      <c r="BH176" s="3" t="n">
        <v>0.9</v>
      </c>
      <c r="BI176" s="3" t="n">
        <v>0.96</v>
      </c>
      <c r="BJ176" s="4" t="n">
        <f aca="false">IF(OR(BH176="",BI176=""),"",IFERROR(IF($K176="%",BI176-BH176,BI176/BH176-1),""))</f>
        <v>0.0599999999999999</v>
      </c>
      <c r="BK176" s="5" t="str">
        <f aca="false">IF(OR(BH176="",BI176=""),"",IF($F176="Maior Melhor",IF(BI176&gt;=BH176,"Sim","Não"),IF(BI176&lt;=BH176,"Sim","Não")))</f>
        <v>Sim</v>
      </c>
      <c r="BL176" s="6"/>
      <c r="BM176" s="6"/>
      <c r="BN176" s="4" t="str">
        <f aca="false">IF(OR(BL176="",BM176=""),"",IFERROR(IF($K176="%",BM176-BL176,BM176/BL176-1),""))</f>
        <v/>
      </c>
      <c r="BO176" s="5" t="str">
        <f aca="false">IF(OR(BL176="",BM176=""),"",IF($F176="Maior Melhor",IF(BM176&gt;=BL176,"Sim","Não"),IF(BM176&lt;=BL176,"Sim","Não")))</f>
        <v/>
      </c>
      <c r="BP176" s="6"/>
      <c r="BQ176" s="6"/>
      <c r="BR176" s="4" t="str">
        <f aca="false">IF(OR(BP176="",BQ176=""),"",IFERROR(IF($K176="%",BQ176-BP176,BQ176/BP176-1),""))</f>
        <v/>
      </c>
      <c r="BS176" s="5" t="str">
        <f aca="false">IF(OR(BP176="",BQ176=""),"",IF($F176="Maior Melhor",IF(BQ176&gt;=BP176,"Sim","Não"),IF(BQ176&lt;=BP176,"Sim","Não")))</f>
        <v/>
      </c>
      <c r="BT176" s="6"/>
      <c r="BU176" s="6"/>
      <c r="BV176" s="4" t="str">
        <f aca="false">IF(OR(BT176="",BU176=""),"",IFERROR(IF($K176="%",BU176-BT176,BU176/BT176-1),""))</f>
        <v/>
      </c>
      <c r="BW176" s="5" t="str">
        <f aca="false">IF(OR(BT176="",BU176=""),"",IF($F176="Maior Melhor",IF(BU176&gt;=BT176,"Sim","Não"),IF(BU176&lt;=BT176,"Sim","Não")))</f>
        <v/>
      </c>
      <c r="BX176" s="6"/>
      <c r="BY176" s="6"/>
      <c r="BZ176" s="4" t="str">
        <f aca="false">IF(OR(BX176="",BY176=""),"",IFERROR(IF($K176="%",BY176-BX176,BY176/BX176-1),""))</f>
        <v/>
      </c>
      <c r="CA176" s="5" t="str">
        <f aca="false">IF(OR(BX176="",BY176=""),"",IF($F176="Maior Melhor",IF(BY176&gt;=BX176,"Sim","Não"),IF(BY176&lt;=BX176,"Sim","Não")))</f>
        <v/>
      </c>
      <c r="CB176" s="6"/>
      <c r="CC176" s="6"/>
      <c r="CD176" s="4" t="str">
        <f aca="false">IF(OR(CB176="",CC176=""),"",IFERROR(IF($K176="%",CC176-CB176,CC176/CB176-1),""))</f>
        <v/>
      </c>
      <c r="CE176" s="5" t="str">
        <f aca="false">IF(OR(CB176="",CC176=""),"",IF($F176="Maior Melhor",IF(CC176&gt;=CB176,"Sim","Não"),IF(CC176&lt;=CB176,"Sim","Não")))</f>
        <v/>
      </c>
      <c r="CF176" s="6"/>
      <c r="CG176" s="6"/>
      <c r="CH176" s="4" t="str">
        <f aca="false">IF(OR(CF176="",CG176=""),"",IFERROR(IF($K176="%",CG176-CF176,CG176/CF176-1),""))</f>
        <v/>
      </c>
      <c r="CI176" s="5" t="str">
        <f aca="false">IF(OR(CF176="",CG176=""),"",IF($F176="Maior Melhor",IF(CG176&gt;=CF176,"Sim","Não"),IF(CG176&lt;=CF176,"Sim","Não")))</f>
        <v/>
      </c>
      <c r="CJ176" s="6"/>
      <c r="CK176" s="6"/>
      <c r="CL176" s="4" t="str">
        <f aca="false">IF(OR(CJ176="",CK176=""),"",IFERROR(IF($K176="%",CK176-CJ176,CK176/CJ176-1),""))</f>
        <v/>
      </c>
      <c r="CM176" s="5" t="str">
        <f aca="false">IF(OR(CJ176="",CK176=""),"",IF($F176="Maior Melhor",IF(CK176&gt;=CJ176,"Sim","Não"),IF(CK176&lt;=CJ176,"Sim","Não")))</f>
        <v/>
      </c>
      <c r="CN176" s="6"/>
      <c r="CO176" s="6"/>
      <c r="CP176" s="4" t="str">
        <f aca="false">IF(OR(CN176="",CO176=""),"",IFERROR(IF($K176="%",CO176-CN176,CO176/CN176-1),""))</f>
        <v/>
      </c>
      <c r="CQ176" s="5" t="str">
        <f aca="false">IF(OR(CN176="",CO176=""),"",IF($F176="Maior Melhor",IF(CO176&gt;=CN176,"Sim","Não"),IF(CO176&lt;=CN176,"Sim","Não")))</f>
        <v/>
      </c>
      <c r="CR176" s="2" t="s">
        <v>105</v>
      </c>
    </row>
    <row r="177" customFormat="false" ht="15" hidden="false" customHeight="false" outlineLevel="0" collapsed="false">
      <c r="A177" s="2" t="s">
        <v>172</v>
      </c>
      <c r="B177" s="2" t="s">
        <v>97</v>
      </c>
      <c r="C177" s="2" t="s">
        <v>126</v>
      </c>
      <c r="D177" s="2" t="s">
        <v>173</v>
      </c>
      <c r="E177" s="2" t="str">
        <f aca="false">C177&amp;D177</f>
        <v>UTD LIVRAMENTO DE NOSSA SENHORAEficiência do uso de medidores - EMED - UTDs</v>
      </c>
      <c r="F177" s="2" t="s">
        <v>100</v>
      </c>
      <c r="G177" s="2" t="s">
        <v>174</v>
      </c>
      <c r="H177" s="2" t="s">
        <v>102</v>
      </c>
      <c r="I177" s="2" t="s">
        <v>103</v>
      </c>
      <c r="J177" s="2" t="n">
        <v>2</v>
      </c>
      <c r="K177" s="2" t="s">
        <v>104</v>
      </c>
      <c r="L177" s="3" t="n">
        <v>0.9</v>
      </c>
      <c r="M177" s="3" t="n">
        <v>1</v>
      </c>
      <c r="N177" s="4" t="n">
        <f aca="false">IF(OR(L177="",M177=""),"",IFERROR(IF($K177="%",M177-L177,M177/L177-1),""))</f>
        <v>0.1</v>
      </c>
      <c r="O177" s="5" t="str">
        <f aca="false">IF(OR(L177="",M177=""),"",IF($F177="Maior Melhor",IF(M177&gt;=L177,"Sim","Não"),IF(M177&lt;=L177,"Sim","Não")))</f>
        <v>Sim</v>
      </c>
      <c r="P177" s="3" t="n">
        <v>0.9</v>
      </c>
      <c r="Q177" s="3" t="n">
        <v>1</v>
      </c>
      <c r="R177" s="4" t="n">
        <f aca="false">IF(OR(P177="",Q177=""),"",IFERROR(IF($K177="%",Q177-P177,Q177/P177-1),""))</f>
        <v>0.1</v>
      </c>
      <c r="S177" s="5" t="str">
        <f aca="false">IF(OR(P177="",Q177=""),"",IF($F177="Maior Melhor",IF(Q177&gt;=P177,"Sim","Não"),IF(Q177&lt;=P177,"Sim","Não")))</f>
        <v>Sim</v>
      </c>
      <c r="T177" s="3" t="n">
        <v>0.9</v>
      </c>
      <c r="U177" s="3" t="n">
        <v>0.96</v>
      </c>
      <c r="V177" s="4" t="n">
        <f aca="false">IF(OR(T177="",U177=""),"",IFERROR(IF($K177="%",U177-T177,U177/T177-1),""))</f>
        <v>0.0599999999999999</v>
      </c>
      <c r="W177" s="5" t="str">
        <f aca="false">IF(OR(T177="",U177=""),"",IF($F177="Maior Melhor",IF(U177&gt;=T177,"Sim","Não"),IF(U177&lt;=T177,"Sim","Não")))</f>
        <v>Sim</v>
      </c>
      <c r="X177" s="3" t="n">
        <v>0.9</v>
      </c>
      <c r="Y177" s="3" t="n">
        <v>0.98</v>
      </c>
      <c r="Z177" s="4" t="n">
        <f aca="false">IF(OR(X177="",Y177=""),"",IFERROR(IF($K177="%",Y177-X177,Y177/X177-1),""))</f>
        <v>0.08</v>
      </c>
      <c r="AA177" s="5" t="str">
        <f aca="false">IF(OR(X177="",Y177=""),"",IF($F177="Maior Melhor",IF(Y177&gt;=X177,"Sim","Não"),IF(Y177&lt;=X177,"Sim","Não")))</f>
        <v>Sim</v>
      </c>
      <c r="AB177" s="3" t="n">
        <v>0.9</v>
      </c>
      <c r="AC177" s="3" t="n">
        <v>0.98</v>
      </c>
      <c r="AD177" s="4" t="n">
        <f aca="false">IF(OR(AB177="",AC177=""),"",IFERROR(IF($K177="%",AC177-AB177,AC177/AB177-1),""))</f>
        <v>0.08</v>
      </c>
      <c r="AE177" s="5" t="str">
        <f aca="false">IF(OR(AB177="",AC177=""),"",IF($F177="Maior Melhor",IF(AC177&gt;=AB177,"Sim","Não"),IF(AC177&lt;=AB177,"Sim","Não")))</f>
        <v>Sim</v>
      </c>
      <c r="AF177" s="3" t="n">
        <v>0.9</v>
      </c>
      <c r="AG177" s="3" t="n">
        <v>1</v>
      </c>
      <c r="AH177" s="4" t="n">
        <f aca="false">IF(OR(AF177="",AG177=""),"",IFERROR(IF($K177="%",AG177-AF177,AG177/AF177-1),""))</f>
        <v>0.1</v>
      </c>
      <c r="AI177" s="5" t="str">
        <f aca="false">IF(OR(AF177="",AG177=""),"",IF($F177="Maior Melhor",IF(AG177&gt;=AF177,"Sim","Não"),IF(AG177&lt;=AF177,"Sim","Não")))</f>
        <v>Sim</v>
      </c>
      <c r="AJ177" s="3" t="n">
        <v>0.9</v>
      </c>
      <c r="AK177" s="3" t="n">
        <v>1</v>
      </c>
      <c r="AL177" s="4" t="n">
        <f aca="false">IF(OR(AJ177="",AK177=""),"",IFERROR(IF($K177="%",AK177-AJ177,AK177/AJ177-1),""))</f>
        <v>0.1</v>
      </c>
      <c r="AM177" s="5" t="str">
        <f aca="false">IF(OR(AJ177="",AK177=""),"",IF($F177="Maior Melhor",IF(AK177&gt;=AJ177,"Sim","Não"),IF(AK177&lt;=AJ177,"Sim","Não")))</f>
        <v>Sim</v>
      </c>
      <c r="AN177" s="3" t="n">
        <v>0.9</v>
      </c>
      <c r="AO177" s="3" t="n">
        <v>1</v>
      </c>
      <c r="AP177" s="4" t="n">
        <f aca="false">IF(OR(AN177="",AO177=""),"",IFERROR(IF($K177="%",AO177-AN177,AO177/AN177-1),""))</f>
        <v>0.1</v>
      </c>
      <c r="AQ177" s="5" t="str">
        <f aca="false">IF(OR(AN177="",AO177=""),"",IF($F177="Maior Melhor",IF(AO177&gt;=AN177,"Sim","Não"),IF(AO177&lt;=AN177,"Sim","Não")))</f>
        <v>Sim</v>
      </c>
      <c r="AR177" s="3" t="n">
        <v>0.9</v>
      </c>
      <c r="AS177" s="3" t="n">
        <v>1</v>
      </c>
      <c r="AT177" s="4" t="n">
        <f aca="false">IF(OR(AR177="",AS177=""),"",IFERROR(IF($K177="%",AS177-AR177,AS177/AR177-1),""))</f>
        <v>0.1</v>
      </c>
      <c r="AU177" s="5" t="str">
        <f aca="false">IF(OR(AR177="",AS177=""),"",IF($F177="Maior Melhor",IF(AS177&gt;=AR177,"Sim","Não"),IF(AS177&lt;=AR177,"Sim","Não")))</f>
        <v>Sim</v>
      </c>
      <c r="AV177" s="3" t="n">
        <v>0.9</v>
      </c>
      <c r="AW177" s="3" t="n">
        <v>1</v>
      </c>
      <c r="AX177" s="4" t="n">
        <f aca="false">IF(OR(AV177="",AW177=""),"",IFERROR(IF($K177="%",AW177-AV177,AW177/AV177-1),""))</f>
        <v>0.1</v>
      </c>
      <c r="AY177" s="5" t="str">
        <f aca="false">IF(OR(AV177="",AW177=""),"",IF($F177="Maior Melhor",IF(AW177&gt;=AV177,"Sim","Não"),IF(AW177&lt;=AV177,"Sim","Não")))</f>
        <v>Sim</v>
      </c>
      <c r="AZ177" s="3" t="n">
        <v>0.9</v>
      </c>
      <c r="BA177" s="3" t="n">
        <v>1</v>
      </c>
      <c r="BB177" s="4" t="n">
        <f aca="false">IF(OR(AZ177="",BA177=""),"",IFERROR(IF($K177="%",BA177-AZ177,BA177/AZ177-1),""))</f>
        <v>0.1</v>
      </c>
      <c r="BC177" s="5" t="str">
        <f aca="false">IF(OR(AZ177="",BA177=""),"",IF($F177="Maior Melhor",IF(BA177&gt;=AZ177,"Sim","Não"),IF(BA177&lt;=AZ177,"Sim","Não")))</f>
        <v>Sim</v>
      </c>
      <c r="BD177" s="3" t="n">
        <v>0.9</v>
      </c>
      <c r="BE177" s="3" t="n">
        <v>0.99</v>
      </c>
      <c r="BF177" s="4" t="n">
        <f aca="false">IF(OR(BD177="",BE177=""),"",IFERROR(IF($K177="%",BE177-BD177,BE177/BD177-1),""))</f>
        <v>0.09</v>
      </c>
      <c r="BG177" s="5" t="str">
        <f aca="false">IF(OR(BD177="",BE177=""),"",IF($F177="Maior Melhor",IF(BE177&gt;=BD177,"Sim","Não"),IF(BE177&lt;=BD177,"Sim","Não")))</f>
        <v>Sim</v>
      </c>
      <c r="BH177" s="3" t="n">
        <v>0.9</v>
      </c>
      <c r="BI177" s="3" t="n">
        <v>0.99</v>
      </c>
      <c r="BJ177" s="4" t="n">
        <f aca="false">IF(OR(BH177="",BI177=""),"",IFERROR(IF($K177="%",BI177-BH177,BI177/BH177-1),""))</f>
        <v>0.09</v>
      </c>
      <c r="BK177" s="5" t="str">
        <f aca="false">IF(OR(BH177="",BI177=""),"",IF($F177="Maior Melhor",IF(BI177&gt;=BH177,"Sim","Não"),IF(BI177&lt;=BH177,"Sim","Não")))</f>
        <v>Sim</v>
      </c>
      <c r="BL177" s="6"/>
      <c r="BM177" s="6"/>
      <c r="BN177" s="4" t="str">
        <f aca="false">IF(OR(BL177="",BM177=""),"",IFERROR(IF($K177="%",BM177-BL177,BM177/BL177-1),""))</f>
        <v/>
      </c>
      <c r="BO177" s="5" t="str">
        <f aca="false">IF(OR(BL177="",BM177=""),"",IF($F177="Maior Melhor",IF(BM177&gt;=BL177,"Sim","Não"),IF(BM177&lt;=BL177,"Sim","Não")))</f>
        <v/>
      </c>
      <c r="BP177" s="6"/>
      <c r="BQ177" s="6"/>
      <c r="BR177" s="4" t="str">
        <f aca="false">IF(OR(BP177="",BQ177=""),"",IFERROR(IF($K177="%",BQ177-BP177,BQ177/BP177-1),""))</f>
        <v/>
      </c>
      <c r="BS177" s="5" t="str">
        <f aca="false">IF(OR(BP177="",BQ177=""),"",IF($F177="Maior Melhor",IF(BQ177&gt;=BP177,"Sim","Não"),IF(BQ177&lt;=BP177,"Sim","Não")))</f>
        <v/>
      </c>
      <c r="BT177" s="6"/>
      <c r="BU177" s="6"/>
      <c r="BV177" s="4" t="str">
        <f aca="false">IF(OR(BT177="",BU177=""),"",IFERROR(IF($K177="%",BU177-BT177,BU177/BT177-1),""))</f>
        <v/>
      </c>
      <c r="BW177" s="5" t="str">
        <f aca="false">IF(OR(BT177="",BU177=""),"",IF($F177="Maior Melhor",IF(BU177&gt;=BT177,"Sim","Não"),IF(BU177&lt;=BT177,"Sim","Não")))</f>
        <v/>
      </c>
      <c r="BX177" s="6"/>
      <c r="BY177" s="6"/>
      <c r="BZ177" s="4" t="str">
        <f aca="false">IF(OR(BX177="",BY177=""),"",IFERROR(IF($K177="%",BY177-BX177,BY177/BX177-1),""))</f>
        <v/>
      </c>
      <c r="CA177" s="5" t="str">
        <f aca="false">IF(OR(BX177="",BY177=""),"",IF($F177="Maior Melhor",IF(BY177&gt;=BX177,"Sim","Não"),IF(BY177&lt;=BX177,"Sim","Não")))</f>
        <v/>
      </c>
      <c r="CB177" s="6"/>
      <c r="CC177" s="6"/>
      <c r="CD177" s="4" t="str">
        <f aca="false">IF(OR(CB177="",CC177=""),"",IFERROR(IF($K177="%",CC177-CB177,CC177/CB177-1),""))</f>
        <v/>
      </c>
      <c r="CE177" s="5" t="str">
        <f aca="false">IF(OR(CB177="",CC177=""),"",IF($F177="Maior Melhor",IF(CC177&gt;=CB177,"Sim","Não"),IF(CC177&lt;=CB177,"Sim","Não")))</f>
        <v/>
      </c>
      <c r="CF177" s="6"/>
      <c r="CG177" s="6"/>
      <c r="CH177" s="4" t="str">
        <f aca="false">IF(OR(CF177="",CG177=""),"",IFERROR(IF($K177="%",CG177-CF177,CG177/CF177-1),""))</f>
        <v/>
      </c>
      <c r="CI177" s="5" t="str">
        <f aca="false">IF(OR(CF177="",CG177=""),"",IF($F177="Maior Melhor",IF(CG177&gt;=CF177,"Sim","Não"),IF(CG177&lt;=CF177,"Sim","Não")))</f>
        <v/>
      </c>
      <c r="CJ177" s="6"/>
      <c r="CK177" s="6"/>
      <c r="CL177" s="4" t="str">
        <f aca="false">IF(OR(CJ177="",CK177=""),"",IFERROR(IF($K177="%",CK177-CJ177,CK177/CJ177-1),""))</f>
        <v/>
      </c>
      <c r="CM177" s="5" t="str">
        <f aca="false">IF(OR(CJ177="",CK177=""),"",IF($F177="Maior Melhor",IF(CK177&gt;=CJ177,"Sim","Não"),IF(CK177&lt;=CJ177,"Sim","Não")))</f>
        <v/>
      </c>
      <c r="CN177" s="6"/>
      <c r="CO177" s="6"/>
      <c r="CP177" s="4" t="str">
        <f aca="false">IF(OR(CN177="",CO177=""),"",IFERROR(IF($K177="%",CO177-CN177,CO177/CN177-1),""))</f>
        <v/>
      </c>
      <c r="CQ177" s="5" t="str">
        <f aca="false">IF(OR(CN177="",CO177=""),"",IF($F177="Maior Melhor",IF(CO177&gt;=CN177,"Sim","Não"),IF(CO177&lt;=CN177,"Sim","Não")))</f>
        <v/>
      </c>
      <c r="CR177" s="2" t="s">
        <v>105</v>
      </c>
    </row>
    <row r="178" customFormat="false" ht="15" hidden="false" customHeight="false" outlineLevel="0" collapsed="false">
      <c r="A178" s="2" t="s">
        <v>172</v>
      </c>
      <c r="B178" s="2" t="s">
        <v>106</v>
      </c>
      <c r="C178" s="2" t="s">
        <v>127</v>
      </c>
      <c r="D178" s="2" t="s">
        <v>173</v>
      </c>
      <c r="E178" s="2" t="str">
        <f aca="false">C178&amp;D178</f>
        <v>UTD LUIS EDUARDO MAGALHAESEficiência do uso de medidores - EMED - UTDs</v>
      </c>
      <c r="F178" s="2" t="s">
        <v>100</v>
      </c>
      <c r="G178" s="2" t="s">
        <v>174</v>
      </c>
      <c r="H178" s="2" t="s">
        <v>102</v>
      </c>
      <c r="I178" s="2" t="s">
        <v>103</v>
      </c>
      <c r="J178" s="2" t="n">
        <v>2</v>
      </c>
      <c r="K178" s="2" t="s">
        <v>104</v>
      </c>
      <c r="L178" s="3" t="n">
        <v>0.9</v>
      </c>
      <c r="M178" s="3" t="n">
        <v>0.74</v>
      </c>
      <c r="N178" s="4" t="n">
        <f aca="false">IF(OR(L178="",M178=""),"",IFERROR(IF($K178="%",M178-L178,M178/L178-1),""))</f>
        <v>-0.16</v>
      </c>
      <c r="O178" s="5" t="str">
        <f aca="false">IF(OR(L178="",M178=""),"",IF($F178="Maior Melhor",IF(M178&gt;=L178,"Sim","Não"),IF(M178&lt;=L178,"Sim","Não")))</f>
        <v>Não</v>
      </c>
      <c r="P178" s="3" t="n">
        <v>0.9</v>
      </c>
      <c r="Q178" s="3" t="n">
        <v>0.58</v>
      </c>
      <c r="R178" s="4" t="n">
        <f aca="false">IF(OR(P178="",Q178=""),"",IFERROR(IF($K178="%",Q178-P178,Q178/P178-1),""))</f>
        <v>-0.32</v>
      </c>
      <c r="S178" s="5" t="str">
        <f aca="false">IF(OR(P178="",Q178=""),"",IF($F178="Maior Melhor",IF(Q178&gt;=P178,"Sim","Não"),IF(Q178&lt;=P178,"Sim","Não")))</f>
        <v>Não</v>
      </c>
      <c r="T178" s="3" t="n">
        <v>0.9</v>
      </c>
      <c r="U178" s="3" t="n">
        <v>1</v>
      </c>
      <c r="V178" s="4" t="n">
        <f aca="false">IF(OR(T178="",U178=""),"",IFERROR(IF($K178="%",U178-T178,U178/T178-1),""))</f>
        <v>0.1</v>
      </c>
      <c r="W178" s="5" t="str">
        <f aca="false">IF(OR(T178="",U178=""),"",IF($F178="Maior Melhor",IF(U178&gt;=T178,"Sim","Não"),IF(U178&lt;=T178,"Sim","Não")))</f>
        <v>Sim</v>
      </c>
      <c r="X178" s="3" t="n">
        <v>0.9</v>
      </c>
      <c r="Y178" s="3" t="n">
        <v>1</v>
      </c>
      <c r="Z178" s="4" t="n">
        <f aca="false">IF(OR(X178="",Y178=""),"",IFERROR(IF($K178="%",Y178-X178,Y178/X178-1),""))</f>
        <v>0.1</v>
      </c>
      <c r="AA178" s="5" t="str">
        <f aca="false">IF(OR(X178="",Y178=""),"",IF($F178="Maior Melhor",IF(Y178&gt;=X178,"Sim","Não"),IF(Y178&lt;=X178,"Sim","Não")))</f>
        <v>Sim</v>
      </c>
      <c r="AB178" s="3" t="n">
        <v>0.9</v>
      </c>
      <c r="AC178" s="3" t="n">
        <v>1</v>
      </c>
      <c r="AD178" s="4" t="n">
        <f aca="false">IF(OR(AB178="",AC178=""),"",IFERROR(IF($K178="%",AC178-AB178,AC178/AB178-1),""))</f>
        <v>0.1</v>
      </c>
      <c r="AE178" s="5" t="str">
        <f aca="false">IF(OR(AB178="",AC178=""),"",IF($F178="Maior Melhor",IF(AC178&gt;=AB178,"Sim","Não"),IF(AC178&lt;=AB178,"Sim","Não")))</f>
        <v>Sim</v>
      </c>
      <c r="AF178" s="3" t="n">
        <v>0.9</v>
      </c>
      <c r="AG178" s="3" t="n">
        <v>0.97</v>
      </c>
      <c r="AH178" s="4" t="n">
        <f aca="false">IF(OR(AF178="",AG178=""),"",IFERROR(IF($K178="%",AG178-AF178,AG178/AF178-1),""))</f>
        <v>0.07</v>
      </c>
      <c r="AI178" s="5" t="str">
        <f aca="false">IF(OR(AF178="",AG178=""),"",IF($F178="Maior Melhor",IF(AG178&gt;=AF178,"Sim","Não"),IF(AG178&lt;=AF178,"Sim","Não")))</f>
        <v>Sim</v>
      </c>
      <c r="AJ178" s="3" t="n">
        <v>0.9</v>
      </c>
      <c r="AK178" s="3" t="n">
        <v>0.97</v>
      </c>
      <c r="AL178" s="4" t="n">
        <f aca="false">IF(OR(AJ178="",AK178=""),"",IFERROR(IF($K178="%",AK178-AJ178,AK178/AJ178-1),""))</f>
        <v>0.07</v>
      </c>
      <c r="AM178" s="5" t="str">
        <f aca="false">IF(OR(AJ178="",AK178=""),"",IF($F178="Maior Melhor",IF(AK178&gt;=AJ178,"Sim","Não"),IF(AK178&lt;=AJ178,"Sim","Não")))</f>
        <v>Sim</v>
      </c>
      <c r="AN178" s="3" t="n">
        <v>0.9</v>
      </c>
      <c r="AO178" s="3" t="n">
        <v>1</v>
      </c>
      <c r="AP178" s="4" t="n">
        <f aca="false">IF(OR(AN178="",AO178=""),"",IFERROR(IF($K178="%",AO178-AN178,AO178/AN178-1),""))</f>
        <v>0.1</v>
      </c>
      <c r="AQ178" s="5" t="str">
        <f aca="false">IF(OR(AN178="",AO178=""),"",IF($F178="Maior Melhor",IF(AO178&gt;=AN178,"Sim","Não"),IF(AO178&lt;=AN178,"Sim","Não")))</f>
        <v>Sim</v>
      </c>
      <c r="AR178" s="3" t="n">
        <v>0.9</v>
      </c>
      <c r="AS178" s="3" t="n">
        <v>1</v>
      </c>
      <c r="AT178" s="4" t="n">
        <f aca="false">IF(OR(AR178="",AS178=""),"",IFERROR(IF($K178="%",AS178-AR178,AS178/AR178-1),""))</f>
        <v>0.1</v>
      </c>
      <c r="AU178" s="5" t="str">
        <f aca="false">IF(OR(AR178="",AS178=""),"",IF($F178="Maior Melhor",IF(AS178&gt;=AR178,"Sim","Não"),IF(AS178&lt;=AR178,"Sim","Não")))</f>
        <v>Sim</v>
      </c>
      <c r="AV178" s="3" t="n">
        <v>0.9</v>
      </c>
      <c r="AW178" s="3" t="n">
        <v>1</v>
      </c>
      <c r="AX178" s="4" t="n">
        <f aca="false">IF(OR(AV178="",AW178=""),"",IFERROR(IF($K178="%",AW178-AV178,AW178/AV178-1),""))</f>
        <v>0.1</v>
      </c>
      <c r="AY178" s="5" t="str">
        <f aca="false">IF(OR(AV178="",AW178=""),"",IF($F178="Maior Melhor",IF(AW178&gt;=AV178,"Sim","Não"),IF(AW178&lt;=AV178,"Sim","Não")))</f>
        <v>Sim</v>
      </c>
      <c r="AZ178" s="3" t="n">
        <v>0.9</v>
      </c>
      <c r="BA178" s="3" t="n">
        <v>1</v>
      </c>
      <c r="BB178" s="4" t="n">
        <f aca="false">IF(OR(AZ178="",BA178=""),"",IFERROR(IF($K178="%",BA178-AZ178,BA178/AZ178-1),""))</f>
        <v>0.1</v>
      </c>
      <c r="BC178" s="5" t="str">
        <f aca="false">IF(OR(AZ178="",BA178=""),"",IF($F178="Maior Melhor",IF(BA178&gt;=AZ178,"Sim","Não"),IF(BA178&lt;=AZ178,"Sim","Não")))</f>
        <v>Sim</v>
      </c>
      <c r="BD178" s="3" t="n">
        <v>0.9</v>
      </c>
      <c r="BE178" s="3" t="n">
        <v>1</v>
      </c>
      <c r="BF178" s="4" t="n">
        <f aca="false">IF(OR(BD178="",BE178=""),"",IFERROR(IF($K178="%",BE178-BD178,BE178/BD178-1),""))</f>
        <v>0.1</v>
      </c>
      <c r="BG178" s="5" t="str">
        <f aca="false">IF(OR(BD178="",BE178=""),"",IF($F178="Maior Melhor",IF(BE178&gt;=BD178,"Sim","Não"),IF(BE178&lt;=BD178,"Sim","Não")))</f>
        <v>Sim</v>
      </c>
      <c r="BH178" s="3" t="n">
        <v>0.9</v>
      </c>
      <c r="BI178" s="3" t="n">
        <v>1</v>
      </c>
      <c r="BJ178" s="4" t="n">
        <f aca="false">IF(OR(BH178="",BI178=""),"",IFERROR(IF($K178="%",BI178-BH178,BI178/BH178-1),""))</f>
        <v>0.1</v>
      </c>
      <c r="BK178" s="5" t="str">
        <f aca="false">IF(OR(BH178="",BI178=""),"",IF($F178="Maior Melhor",IF(BI178&gt;=BH178,"Sim","Não"),IF(BI178&lt;=BH178,"Sim","Não")))</f>
        <v>Sim</v>
      </c>
      <c r="BL178" s="6"/>
      <c r="BM178" s="6"/>
      <c r="BN178" s="4" t="str">
        <f aca="false">IF(OR(BL178="",BM178=""),"",IFERROR(IF($K178="%",BM178-BL178,BM178/BL178-1),""))</f>
        <v/>
      </c>
      <c r="BO178" s="5" t="str">
        <f aca="false">IF(OR(BL178="",BM178=""),"",IF($F178="Maior Melhor",IF(BM178&gt;=BL178,"Sim","Não"),IF(BM178&lt;=BL178,"Sim","Não")))</f>
        <v/>
      </c>
      <c r="BP178" s="6"/>
      <c r="BQ178" s="6"/>
      <c r="BR178" s="4" t="str">
        <f aca="false">IF(OR(BP178="",BQ178=""),"",IFERROR(IF($K178="%",BQ178-BP178,BQ178/BP178-1),""))</f>
        <v/>
      </c>
      <c r="BS178" s="5" t="str">
        <f aca="false">IF(OR(BP178="",BQ178=""),"",IF($F178="Maior Melhor",IF(BQ178&gt;=BP178,"Sim","Não"),IF(BQ178&lt;=BP178,"Sim","Não")))</f>
        <v/>
      </c>
      <c r="BT178" s="6"/>
      <c r="BU178" s="6"/>
      <c r="BV178" s="4" t="str">
        <f aca="false">IF(OR(BT178="",BU178=""),"",IFERROR(IF($K178="%",BU178-BT178,BU178/BT178-1),""))</f>
        <v/>
      </c>
      <c r="BW178" s="5" t="str">
        <f aca="false">IF(OR(BT178="",BU178=""),"",IF($F178="Maior Melhor",IF(BU178&gt;=BT178,"Sim","Não"),IF(BU178&lt;=BT178,"Sim","Não")))</f>
        <v/>
      </c>
      <c r="BX178" s="6"/>
      <c r="BY178" s="6"/>
      <c r="BZ178" s="4" t="str">
        <f aca="false">IF(OR(BX178="",BY178=""),"",IFERROR(IF($K178="%",BY178-BX178,BY178/BX178-1),""))</f>
        <v/>
      </c>
      <c r="CA178" s="5" t="str">
        <f aca="false">IF(OR(BX178="",BY178=""),"",IF($F178="Maior Melhor",IF(BY178&gt;=BX178,"Sim","Não"),IF(BY178&lt;=BX178,"Sim","Não")))</f>
        <v/>
      </c>
      <c r="CB178" s="6"/>
      <c r="CC178" s="6"/>
      <c r="CD178" s="4" t="str">
        <f aca="false">IF(OR(CB178="",CC178=""),"",IFERROR(IF($K178="%",CC178-CB178,CC178/CB178-1),""))</f>
        <v/>
      </c>
      <c r="CE178" s="5" t="str">
        <f aca="false">IF(OR(CB178="",CC178=""),"",IF($F178="Maior Melhor",IF(CC178&gt;=CB178,"Sim","Não"),IF(CC178&lt;=CB178,"Sim","Não")))</f>
        <v/>
      </c>
      <c r="CF178" s="6"/>
      <c r="CG178" s="6"/>
      <c r="CH178" s="4" t="str">
        <f aca="false">IF(OR(CF178="",CG178=""),"",IFERROR(IF($K178="%",CG178-CF178,CG178/CF178-1),""))</f>
        <v/>
      </c>
      <c r="CI178" s="5" t="str">
        <f aca="false">IF(OR(CF178="",CG178=""),"",IF($F178="Maior Melhor",IF(CG178&gt;=CF178,"Sim","Não"),IF(CG178&lt;=CF178,"Sim","Não")))</f>
        <v/>
      </c>
      <c r="CJ178" s="6"/>
      <c r="CK178" s="6"/>
      <c r="CL178" s="4" t="str">
        <f aca="false">IF(OR(CJ178="",CK178=""),"",IFERROR(IF($K178="%",CK178-CJ178,CK178/CJ178-1),""))</f>
        <v/>
      </c>
      <c r="CM178" s="5" t="str">
        <f aca="false">IF(OR(CJ178="",CK178=""),"",IF($F178="Maior Melhor",IF(CK178&gt;=CJ178,"Sim","Não"),IF(CK178&lt;=CJ178,"Sim","Não")))</f>
        <v/>
      </c>
      <c r="CN178" s="6"/>
      <c r="CO178" s="6"/>
      <c r="CP178" s="4" t="str">
        <f aca="false">IF(OR(CN178="",CO178=""),"",IFERROR(IF($K178="%",CO178-CN178,CO178/CN178-1),""))</f>
        <v/>
      </c>
      <c r="CQ178" s="5" t="str">
        <f aca="false">IF(OR(CN178="",CO178=""),"",IF($F178="Maior Melhor",IF(CO178&gt;=CN178,"Sim","Não"),IF(CO178&lt;=CN178,"Sim","Não")))</f>
        <v/>
      </c>
      <c r="CR178" s="2" t="s">
        <v>105</v>
      </c>
    </row>
    <row r="179" customFormat="false" ht="15" hidden="false" customHeight="false" outlineLevel="0" collapsed="false">
      <c r="A179" s="2" t="s">
        <v>172</v>
      </c>
      <c r="B179" s="2" t="s">
        <v>106</v>
      </c>
      <c r="C179" s="2" t="s">
        <v>128</v>
      </c>
      <c r="D179" s="2" t="s">
        <v>173</v>
      </c>
      <c r="E179" s="2" t="str">
        <f aca="false">C179&amp;D179</f>
        <v>UTD SANTA MARIA DA VITORIAEficiência do uso de medidores - EMED - UTDs</v>
      </c>
      <c r="F179" s="2" t="s">
        <v>100</v>
      </c>
      <c r="G179" s="2" t="s">
        <v>174</v>
      </c>
      <c r="H179" s="2" t="s">
        <v>102</v>
      </c>
      <c r="I179" s="2" t="s">
        <v>103</v>
      </c>
      <c r="J179" s="2" t="n">
        <v>2</v>
      </c>
      <c r="K179" s="2" t="s">
        <v>104</v>
      </c>
      <c r="L179" s="3" t="n">
        <v>0.9</v>
      </c>
      <c r="M179" s="3" t="n">
        <v>0.73</v>
      </c>
      <c r="N179" s="4" t="n">
        <f aca="false">IF(OR(L179="",M179=""),"",IFERROR(IF($K179="%",M179-L179,M179/L179-1),""))</f>
        <v>-0.17</v>
      </c>
      <c r="O179" s="5" t="str">
        <f aca="false">IF(OR(L179="",M179=""),"",IF($F179="Maior Melhor",IF(M179&gt;=L179,"Sim","Não"),IF(M179&lt;=L179,"Sim","Não")))</f>
        <v>Não</v>
      </c>
      <c r="P179" s="3" t="n">
        <v>0.9</v>
      </c>
      <c r="Q179" s="3" t="n">
        <v>0.5</v>
      </c>
      <c r="R179" s="4" t="n">
        <f aca="false">IF(OR(P179="",Q179=""),"",IFERROR(IF($K179="%",Q179-P179,Q179/P179-1),""))</f>
        <v>-0.4</v>
      </c>
      <c r="S179" s="5" t="str">
        <f aca="false">IF(OR(P179="",Q179=""),"",IF($F179="Maior Melhor",IF(Q179&gt;=P179,"Sim","Não"),IF(Q179&lt;=P179,"Sim","Não")))</f>
        <v>Não</v>
      </c>
      <c r="T179" s="3" t="n">
        <v>0.9</v>
      </c>
      <c r="U179" s="3" t="n">
        <v>1</v>
      </c>
      <c r="V179" s="4" t="n">
        <f aca="false">IF(OR(T179="",U179=""),"",IFERROR(IF($K179="%",U179-T179,U179/T179-1),""))</f>
        <v>0.1</v>
      </c>
      <c r="W179" s="5" t="str">
        <f aca="false">IF(OR(T179="",U179=""),"",IF($F179="Maior Melhor",IF(U179&gt;=T179,"Sim","Não"),IF(U179&lt;=T179,"Sim","Não")))</f>
        <v>Sim</v>
      </c>
      <c r="X179" s="3" t="n">
        <v>0.9</v>
      </c>
      <c r="Y179" s="3" t="n">
        <v>1</v>
      </c>
      <c r="Z179" s="4" t="n">
        <f aca="false">IF(OR(X179="",Y179=""),"",IFERROR(IF($K179="%",Y179-X179,Y179/X179-1),""))</f>
        <v>0.1</v>
      </c>
      <c r="AA179" s="5" t="str">
        <f aca="false">IF(OR(X179="",Y179=""),"",IF($F179="Maior Melhor",IF(Y179&gt;=X179,"Sim","Não"),IF(Y179&lt;=X179,"Sim","Não")))</f>
        <v>Sim</v>
      </c>
      <c r="AB179" s="3" t="n">
        <v>0.9</v>
      </c>
      <c r="AC179" s="3" t="n">
        <v>1</v>
      </c>
      <c r="AD179" s="4" t="n">
        <f aca="false">IF(OR(AB179="",AC179=""),"",IFERROR(IF($K179="%",AC179-AB179,AC179/AB179-1),""))</f>
        <v>0.1</v>
      </c>
      <c r="AE179" s="5" t="str">
        <f aca="false">IF(OR(AB179="",AC179=""),"",IF($F179="Maior Melhor",IF(AC179&gt;=AB179,"Sim","Não"),IF(AC179&lt;=AB179,"Sim","Não")))</f>
        <v>Sim</v>
      </c>
      <c r="AF179" s="3" t="n">
        <v>0.9</v>
      </c>
      <c r="AG179" s="3" t="n">
        <v>1</v>
      </c>
      <c r="AH179" s="4" t="n">
        <f aca="false">IF(OR(AF179="",AG179=""),"",IFERROR(IF($K179="%",AG179-AF179,AG179/AF179-1),""))</f>
        <v>0.1</v>
      </c>
      <c r="AI179" s="5" t="str">
        <f aca="false">IF(OR(AF179="",AG179=""),"",IF($F179="Maior Melhor",IF(AG179&gt;=AF179,"Sim","Não"),IF(AG179&lt;=AF179,"Sim","Não")))</f>
        <v>Sim</v>
      </c>
      <c r="AJ179" s="3" t="n">
        <v>0.9</v>
      </c>
      <c r="AK179" s="3" t="n">
        <v>1</v>
      </c>
      <c r="AL179" s="4" t="n">
        <f aca="false">IF(OR(AJ179="",AK179=""),"",IFERROR(IF($K179="%",AK179-AJ179,AK179/AJ179-1),""))</f>
        <v>0.1</v>
      </c>
      <c r="AM179" s="5" t="str">
        <f aca="false">IF(OR(AJ179="",AK179=""),"",IF($F179="Maior Melhor",IF(AK179&gt;=AJ179,"Sim","Não"),IF(AK179&lt;=AJ179,"Sim","Não")))</f>
        <v>Sim</v>
      </c>
      <c r="AN179" s="3" t="n">
        <v>0.9</v>
      </c>
      <c r="AO179" s="3" t="n">
        <v>1</v>
      </c>
      <c r="AP179" s="4" t="n">
        <f aca="false">IF(OR(AN179="",AO179=""),"",IFERROR(IF($K179="%",AO179-AN179,AO179/AN179-1),""))</f>
        <v>0.1</v>
      </c>
      <c r="AQ179" s="5" t="str">
        <f aca="false">IF(OR(AN179="",AO179=""),"",IF($F179="Maior Melhor",IF(AO179&gt;=AN179,"Sim","Não"),IF(AO179&lt;=AN179,"Sim","Não")))</f>
        <v>Sim</v>
      </c>
      <c r="AR179" s="3" t="n">
        <v>0.9</v>
      </c>
      <c r="AS179" s="3" t="n">
        <v>1</v>
      </c>
      <c r="AT179" s="4" t="n">
        <f aca="false">IF(OR(AR179="",AS179=""),"",IFERROR(IF($K179="%",AS179-AR179,AS179/AR179-1),""))</f>
        <v>0.1</v>
      </c>
      <c r="AU179" s="5" t="str">
        <f aca="false">IF(OR(AR179="",AS179=""),"",IF($F179="Maior Melhor",IF(AS179&gt;=AR179,"Sim","Não"),IF(AS179&lt;=AR179,"Sim","Não")))</f>
        <v>Sim</v>
      </c>
      <c r="AV179" s="3" t="n">
        <v>0.9</v>
      </c>
      <c r="AW179" s="3" t="n">
        <v>0.92</v>
      </c>
      <c r="AX179" s="4" t="n">
        <f aca="false">IF(OR(AV179="",AW179=""),"",IFERROR(IF($K179="%",AW179-AV179,AW179/AV179-1),""))</f>
        <v>0.02</v>
      </c>
      <c r="AY179" s="5" t="str">
        <f aca="false">IF(OR(AV179="",AW179=""),"",IF($F179="Maior Melhor",IF(AW179&gt;=AV179,"Sim","Não"),IF(AW179&lt;=AV179,"Sim","Não")))</f>
        <v>Sim</v>
      </c>
      <c r="AZ179" s="3" t="n">
        <v>0.9</v>
      </c>
      <c r="BA179" s="3" t="n">
        <v>0.92</v>
      </c>
      <c r="BB179" s="4" t="n">
        <f aca="false">IF(OR(AZ179="",BA179=""),"",IFERROR(IF($K179="%",BA179-AZ179,BA179/AZ179-1),""))</f>
        <v>0.02</v>
      </c>
      <c r="BC179" s="5" t="str">
        <f aca="false">IF(OR(AZ179="",BA179=""),"",IF($F179="Maior Melhor",IF(BA179&gt;=AZ179,"Sim","Não"),IF(BA179&lt;=AZ179,"Sim","Não")))</f>
        <v>Sim</v>
      </c>
      <c r="BD179" s="3" t="n">
        <v>0.9</v>
      </c>
      <c r="BE179" s="3" t="n">
        <v>0.97</v>
      </c>
      <c r="BF179" s="4" t="n">
        <f aca="false">IF(OR(BD179="",BE179=""),"",IFERROR(IF($K179="%",BE179-BD179,BE179/BD179-1),""))</f>
        <v>0.07</v>
      </c>
      <c r="BG179" s="5" t="str">
        <f aca="false">IF(OR(BD179="",BE179=""),"",IF($F179="Maior Melhor",IF(BE179&gt;=BD179,"Sim","Não"),IF(BE179&lt;=BD179,"Sim","Não")))</f>
        <v>Sim</v>
      </c>
      <c r="BH179" s="3" t="n">
        <v>0.9</v>
      </c>
      <c r="BI179" s="3" t="n">
        <v>0.97</v>
      </c>
      <c r="BJ179" s="4" t="n">
        <f aca="false">IF(OR(BH179="",BI179=""),"",IFERROR(IF($K179="%",BI179-BH179,BI179/BH179-1),""))</f>
        <v>0.07</v>
      </c>
      <c r="BK179" s="5" t="str">
        <f aca="false">IF(OR(BH179="",BI179=""),"",IF($F179="Maior Melhor",IF(BI179&gt;=BH179,"Sim","Não"),IF(BI179&lt;=BH179,"Sim","Não")))</f>
        <v>Sim</v>
      </c>
      <c r="BL179" s="6"/>
      <c r="BM179" s="6"/>
      <c r="BN179" s="4" t="str">
        <f aca="false">IF(OR(BL179="",BM179=""),"",IFERROR(IF($K179="%",BM179-BL179,BM179/BL179-1),""))</f>
        <v/>
      </c>
      <c r="BO179" s="5" t="str">
        <f aca="false">IF(OR(BL179="",BM179=""),"",IF($F179="Maior Melhor",IF(BM179&gt;=BL179,"Sim","Não"),IF(BM179&lt;=BL179,"Sim","Não")))</f>
        <v/>
      </c>
      <c r="BP179" s="6"/>
      <c r="BQ179" s="6"/>
      <c r="BR179" s="4" t="str">
        <f aca="false">IF(OR(BP179="",BQ179=""),"",IFERROR(IF($K179="%",BQ179-BP179,BQ179/BP179-1),""))</f>
        <v/>
      </c>
      <c r="BS179" s="5" t="str">
        <f aca="false">IF(OR(BP179="",BQ179=""),"",IF($F179="Maior Melhor",IF(BQ179&gt;=BP179,"Sim","Não"),IF(BQ179&lt;=BP179,"Sim","Não")))</f>
        <v/>
      </c>
      <c r="BT179" s="6"/>
      <c r="BU179" s="6"/>
      <c r="BV179" s="4" t="str">
        <f aca="false">IF(OR(BT179="",BU179=""),"",IFERROR(IF($K179="%",BU179-BT179,BU179/BT179-1),""))</f>
        <v/>
      </c>
      <c r="BW179" s="5" t="str">
        <f aca="false">IF(OR(BT179="",BU179=""),"",IF($F179="Maior Melhor",IF(BU179&gt;=BT179,"Sim","Não"),IF(BU179&lt;=BT179,"Sim","Não")))</f>
        <v/>
      </c>
      <c r="BX179" s="6"/>
      <c r="BY179" s="6"/>
      <c r="BZ179" s="4" t="str">
        <f aca="false">IF(OR(BX179="",BY179=""),"",IFERROR(IF($K179="%",BY179-BX179,BY179/BX179-1),""))</f>
        <v/>
      </c>
      <c r="CA179" s="5" t="str">
        <f aca="false">IF(OR(BX179="",BY179=""),"",IF($F179="Maior Melhor",IF(BY179&gt;=BX179,"Sim","Não"),IF(BY179&lt;=BX179,"Sim","Não")))</f>
        <v/>
      </c>
      <c r="CB179" s="6"/>
      <c r="CC179" s="6"/>
      <c r="CD179" s="4" t="str">
        <f aca="false">IF(OR(CB179="",CC179=""),"",IFERROR(IF($K179="%",CC179-CB179,CC179/CB179-1),""))</f>
        <v/>
      </c>
      <c r="CE179" s="5" t="str">
        <f aca="false">IF(OR(CB179="",CC179=""),"",IF($F179="Maior Melhor",IF(CC179&gt;=CB179,"Sim","Não"),IF(CC179&lt;=CB179,"Sim","Não")))</f>
        <v/>
      </c>
      <c r="CF179" s="6"/>
      <c r="CG179" s="6"/>
      <c r="CH179" s="4" t="str">
        <f aca="false">IF(OR(CF179="",CG179=""),"",IFERROR(IF($K179="%",CG179-CF179,CG179/CF179-1),""))</f>
        <v/>
      </c>
      <c r="CI179" s="5" t="str">
        <f aca="false">IF(OR(CF179="",CG179=""),"",IF($F179="Maior Melhor",IF(CG179&gt;=CF179,"Sim","Não"),IF(CG179&lt;=CF179,"Sim","Não")))</f>
        <v/>
      </c>
      <c r="CJ179" s="6"/>
      <c r="CK179" s="6"/>
      <c r="CL179" s="4" t="str">
        <f aca="false">IF(OR(CJ179="",CK179=""),"",IFERROR(IF($K179="%",CK179-CJ179,CK179/CJ179-1),""))</f>
        <v/>
      </c>
      <c r="CM179" s="5" t="str">
        <f aca="false">IF(OR(CJ179="",CK179=""),"",IF($F179="Maior Melhor",IF(CK179&gt;=CJ179,"Sim","Não"),IF(CK179&lt;=CJ179,"Sim","Não")))</f>
        <v/>
      </c>
      <c r="CN179" s="6"/>
      <c r="CO179" s="6"/>
      <c r="CP179" s="4" t="str">
        <f aca="false">IF(OR(CN179="",CO179=""),"",IFERROR(IF($K179="%",CO179-CN179,CO179/CN179-1),""))</f>
        <v/>
      </c>
      <c r="CQ179" s="5" t="str">
        <f aca="false">IF(OR(CN179="",CO179=""),"",IF($F179="Maior Melhor",IF(CO179&gt;=CN179,"Sim","Não"),IF(CO179&lt;=CN179,"Sim","Não")))</f>
        <v/>
      </c>
      <c r="CR179" s="2" t="s">
        <v>129</v>
      </c>
    </row>
    <row r="180" customFormat="false" ht="15" hidden="false" customHeight="false" outlineLevel="0" collapsed="false">
      <c r="A180" s="2" t="s">
        <v>172</v>
      </c>
      <c r="B180" s="2" t="s">
        <v>97</v>
      </c>
      <c r="C180" s="2" t="s">
        <v>130</v>
      </c>
      <c r="D180" s="2" t="s">
        <v>173</v>
      </c>
      <c r="E180" s="2" t="str">
        <f aca="false">C180&amp;D180</f>
        <v>UTD SEABRAEficiência do uso de medidores - EMED - UTDs</v>
      </c>
      <c r="F180" s="2" t="s">
        <v>100</v>
      </c>
      <c r="G180" s="2" t="s">
        <v>174</v>
      </c>
      <c r="H180" s="2" t="s">
        <v>102</v>
      </c>
      <c r="I180" s="2" t="s">
        <v>103</v>
      </c>
      <c r="J180" s="2" t="n">
        <v>2</v>
      </c>
      <c r="K180" s="2" t="s">
        <v>104</v>
      </c>
      <c r="L180" s="3" t="n">
        <v>0.9</v>
      </c>
      <c r="M180" s="3" t="n">
        <v>0.34</v>
      </c>
      <c r="N180" s="4" t="n">
        <f aca="false">IF(OR(L180="",M180=""),"",IFERROR(IF($K180="%",M180-L180,M180/L180-1),""))</f>
        <v>-0.56</v>
      </c>
      <c r="O180" s="5" t="str">
        <f aca="false">IF(OR(L180="",M180=""),"",IF($F180="Maior Melhor",IF(M180&gt;=L180,"Sim","Não"),IF(M180&lt;=L180,"Sim","Não")))</f>
        <v>Não</v>
      </c>
      <c r="P180" s="3" t="n">
        <v>0.9</v>
      </c>
      <c r="Q180" s="3" t="n">
        <v>0.55</v>
      </c>
      <c r="R180" s="4" t="n">
        <f aca="false">IF(OR(P180="",Q180=""),"",IFERROR(IF($K180="%",Q180-P180,Q180/P180-1),""))</f>
        <v>-0.35</v>
      </c>
      <c r="S180" s="5" t="str">
        <f aca="false">IF(OR(P180="",Q180=""),"",IF($F180="Maior Melhor",IF(Q180&gt;=P180,"Sim","Não"),IF(Q180&lt;=P180,"Sim","Não")))</f>
        <v>Não</v>
      </c>
      <c r="T180" s="3" t="n">
        <v>0.9</v>
      </c>
      <c r="U180" s="3" t="n">
        <v>0.86</v>
      </c>
      <c r="V180" s="4" t="n">
        <f aca="false">IF(OR(T180="",U180=""),"",IFERROR(IF($K180="%",U180-T180,U180/T180-1),""))</f>
        <v>-0.04</v>
      </c>
      <c r="W180" s="5" t="str">
        <f aca="false">IF(OR(T180="",U180=""),"",IF($F180="Maior Melhor",IF(U180&gt;=T180,"Sim","Não"),IF(U180&lt;=T180,"Sim","Não")))</f>
        <v>Não</v>
      </c>
      <c r="X180" s="3" t="n">
        <v>0.9</v>
      </c>
      <c r="Y180" s="3" t="n">
        <v>0.89</v>
      </c>
      <c r="Z180" s="4" t="n">
        <f aca="false">IF(OR(X180="",Y180=""),"",IFERROR(IF($K180="%",Y180-X180,Y180/X180-1),""))</f>
        <v>-0.01</v>
      </c>
      <c r="AA180" s="5" t="str">
        <f aca="false">IF(OR(X180="",Y180=""),"",IF($F180="Maior Melhor",IF(Y180&gt;=X180,"Sim","Não"),IF(Y180&lt;=X180,"Sim","Não")))</f>
        <v>Não</v>
      </c>
      <c r="AB180" s="3" t="n">
        <v>0.9</v>
      </c>
      <c r="AC180" s="3" t="n">
        <v>0.89</v>
      </c>
      <c r="AD180" s="4" t="n">
        <f aca="false">IF(OR(AB180="",AC180=""),"",IFERROR(IF($K180="%",AC180-AB180,AC180/AB180-1),""))</f>
        <v>-0.01</v>
      </c>
      <c r="AE180" s="5" t="str">
        <f aca="false">IF(OR(AB180="",AC180=""),"",IF($F180="Maior Melhor",IF(AC180&gt;=AB180,"Sim","Não"),IF(AC180&lt;=AB180,"Sim","Não")))</f>
        <v>Não</v>
      </c>
      <c r="AF180" s="3" t="n">
        <v>0.9</v>
      </c>
      <c r="AG180" s="3" t="n">
        <v>1</v>
      </c>
      <c r="AH180" s="4" t="n">
        <f aca="false">IF(OR(AF180="",AG180=""),"",IFERROR(IF($K180="%",AG180-AF180,AG180/AF180-1),""))</f>
        <v>0.1</v>
      </c>
      <c r="AI180" s="5" t="str">
        <f aca="false">IF(OR(AF180="",AG180=""),"",IF($F180="Maior Melhor",IF(AG180&gt;=AF180,"Sim","Não"),IF(AG180&lt;=AF180,"Sim","Não")))</f>
        <v>Sim</v>
      </c>
      <c r="AJ180" s="3" t="n">
        <v>0.9</v>
      </c>
      <c r="AK180" s="3" t="n">
        <v>1</v>
      </c>
      <c r="AL180" s="4" t="n">
        <f aca="false">IF(OR(AJ180="",AK180=""),"",IFERROR(IF($K180="%",AK180-AJ180,AK180/AJ180-1),""))</f>
        <v>0.1</v>
      </c>
      <c r="AM180" s="5" t="str">
        <f aca="false">IF(OR(AJ180="",AK180=""),"",IF($F180="Maior Melhor",IF(AK180&gt;=AJ180,"Sim","Não"),IF(AK180&lt;=AJ180,"Sim","Não")))</f>
        <v>Sim</v>
      </c>
      <c r="AN180" s="3" t="n">
        <v>0.9</v>
      </c>
      <c r="AO180" s="3" t="n">
        <v>0.96</v>
      </c>
      <c r="AP180" s="4" t="n">
        <f aca="false">IF(OR(AN180="",AO180=""),"",IFERROR(IF($K180="%",AO180-AN180,AO180/AN180-1),""))</f>
        <v>0.0599999999999999</v>
      </c>
      <c r="AQ180" s="5" t="str">
        <f aca="false">IF(OR(AN180="",AO180=""),"",IF($F180="Maior Melhor",IF(AO180&gt;=AN180,"Sim","Não"),IF(AO180&lt;=AN180,"Sim","Não")))</f>
        <v>Sim</v>
      </c>
      <c r="AR180" s="3" t="n">
        <v>0.9</v>
      </c>
      <c r="AS180" s="3" t="n">
        <v>0.96</v>
      </c>
      <c r="AT180" s="4" t="n">
        <f aca="false">IF(OR(AR180="",AS180=""),"",IFERROR(IF($K180="%",AS180-AR180,AS180/AR180-1),""))</f>
        <v>0.0599999999999999</v>
      </c>
      <c r="AU180" s="5" t="str">
        <f aca="false">IF(OR(AR180="",AS180=""),"",IF($F180="Maior Melhor",IF(AS180&gt;=AR180,"Sim","Não"),IF(AS180&lt;=AR180,"Sim","Não")))</f>
        <v>Sim</v>
      </c>
      <c r="AV180" s="3" t="n">
        <v>0.9</v>
      </c>
      <c r="AW180" s="3" t="n">
        <v>0.97</v>
      </c>
      <c r="AX180" s="4" t="n">
        <f aca="false">IF(OR(AV180="",AW180=""),"",IFERROR(IF($K180="%",AW180-AV180,AW180/AV180-1),""))</f>
        <v>0.07</v>
      </c>
      <c r="AY180" s="5" t="str">
        <f aca="false">IF(OR(AV180="",AW180=""),"",IF($F180="Maior Melhor",IF(AW180&gt;=AV180,"Sim","Não"),IF(AW180&lt;=AV180,"Sim","Não")))</f>
        <v>Sim</v>
      </c>
      <c r="AZ180" s="3" t="n">
        <v>0.9</v>
      </c>
      <c r="BA180" s="3" t="n">
        <v>0.97</v>
      </c>
      <c r="BB180" s="4" t="n">
        <f aca="false">IF(OR(AZ180="",BA180=""),"",IFERROR(IF($K180="%",BA180-AZ180,BA180/AZ180-1),""))</f>
        <v>0.07</v>
      </c>
      <c r="BC180" s="5" t="str">
        <f aca="false">IF(OR(AZ180="",BA180=""),"",IF($F180="Maior Melhor",IF(BA180&gt;=AZ180,"Sim","Não"),IF(BA180&lt;=AZ180,"Sim","Não")))</f>
        <v>Sim</v>
      </c>
      <c r="BD180" s="3" t="n">
        <v>0.9</v>
      </c>
      <c r="BE180" s="3" t="n">
        <v>0.97</v>
      </c>
      <c r="BF180" s="4" t="n">
        <f aca="false">IF(OR(BD180="",BE180=""),"",IFERROR(IF($K180="%",BE180-BD180,BE180/BD180-1),""))</f>
        <v>0.07</v>
      </c>
      <c r="BG180" s="5" t="str">
        <f aca="false">IF(OR(BD180="",BE180=""),"",IF($F180="Maior Melhor",IF(BE180&gt;=BD180,"Sim","Não"),IF(BE180&lt;=BD180,"Sim","Não")))</f>
        <v>Sim</v>
      </c>
      <c r="BH180" s="3" t="n">
        <v>0.9</v>
      </c>
      <c r="BI180" s="3" t="n">
        <v>0.97</v>
      </c>
      <c r="BJ180" s="4" t="n">
        <f aca="false">IF(OR(BH180="",BI180=""),"",IFERROR(IF($K180="%",BI180-BH180,BI180/BH180-1),""))</f>
        <v>0.07</v>
      </c>
      <c r="BK180" s="5" t="str">
        <f aca="false">IF(OR(BH180="",BI180=""),"",IF($F180="Maior Melhor",IF(BI180&gt;=BH180,"Sim","Não"),IF(BI180&lt;=BH180,"Sim","Não")))</f>
        <v>Sim</v>
      </c>
      <c r="BL180" s="6"/>
      <c r="BM180" s="6"/>
      <c r="BN180" s="4" t="str">
        <f aca="false">IF(OR(BL180="",BM180=""),"",IFERROR(IF($K180="%",BM180-BL180,BM180/BL180-1),""))</f>
        <v/>
      </c>
      <c r="BO180" s="5" t="str">
        <f aca="false">IF(OR(BL180="",BM180=""),"",IF($F180="Maior Melhor",IF(BM180&gt;=BL180,"Sim","Não"),IF(BM180&lt;=BL180,"Sim","Não")))</f>
        <v/>
      </c>
      <c r="BP180" s="6"/>
      <c r="BQ180" s="6"/>
      <c r="BR180" s="4" t="str">
        <f aca="false">IF(OR(BP180="",BQ180=""),"",IFERROR(IF($K180="%",BQ180-BP180,BQ180/BP180-1),""))</f>
        <v/>
      </c>
      <c r="BS180" s="5" t="str">
        <f aca="false">IF(OR(BP180="",BQ180=""),"",IF($F180="Maior Melhor",IF(BQ180&gt;=BP180,"Sim","Não"),IF(BQ180&lt;=BP180,"Sim","Não")))</f>
        <v/>
      </c>
      <c r="BT180" s="6"/>
      <c r="BU180" s="6"/>
      <c r="BV180" s="4" t="str">
        <f aca="false">IF(OR(BT180="",BU180=""),"",IFERROR(IF($K180="%",BU180-BT180,BU180/BT180-1),""))</f>
        <v/>
      </c>
      <c r="BW180" s="5" t="str">
        <f aca="false">IF(OR(BT180="",BU180=""),"",IF($F180="Maior Melhor",IF(BU180&gt;=BT180,"Sim","Não"),IF(BU180&lt;=BT180,"Sim","Não")))</f>
        <v/>
      </c>
      <c r="BX180" s="6"/>
      <c r="BY180" s="6"/>
      <c r="BZ180" s="4" t="str">
        <f aca="false">IF(OR(BX180="",BY180=""),"",IFERROR(IF($K180="%",BY180-BX180,BY180/BX180-1),""))</f>
        <v/>
      </c>
      <c r="CA180" s="5" t="str">
        <f aca="false">IF(OR(BX180="",BY180=""),"",IF($F180="Maior Melhor",IF(BY180&gt;=BX180,"Sim","Não"),IF(BY180&lt;=BX180,"Sim","Não")))</f>
        <v/>
      </c>
      <c r="CB180" s="6"/>
      <c r="CC180" s="6"/>
      <c r="CD180" s="4" t="str">
        <f aca="false">IF(OR(CB180="",CC180=""),"",IFERROR(IF($K180="%",CC180-CB180,CC180/CB180-1),""))</f>
        <v/>
      </c>
      <c r="CE180" s="5" t="str">
        <f aca="false">IF(OR(CB180="",CC180=""),"",IF($F180="Maior Melhor",IF(CC180&gt;=CB180,"Sim","Não"),IF(CC180&lt;=CB180,"Sim","Não")))</f>
        <v/>
      </c>
      <c r="CF180" s="6"/>
      <c r="CG180" s="6"/>
      <c r="CH180" s="4" t="str">
        <f aca="false">IF(OR(CF180="",CG180=""),"",IFERROR(IF($K180="%",CG180-CF180,CG180/CF180-1),""))</f>
        <v/>
      </c>
      <c r="CI180" s="5" t="str">
        <f aca="false">IF(OR(CF180="",CG180=""),"",IF($F180="Maior Melhor",IF(CG180&gt;=CF180,"Sim","Não"),IF(CG180&lt;=CF180,"Sim","Não")))</f>
        <v/>
      </c>
      <c r="CJ180" s="6"/>
      <c r="CK180" s="6"/>
      <c r="CL180" s="4" t="str">
        <f aca="false">IF(OR(CJ180="",CK180=""),"",IFERROR(IF($K180="%",CK180-CJ180,CK180/CJ180-1),""))</f>
        <v/>
      </c>
      <c r="CM180" s="5" t="str">
        <f aca="false">IF(OR(CJ180="",CK180=""),"",IF($F180="Maior Melhor",IF(CK180&gt;=CJ180,"Sim","Não"),IF(CK180&lt;=CJ180,"Sim","Não")))</f>
        <v/>
      </c>
      <c r="CN180" s="6"/>
      <c r="CO180" s="6"/>
      <c r="CP180" s="4" t="str">
        <f aca="false">IF(OR(CN180="",CO180=""),"",IFERROR(IF($K180="%",CO180-CN180,CO180/CN180-1),""))</f>
        <v/>
      </c>
      <c r="CQ180" s="5" t="str">
        <f aca="false">IF(OR(CN180="",CO180=""),"",IF($F180="Maior Melhor",IF(CO180&gt;=CN180,"Sim","Não"),IF(CO180&lt;=CN180,"Sim","Não")))</f>
        <v/>
      </c>
      <c r="CR180" s="2" t="s">
        <v>105</v>
      </c>
    </row>
    <row r="181" customFormat="false" ht="15" hidden="false" customHeight="false" outlineLevel="0" collapsed="false">
      <c r="A181" s="2" t="s">
        <v>172</v>
      </c>
      <c r="B181" s="2" t="s">
        <v>108</v>
      </c>
      <c r="C181" s="2" t="s">
        <v>131</v>
      </c>
      <c r="D181" s="2" t="s">
        <v>173</v>
      </c>
      <c r="E181" s="2" t="str">
        <f aca="false">C181&amp;D181</f>
        <v>UTD VITORIA DA CONQUISTAEficiência do uso de medidores - EMED - UTDs</v>
      </c>
      <c r="F181" s="2" t="s">
        <v>100</v>
      </c>
      <c r="G181" s="2" t="s">
        <v>174</v>
      </c>
      <c r="H181" s="2" t="s">
        <v>102</v>
      </c>
      <c r="I181" s="2" t="s">
        <v>103</v>
      </c>
      <c r="J181" s="2" t="n">
        <v>2</v>
      </c>
      <c r="K181" s="2" t="s">
        <v>104</v>
      </c>
      <c r="L181" s="3" t="n">
        <v>0.9</v>
      </c>
      <c r="M181" s="3" t="n">
        <v>0.77</v>
      </c>
      <c r="N181" s="4" t="n">
        <f aca="false">IF(OR(L181="",M181=""),"",IFERROR(IF($K181="%",M181-L181,M181/L181-1),""))</f>
        <v>-0.13</v>
      </c>
      <c r="O181" s="5" t="str">
        <f aca="false">IF(OR(L181="",M181=""),"",IF($F181="Maior Melhor",IF(M181&gt;=L181,"Sim","Não"),IF(M181&lt;=L181,"Sim","Não")))</f>
        <v>Não</v>
      </c>
      <c r="P181" s="3" t="n">
        <v>0.9</v>
      </c>
      <c r="Q181" s="3" t="n">
        <v>0.77</v>
      </c>
      <c r="R181" s="4" t="n">
        <f aca="false">IF(OR(P181="",Q181=""),"",IFERROR(IF($K181="%",Q181-P181,Q181/P181-1),""))</f>
        <v>-0.13</v>
      </c>
      <c r="S181" s="5" t="str">
        <f aca="false">IF(OR(P181="",Q181=""),"",IF($F181="Maior Melhor",IF(Q181&gt;=P181,"Sim","Não"),IF(Q181&lt;=P181,"Sim","Não")))</f>
        <v>Não</v>
      </c>
      <c r="T181" s="3" t="n">
        <v>0.9</v>
      </c>
      <c r="U181" s="3" t="n">
        <v>0.86</v>
      </c>
      <c r="V181" s="4" t="n">
        <f aca="false">IF(OR(T181="",U181=""),"",IFERROR(IF($K181="%",U181-T181,U181/T181-1),""))</f>
        <v>-0.04</v>
      </c>
      <c r="W181" s="5" t="str">
        <f aca="false">IF(OR(T181="",U181=""),"",IF($F181="Maior Melhor",IF(U181&gt;=T181,"Sim","Não"),IF(U181&lt;=T181,"Sim","Não")))</f>
        <v>Não</v>
      </c>
      <c r="X181" s="3" t="n">
        <v>0.9</v>
      </c>
      <c r="Y181" s="3" t="n">
        <v>0.93</v>
      </c>
      <c r="Z181" s="4" t="n">
        <f aca="false">IF(OR(X181="",Y181=""),"",IFERROR(IF($K181="%",Y181-X181,Y181/X181-1),""))</f>
        <v>0.03</v>
      </c>
      <c r="AA181" s="5" t="str">
        <f aca="false">IF(OR(X181="",Y181=""),"",IF($F181="Maior Melhor",IF(Y181&gt;=X181,"Sim","Não"),IF(Y181&lt;=X181,"Sim","Não")))</f>
        <v>Sim</v>
      </c>
      <c r="AB181" s="3" t="n">
        <v>0.9</v>
      </c>
      <c r="AC181" s="3" t="n">
        <v>0.93</v>
      </c>
      <c r="AD181" s="4" t="n">
        <f aca="false">IF(OR(AB181="",AC181=""),"",IFERROR(IF($K181="%",AC181-AB181,AC181/AB181-1),""))</f>
        <v>0.03</v>
      </c>
      <c r="AE181" s="5" t="str">
        <f aca="false">IF(OR(AB181="",AC181=""),"",IF($F181="Maior Melhor",IF(AC181&gt;=AB181,"Sim","Não"),IF(AC181&lt;=AB181,"Sim","Não")))</f>
        <v>Sim</v>
      </c>
      <c r="AF181" s="3" t="n">
        <v>0.9</v>
      </c>
      <c r="AG181" s="3" t="n">
        <v>0.87</v>
      </c>
      <c r="AH181" s="4" t="n">
        <f aca="false">IF(OR(AF181="",AG181=""),"",IFERROR(IF($K181="%",AG181-AF181,AG181/AF181-1),""))</f>
        <v>-0.03</v>
      </c>
      <c r="AI181" s="5" t="str">
        <f aca="false">IF(OR(AF181="",AG181=""),"",IF($F181="Maior Melhor",IF(AG181&gt;=AF181,"Sim","Não"),IF(AG181&lt;=AF181,"Sim","Não")))</f>
        <v>Não</v>
      </c>
      <c r="AJ181" s="3" t="n">
        <v>0.9</v>
      </c>
      <c r="AK181" s="3" t="n">
        <v>0.87</v>
      </c>
      <c r="AL181" s="4" t="n">
        <f aca="false">IF(OR(AJ181="",AK181=""),"",IFERROR(IF($K181="%",AK181-AJ181,AK181/AJ181-1),""))</f>
        <v>-0.03</v>
      </c>
      <c r="AM181" s="5" t="str">
        <f aca="false">IF(OR(AJ181="",AK181=""),"",IF($F181="Maior Melhor",IF(AK181&gt;=AJ181,"Sim","Não"),IF(AK181&lt;=AJ181,"Sim","Não")))</f>
        <v>Não</v>
      </c>
      <c r="AN181" s="3" t="n">
        <v>0.9</v>
      </c>
      <c r="AO181" s="3" t="n">
        <v>0.84</v>
      </c>
      <c r="AP181" s="4" t="n">
        <f aca="false">IF(OR(AN181="",AO181=""),"",IFERROR(IF($K181="%",AO181-AN181,AO181/AN181-1),""))</f>
        <v>-0.0600000000000001</v>
      </c>
      <c r="AQ181" s="5" t="str">
        <f aca="false">IF(OR(AN181="",AO181=""),"",IF($F181="Maior Melhor",IF(AO181&gt;=AN181,"Sim","Não"),IF(AO181&lt;=AN181,"Sim","Não")))</f>
        <v>Não</v>
      </c>
      <c r="AR181" s="3" t="n">
        <v>0.9</v>
      </c>
      <c r="AS181" s="3" t="n">
        <v>0.84</v>
      </c>
      <c r="AT181" s="4" t="n">
        <f aca="false">IF(OR(AR181="",AS181=""),"",IFERROR(IF($K181="%",AS181-AR181,AS181/AR181-1),""))</f>
        <v>-0.0600000000000001</v>
      </c>
      <c r="AU181" s="5" t="str">
        <f aca="false">IF(OR(AR181="",AS181=""),"",IF($F181="Maior Melhor",IF(AS181&gt;=AR181,"Sim","Não"),IF(AS181&lt;=AR181,"Sim","Não")))</f>
        <v>Não</v>
      </c>
      <c r="AV181" s="3" t="n">
        <v>0.9</v>
      </c>
      <c r="AW181" s="3" t="n">
        <v>0.93</v>
      </c>
      <c r="AX181" s="4" t="n">
        <f aca="false">IF(OR(AV181="",AW181=""),"",IFERROR(IF($K181="%",AW181-AV181,AW181/AV181-1),""))</f>
        <v>0.03</v>
      </c>
      <c r="AY181" s="5" t="str">
        <f aca="false">IF(OR(AV181="",AW181=""),"",IF($F181="Maior Melhor",IF(AW181&gt;=AV181,"Sim","Não"),IF(AW181&lt;=AV181,"Sim","Não")))</f>
        <v>Sim</v>
      </c>
      <c r="AZ181" s="3" t="n">
        <v>0.9</v>
      </c>
      <c r="BA181" s="3" t="n">
        <v>0.93</v>
      </c>
      <c r="BB181" s="4" t="n">
        <f aca="false">IF(OR(AZ181="",BA181=""),"",IFERROR(IF($K181="%",BA181-AZ181,BA181/AZ181-1),""))</f>
        <v>0.03</v>
      </c>
      <c r="BC181" s="5" t="str">
        <f aca="false">IF(OR(AZ181="",BA181=""),"",IF($F181="Maior Melhor",IF(BA181&gt;=AZ181,"Sim","Não"),IF(BA181&lt;=AZ181,"Sim","Não")))</f>
        <v>Sim</v>
      </c>
      <c r="BD181" s="3" t="n">
        <v>0.9</v>
      </c>
      <c r="BE181" s="3" t="n">
        <v>0.92</v>
      </c>
      <c r="BF181" s="4" t="n">
        <f aca="false">IF(OR(BD181="",BE181=""),"",IFERROR(IF($K181="%",BE181-BD181,BE181/BD181-1),""))</f>
        <v>0.02</v>
      </c>
      <c r="BG181" s="5" t="str">
        <f aca="false">IF(OR(BD181="",BE181=""),"",IF($F181="Maior Melhor",IF(BE181&gt;=BD181,"Sim","Não"),IF(BE181&lt;=BD181,"Sim","Não")))</f>
        <v>Sim</v>
      </c>
      <c r="BH181" s="3" t="n">
        <v>0.9</v>
      </c>
      <c r="BI181" s="3" t="n">
        <v>0.92</v>
      </c>
      <c r="BJ181" s="4" t="n">
        <f aca="false">IF(OR(BH181="",BI181=""),"",IFERROR(IF($K181="%",BI181-BH181,BI181/BH181-1),""))</f>
        <v>0.02</v>
      </c>
      <c r="BK181" s="5" t="str">
        <f aca="false">IF(OR(BH181="",BI181=""),"",IF($F181="Maior Melhor",IF(BI181&gt;=BH181,"Sim","Não"),IF(BI181&lt;=BH181,"Sim","Não")))</f>
        <v>Sim</v>
      </c>
      <c r="BL181" s="6"/>
      <c r="BM181" s="6"/>
      <c r="BN181" s="4" t="str">
        <f aca="false">IF(OR(BL181="",BM181=""),"",IFERROR(IF($K181="%",BM181-BL181,BM181/BL181-1),""))</f>
        <v/>
      </c>
      <c r="BO181" s="5" t="str">
        <f aca="false">IF(OR(BL181="",BM181=""),"",IF($F181="Maior Melhor",IF(BM181&gt;=BL181,"Sim","Não"),IF(BM181&lt;=BL181,"Sim","Não")))</f>
        <v/>
      </c>
      <c r="BP181" s="6"/>
      <c r="BQ181" s="6"/>
      <c r="BR181" s="4" t="str">
        <f aca="false">IF(OR(BP181="",BQ181=""),"",IFERROR(IF($K181="%",BQ181-BP181,BQ181/BP181-1),""))</f>
        <v/>
      </c>
      <c r="BS181" s="5" t="str">
        <f aca="false">IF(OR(BP181="",BQ181=""),"",IF($F181="Maior Melhor",IF(BQ181&gt;=BP181,"Sim","Não"),IF(BQ181&lt;=BP181,"Sim","Não")))</f>
        <v/>
      </c>
      <c r="BT181" s="6"/>
      <c r="BU181" s="6"/>
      <c r="BV181" s="4" t="str">
        <f aca="false">IF(OR(BT181="",BU181=""),"",IFERROR(IF($K181="%",BU181-BT181,BU181/BT181-1),""))</f>
        <v/>
      </c>
      <c r="BW181" s="5" t="str">
        <f aca="false">IF(OR(BT181="",BU181=""),"",IF($F181="Maior Melhor",IF(BU181&gt;=BT181,"Sim","Não"),IF(BU181&lt;=BT181,"Sim","Não")))</f>
        <v/>
      </c>
      <c r="BX181" s="6"/>
      <c r="BY181" s="6"/>
      <c r="BZ181" s="4" t="str">
        <f aca="false">IF(OR(BX181="",BY181=""),"",IFERROR(IF($K181="%",BY181-BX181,BY181/BX181-1),""))</f>
        <v/>
      </c>
      <c r="CA181" s="5" t="str">
        <f aca="false">IF(OR(BX181="",BY181=""),"",IF($F181="Maior Melhor",IF(BY181&gt;=BX181,"Sim","Não"),IF(BY181&lt;=BX181,"Sim","Não")))</f>
        <v/>
      </c>
      <c r="CB181" s="6"/>
      <c r="CC181" s="6"/>
      <c r="CD181" s="4" t="str">
        <f aca="false">IF(OR(CB181="",CC181=""),"",IFERROR(IF($K181="%",CC181-CB181,CC181/CB181-1),""))</f>
        <v/>
      </c>
      <c r="CE181" s="5" t="str">
        <f aca="false">IF(OR(CB181="",CC181=""),"",IF($F181="Maior Melhor",IF(CC181&gt;=CB181,"Sim","Não"),IF(CC181&lt;=CB181,"Sim","Não")))</f>
        <v/>
      </c>
      <c r="CF181" s="6"/>
      <c r="CG181" s="6"/>
      <c r="CH181" s="4" t="str">
        <f aca="false">IF(OR(CF181="",CG181=""),"",IFERROR(IF($K181="%",CG181-CF181,CG181/CF181-1),""))</f>
        <v/>
      </c>
      <c r="CI181" s="5" t="str">
        <f aca="false">IF(OR(CF181="",CG181=""),"",IF($F181="Maior Melhor",IF(CG181&gt;=CF181,"Sim","Não"),IF(CG181&lt;=CF181,"Sim","Não")))</f>
        <v/>
      </c>
      <c r="CJ181" s="6"/>
      <c r="CK181" s="6"/>
      <c r="CL181" s="4" t="str">
        <f aca="false">IF(OR(CJ181="",CK181=""),"",IFERROR(IF($K181="%",CK181-CJ181,CK181/CJ181-1),""))</f>
        <v/>
      </c>
      <c r="CM181" s="5" t="str">
        <f aca="false">IF(OR(CJ181="",CK181=""),"",IF($F181="Maior Melhor",IF(CK181&gt;=CJ181,"Sim","Não"),IF(CK181&lt;=CJ181,"Sim","Não")))</f>
        <v/>
      </c>
      <c r="CN181" s="6"/>
      <c r="CO181" s="6"/>
      <c r="CP181" s="4" t="str">
        <f aca="false">IF(OR(CN181="",CO181=""),"",IFERROR(IF($K181="%",CO181-CN181,CO181/CN181-1),""))</f>
        <v/>
      </c>
      <c r="CQ181" s="5" t="str">
        <f aca="false">IF(OR(CN181="",CO181=""),"",IF($F181="Maior Melhor",IF(CO181&gt;=CN181,"Sim","Não"),IF(CO181&lt;=CN181,"Sim","Não")))</f>
        <v/>
      </c>
      <c r="CR181" s="2" t="s">
        <v>105</v>
      </c>
    </row>
    <row r="182" customFormat="false" ht="15" hidden="false" customHeight="false" outlineLevel="0" collapsed="false">
      <c r="A182" s="2" t="s">
        <v>96</v>
      </c>
      <c r="B182" s="2" t="s">
        <v>97</v>
      </c>
      <c r="C182" s="2" t="s">
        <v>98</v>
      </c>
      <c r="D182" s="2" t="s">
        <v>176</v>
      </c>
      <c r="E182" s="2" t="str">
        <f aca="false">C182&amp;D182</f>
        <v>Gerência Centro OesteEGE</v>
      </c>
      <c r="F182" s="2" t="s">
        <v>100</v>
      </c>
      <c r="G182" s="2" t="s">
        <v>177</v>
      </c>
      <c r="H182" s="2" t="s">
        <v>102</v>
      </c>
      <c r="I182" s="2" t="s">
        <v>103</v>
      </c>
      <c r="J182" s="2" t="n">
        <v>1</v>
      </c>
      <c r="K182" s="2" t="s">
        <v>104</v>
      </c>
      <c r="L182" s="3"/>
      <c r="M182" s="3"/>
      <c r="N182" s="4" t="str">
        <f aca="false">IF(OR(L182="",M182=""),"",IFERROR(IF($K182="%",M182-L182,M182/L182-1),""))</f>
        <v/>
      </c>
      <c r="O182" s="5" t="str">
        <f aca="false">IF(OR(L182="",M182=""),"",IF($F182="Maior Melhor",IF(M182&gt;=L182,"Sim","Não"),IF(M182&lt;=L182,"Sim","Não")))</f>
        <v/>
      </c>
      <c r="P182" s="3"/>
      <c r="Q182" s="3"/>
      <c r="R182" s="4" t="str">
        <f aca="false">IF(OR(P182="",Q182=""),"",IFERROR(IF($K182="%",Q182-P182,Q182/P182-1),""))</f>
        <v/>
      </c>
      <c r="S182" s="5" t="str">
        <f aca="false">IF(OR(P182="",Q182=""),"",IF($F182="Maior Melhor",IF(Q182&gt;=P182,"Sim","Não"),IF(Q182&lt;=P182,"Sim","Não")))</f>
        <v/>
      </c>
      <c r="T182" s="3"/>
      <c r="U182" s="3"/>
      <c r="V182" s="4" t="str">
        <f aca="false">IF(OR(T182="",U182=""),"",IFERROR(IF($K182="%",U182-T182,U182/T182-1),""))</f>
        <v/>
      </c>
      <c r="W182" s="5" t="str">
        <f aca="false">IF(OR(T182="",U182=""),"",IF($F182="Maior Melhor",IF(U182&gt;=T182,"Sim","Não"),IF(U182&lt;=T182,"Sim","Não")))</f>
        <v/>
      </c>
      <c r="X182" s="3"/>
      <c r="Y182" s="3"/>
      <c r="Z182" s="4" t="str">
        <f aca="false">IF(OR(X182="",Y182=""),"",IFERROR(IF($K182="%",Y182-X182,Y182/X182-1),""))</f>
        <v/>
      </c>
      <c r="AA182" s="5" t="str">
        <f aca="false">IF(OR(X182="",Y182=""),"",IF($F182="Maior Melhor",IF(Y182&gt;=X182,"Sim","Não"),IF(Y182&lt;=X182,"Sim","Não")))</f>
        <v/>
      </c>
      <c r="AB182" s="3"/>
      <c r="AC182" s="3"/>
      <c r="AD182" s="4" t="str">
        <f aca="false">IF(OR(AB182="",AC182=""),"",IFERROR(IF($K182="%",AC182-AB182,AC182/AB182-1),""))</f>
        <v/>
      </c>
      <c r="AE182" s="5" t="str">
        <f aca="false">IF(OR(AB182="",AC182=""),"",IF($F182="Maior Melhor",IF(AC182&gt;=AB182,"Sim","Não"),IF(AC182&lt;=AB182,"Sim","Não")))</f>
        <v/>
      </c>
      <c r="AF182" s="3" t="n">
        <v>0.81</v>
      </c>
      <c r="AG182" s="3" t="n">
        <v>0.7228</v>
      </c>
      <c r="AH182" s="4" t="n">
        <f aca="false">IF(OR(AF182="",AG182=""),"",IFERROR(IF($K182="%",AG182-AF182,AG182/AF182-1),""))</f>
        <v>-0.0872000000000001</v>
      </c>
      <c r="AI182" s="5" t="str">
        <f aca="false">IF(OR(AF182="",AG182=""),"",IF($F182="Maior Melhor",IF(AG182&gt;=AF182,"Sim","Não"),IF(AG182&lt;=AF182,"Sim","Não")))</f>
        <v>Não</v>
      </c>
      <c r="AJ182" s="3" t="n">
        <v>0.81</v>
      </c>
      <c r="AK182" s="3" t="n">
        <v>0.638</v>
      </c>
      <c r="AL182" s="4" t="n">
        <f aca="false">IF(OR(AJ182="",AK182=""),"",IFERROR(IF($K182="%",AK182-AJ182,AK182/AJ182-1),""))</f>
        <v>-0.172</v>
      </c>
      <c r="AM182" s="5" t="str">
        <f aca="false">IF(OR(AJ182="",AK182=""),"",IF($F182="Maior Melhor",IF(AK182&gt;=AJ182,"Sim","Não"),IF(AK182&lt;=AJ182,"Sim","Não")))</f>
        <v>Não</v>
      </c>
      <c r="AN182" s="3" t="n">
        <v>0.81</v>
      </c>
      <c r="AO182" s="3" t="n">
        <v>0.72</v>
      </c>
      <c r="AP182" s="4" t="n">
        <f aca="false">IF(OR(AN182="",AO182=""),"",IFERROR(IF($K182="%",AO182-AN182,AO182/AN182-1),""))</f>
        <v>-0.0900000000000001</v>
      </c>
      <c r="AQ182" s="5" t="str">
        <f aca="false">IF(OR(AN182="",AO182=""),"",IF($F182="Maior Melhor",IF(AO182&gt;=AN182,"Sim","Não"),IF(AO182&lt;=AN182,"Sim","Não")))</f>
        <v>Não</v>
      </c>
      <c r="AR182" s="3" t="n">
        <v>0.81</v>
      </c>
      <c r="AS182" s="3" t="n">
        <v>0.72</v>
      </c>
      <c r="AT182" s="4" t="n">
        <f aca="false">IF(OR(AR182="",AS182=""),"",IFERROR(IF($K182="%",AS182-AR182,AS182/AR182-1),""))</f>
        <v>-0.0900000000000001</v>
      </c>
      <c r="AU182" s="5" t="str">
        <f aca="false">IF(OR(AR182="",AS182=""),"",IF($F182="Maior Melhor",IF(AS182&gt;=AR182,"Sim","Não"),IF(AS182&lt;=AR182,"Sim","Não")))</f>
        <v>Não</v>
      </c>
      <c r="AV182" s="3" t="n">
        <v>0.81</v>
      </c>
      <c r="AW182" s="3" t="n">
        <v>0.75</v>
      </c>
      <c r="AX182" s="4" t="n">
        <f aca="false">IF(OR(AV182="",AW182=""),"",IFERROR(IF($K182="%",AW182-AV182,AW182/AV182-1),""))</f>
        <v>-0.0600000000000001</v>
      </c>
      <c r="AY182" s="5" t="str">
        <f aca="false">IF(OR(AV182="",AW182=""),"",IF($F182="Maior Melhor",IF(AW182&gt;=AV182,"Sim","Não"),IF(AW182&lt;=AV182,"Sim","Não")))</f>
        <v>Não</v>
      </c>
      <c r="AZ182" s="3" t="n">
        <v>0.81</v>
      </c>
      <c r="BA182" s="3" t="n">
        <v>0.75</v>
      </c>
      <c r="BB182" s="4" t="n">
        <f aca="false">IF(OR(AZ182="",BA182=""),"",IFERROR(IF($K182="%",BA182-AZ182,BA182/AZ182-1),""))</f>
        <v>-0.0600000000000001</v>
      </c>
      <c r="BC182" s="5" t="str">
        <f aca="false">IF(OR(AZ182="",BA182=""),"",IF($F182="Maior Melhor",IF(BA182&gt;=AZ182,"Sim","Não"),IF(BA182&lt;=AZ182,"Sim","Não")))</f>
        <v>Não</v>
      </c>
      <c r="BD182" s="3" t="n">
        <v>0.81</v>
      </c>
      <c r="BE182" s="3" t="n">
        <v>0.79</v>
      </c>
      <c r="BF182" s="4" t="n">
        <f aca="false">IF(OR(BD182="",BE182=""),"",IFERROR(IF($K182="%",BE182-BD182,BE182/BD182-1),""))</f>
        <v>-0.02</v>
      </c>
      <c r="BG182" s="5" t="str">
        <f aca="false">IF(OR(BD182="",BE182=""),"",IF($F182="Maior Melhor",IF(BE182&gt;=BD182,"Sim","Não"),IF(BE182&lt;=BD182,"Sim","Não")))</f>
        <v>Não</v>
      </c>
      <c r="BH182" s="3" t="n">
        <v>0.81</v>
      </c>
      <c r="BI182" s="3" t="n">
        <v>0.79</v>
      </c>
      <c r="BJ182" s="4" t="n">
        <f aca="false">IF(OR(BH182="",BI182=""),"",IFERROR(IF($K182="%",BI182-BH182,BI182/BH182-1),""))</f>
        <v>-0.02</v>
      </c>
      <c r="BK182" s="5" t="str">
        <f aca="false">IF(OR(BH182="",BI182=""),"",IF($F182="Maior Melhor",IF(BI182&gt;=BH182,"Sim","Não"),IF(BI182&lt;=BH182,"Sim","Não")))</f>
        <v>Não</v>
      </c>
      <c r="BL182" s="6"/>
      <c r="BM182" s="6"/>
      <c r="BN182" s="4" t="str">
        <f aca="false">IF(OR(BL182="",BM182=""),"",IFERROR(IF($K182="%",BM182-BL182,BM182/BL182-1),""))</f>
        <v/>
      </c>
      <c r="BO182" s="5" t="str">
        <f aca="false">IF(OR(BL182="",BM182=""),"",IF($F182="Maior Melhor",IF(BM182&gt;=BL182,"Sim","Não"),IF(BM182&lt;=BL182,"Sim","Não")))</f>
        <v/>
      </c>
      <c r="BP182" s="6"/>
      <c r="BQ182" s="6"/>
      <c r="BR182" s="4" t="str">
        <f aca="false">IF(OR(BP182="",BQ182=""),"",IFERROR(IF($K182="%",BQ182-BP182,BQ182/BP182-1),""))</f>
        <v/>
      </c>
      <c r="BS182" s="5" t="str">
        <f aca="false">IF(OR(BP182="",BQ182=""),"",IF($F182="Maior Melhor",IF(BQ182&gt;=BP182,"Sim","Não"),IF(BQ182&lt;=BP182,"Sim","Não")))</f>
        <v/>
      </c>
      <c r="BT182" s="6"/>
      <c r="BU182" s="6"/>
      <c r="BV182" s="4" t="str">
        <f aca="false">IF(OR(BT182="",BU182=""),"",IFERROR(IF($K182="%",BU182-BT182,BU182/BT182-1),""))</f>
        <v/>
      </c>
      <c r="BW182" s="5" t="str">
        <f aca="false">IF(OR(BT182="",BU182=""),"",IF($F182="Maior Melhor",IF(BU182&gt;=BT182,"Sim","Não"),IF(BU182&lt;=BT182,"Sim","Não")))</f>
        <v/>
      </c>
      <c r="BX182" s="6"/>
      <c r="BY182" s="6"/>
      <c r="BZ182" s="4" t="str">
        <f aca="false">IF(OR(BX182="",BY182=""),"",IFERROR(IF($K182="%",BY182-BX182,BY182/BX182-1),""))</f>
        <v/>
      </c>
      <c r="CA182" s="5" t="str">
        <f aca="false">IF(OR(BX182="",BY182=""),"",IF($F182="Maior Melhor",IF(BY182&gt;=BX182,"Sim","Não"),IF(BY182&lt;=BX182,"Sim","Não")))</f>
        <v/>
      </c>
      <c r="CB182" s="6"/>
      <c r="CC182" s="6"/>
      <c r="CD182" s="4" t="str">
        <f aca="false">IF(OR(CB182="",CC182=""),"",IFERROR(IF($K182="%",CC182-CB182,CC182/CB182-1),""))</f>
        <v/>
      </c>
      <c r="CE182" s="5" t="str">
        <f aca="false">IF(OR(CB182="",CC182=""),"",IF($F182="Maior Melhor",IF(CC182&gt;=CB182,"Sim","Não"),IF(CC182&lt;=CB182,"Sim","Não")))</f>
        <v/>
      </c>
      <c r="CF182" s="6"/>
      <c r="CG182" s="6"/>
      <c r="CH182" s="4" t="str">
        <f aca="false">IF(OR(CF182="",CG182=""),"",IFERROR(IF($K182="%",CG182-CF182,CG182/CF182-1),""))</f>
        <v/>
      </c>
      <c r="CI182" s="5" t="str">
        <f aca="false">IF(OR(CF182="",CG182=""),"",IF($F182="Maior Melhor",IF(CG182&gt;=CF182,"Sim","Não"),IF(CG182&lt;=CF182,"Sim","Não")))</f>
        <v/>
      </c>
      <c r="CJ182" s="6"/>
      <c r="CK182" s="6"/>
      <c r="CL182" s="4" t="str">
        <f aca="false">IF(OR(CJ182="",CK182=""),"",IFERROR(IF($K182="%",CK182-CJ182,CK182/CJ182-1),""))</f>
        <v/>
      </c>
      <c r="CM182" s="5" t="str">
        <f aca="false">IF(OR(CJ182="",CK182=""),"",IF($F182="Maior Melhor",IF(CK182&gt;=CJ182,"Sim","Não"),IF(CK182&lt;=CJ182,"Sim","Não")))</f>
        <v/>
      </c>
      <c r="CN182" s="6"/>
      <c r="CO182" s="6"/>
      <c r="CP182" s="4" t="str">
        <f aca="false">IF(OR(CN182="",CO182=""),"",IFERROR(IF($K182="%",CO182-CN182,CO182/CN182-1),""))</f>
        <v/>
      </c>
      <c r="CQ182" s="5" t="str">
        <f aca="false">IF(OR(CN182="",CO182=""),"",IF($F182="Maior Melhor",IF(CO182&gt;=CN182,"Sim","Não"),IF(CO182&lt;=CN182,"Sim","Não")))</f>
        <v/>
      </c>
      <c r="CR182" s="2" t="s">
        <v>105</v>
      </c>
    </row>
    <row r="183" customFormat="false" ht="15" hidden="false" customHeight="false" outlineLevel="0" collapsed="false">
      <c r="A183" s="2" t="s">
        <v>96</v>
      </c>
      <c r="B183" s="2" t="s">
        <v>106</v>
      </c>
      <c r="C183" s="2" t="s">
        <v>107</v>
      </c>
      <c r="D183" s="2" t="s">
        <v>176</v>
      </c>
      <c r="E183" s="2" t="str">
        <f aca="false">C183&amp;D183</f>
        <v>Gerência OesteEGE</v>
      </c>
      <c r="F183" s="2" t="s">
        <v>100</v>
      </c>
      <c r="G183" s="2" t="s">
        <v>177</v>
      </c>
      <c r="H183" s="2" t="s">
        <v>102</v>
      </c>
      <c r="I183" s="2" t="s">
        <v>103</v>
      </c>
      <c r="J183" s="2" t="n">
        <v>1</v>
      </c>
      <c r="K183" s="2" t="s">
        <v>104</v>
      </c>
      <c r="L183" s="3"/>
      <c r="M183" s="3"/>
      <c r="N183" s="4" t="str">
        <f aca="false">IF(OR(L183="",M183=""),"",IFERROR(IF($K183="%",M183-L183,M183/L183-1),""))</f>
        <v/>
      </c>
      <c r="O183" s="5" t="str">
        <f aca="false">IF(OR(L183="",M183=""),"",IF($F183="Maior Melhor",IF(M183&gt;=L183,"Sim","Não"),IF(M183&lt;=L183,"Sim","Não")))</f>
        <v/>
      </c>
      <c r="P183" s="3"/>
      <c r="Q183" s="3"/>
      <c r="R183" s="4" t="str">
        <f aca="false">IF(OR(P183="",Q183=""),"",IFERROR(IF($K183="%",Q183-P183,Q183/P183-1),""))</f>
        <v/>
      </c>
      <c r="S183" s="5" t="str">
        <f aca="false">IF(OR(P183="",Q183=""),"",IF($F183="Maior Melhor",IF(Q183&gt;=P183,"Sim","Não"),IF(Q183&lt;=P183,"Sim","Não")))</f>
        <v/>
      </c>
      <c r="T183" s="3"/>
      <c r="U183" s="3"/>
      <c r="V183" s="4" t="str">
        <f aca="false">IF(OR(T183="",U183=""),"",IFERROR(IF($K183="%",U183-T183,U183/T183-1),""))</f>
        <v/>
      </c>
      <c r="W183" s="5" t="str">
        <f aca="false">IF(OR(T183="",U183=""),"",IF($F183="Maior Melhor",IF(U183&gt;=T183,"Sim","Não"),IF(U183&lt;=T183,"Sim","Não")))</f>
        <v/>
      </c>
      <c r="X183" s="3"/>
      <c r="Y183" s="3"/>
      <c r="Z183" s="4" t="str">
        <f aca="false">IF(OR(X183="",Y183=""),"",IFERROR(IF($K183="%",Y183-X183,Y183/X183-1),""))</f>
        <v/>
      </c>
      <c r="AA183" s="5" t="str">
        <f aca="false">IF(OR(X183="",Y183=""),"",IF($F183="Maior Melhor",IF(Y183&gt;=X183,"Sim","Não"),IF(Y183&lt;=X183,"Sim","Não")))</f>
        <v/>
      </c>
      <c r="AB183" s="3"/>
      <c r="AC183" s="3"/>
      <c r="AD183" s="4" t="str">
        <f aca="false">IF(OR(AB183="",AC183=""),"",IFERROR(IF($K183="%",AC183-AB183,AC183/AB183-1),""))</f>
        <v/>
      </c>
      <c r="AE183" s="5" t="str">
        <f aca="false">IF(OR(AB183="",AC183=""),"",IF($F183="Maior Melhor",IF(AC183&gt;=AB183,"Sim","Não"),IF(AC183&lt;=AB183,"Sim","Não")))</f>
        <v/>
      </c>
      <c r="AF183" s="3" t="n">
        <v>0.81</v>
      </c>
      <c r="AG183" s="3" t="n">
        <v>0.7487</v>
      </c>
      <c r="AH183" s="4" t="n">
        <f aca="false">IF(OR(AF183="",AG183=""),"",IFERROR(IF($K183="%",AG183-AF183,AG183/AF183-1),""))</f>
        <v>-0.0613</v>
      </c>
      <c r="AI183" s="5" t="str">
        <f aca="false">IF(OR(AF183="",AG183=""),"",IF($F183="Maior Melhor",IF(AG183&gt;=AF183,"Sim","Não"),IF(AG183&lt;=AF183,"Sim","Não")))</f>
        <v>Não</v>
      </c>
      <c r="AJ183" s="3" t="n">
        <v>0.81</v>
      </c>
      <c r="AK183" s="3" t="n">
        <v>0.6074</v>
      </c>
      <c r="AL183" s="4" t="n">
        <f aca="false">IF(OR(AJ183="",AK183=""),"",IFERROR(IF($K183="%",AK183-AJ183,AK183/AJ183-1),""))</f>
        <v>-0.2026</v>
      </c>
      <c r="AM183" s="5" t="str">
        <f aca="false">IF(OR(AJ183="",AK183=""),"",IF($F183="Maior Melhor",IF(AK183&gt;=AJ183,"Sim","Não"),IF(AK183&lt;=AJ183,"Sim","Não")))</f>
        <v>Não</v>
      </c>
      <c r="AN183" s="3" t="n">
        <v>0.81</v>
      </c>
      <c r="AO183" s="3" t="n">
        <v>0.8</v>
      </c>
      <c r="AP183" s="4" t="n">
        <f aca="false">IF(OR(AN183="",AO183=""),"",IFERROR(IF($K183="%",AO183-AN183,AO183/AN183-1),""))</f>
        <v>-0.01</v>
      </c>
      <c r="AQ183" s="5" t="str">
        <f aca="false">IF(OR(AN183="",AO183=""),"",IF($F183="Maior Melhor",IF(AO183&gt;=AN183,"Sim","Não"),IF(AO183&lt;=AN183,"Sim","Não")))</f>
        <v>Não</v>
      </c>
      <c r="AR183" s="3" t="n">
        <v>0.81</v>
      </c>
      <c r="AS183" s="3" t="n">
        <v>0.8</v>
      </c>
      <c r="AT183" s="4" t="n">
        <f aca="false">IF(OR(AR183="",AS183=""),"",IFERROR(IF($K183="%",AS183-AR183,AS183/AR183-1),""))</f>
        <v>-0.01</v>
      </c>
      <c r="AU183" s="5" t="str">
        <f aca="false">IF(OR(AR183="",AS183=""),"",IF($F183="Maior Melhor",IF(AS183&gt;=AR183,"Sim","Não"),IF(AS183&lt;=AR183,"Sim","Não")))</f>
        <v>Não</v>
      </c>
      <c r="AV183" s="3" t="n">
        <v>0.81</v>
      </c>
      <c r="AW183" s="3" t="n">
        <v>0.8</v>
      </c>
      <c r="AX183" s="4" t="n">
        <f aca="false">IF(OR(AV183="",AW183=""),"",IFERROR(IF($K183="%",AW183-AV183,AW183/AV183-1),""))</f>
        <v>-0.01</v>
      </c>
      <c r="AY183" s="5" t="str">
        <f aca="false">IF(OR(AV183="",AW183=""),"",IF($F183="Maior Melhor",IF(AW183&gt;=AV183,"Sim","Não"),IF(AW183&lt;=AV183,"Sim","Não")))</f>
        <v>Não</v>
      </c>
      <c r="AZ183" s="3" t="n">
        <v>0.81</v>
      </c>
      <c r="BA183" s="3" t="n">
        <v>0.8</v>
      </c>
      <c r="BB183" s="4" t="n">
        <f aca="false">IF(OR(AZ183="",BA183=""),"",IFERROR(IF($K183="%",BA183-AZ183,BA183/AZ183-1),""))</f>
        <v>-0.01</v>
      </c>
      <c r="BC183" s="5" t="str">
        <f aca="false">IF(OR(AZ183="",BA183=""),"",IF($F183="Maior Melhor",IF(BA183&gt;=AZ183,"Sim","Não"),IF(BA183&lt;=AZ183,"Sim","Não")))</f>
        <v>Não</v>
      </c>
      <c r="BD183" s="3" t="n">
        <v>0.81</v>
      </c>
      <c r="BE183" s="3" t="n">
        <v>0.8</v>
      </c>
      <c r="BF183" s="4" t="n">
        <f aca="false">IF(OR(BD183="",BE183=""),"",IFERROR(IF($K183="%",BE183-BD183,BE183/BD183-1),""))</f>
        <v>-0.01</v>
      </c>
      <c r="BG183" s="5" t="str">
        <f aca="false">IF(OR(BD183="",BE183=""),"",IF($F183="Maior Melhor",IF(BE183&gt;=BD183,"Sim","Não"),IF(BE183&lt;=BD183,"Sim","Não")))</f>
        <v>Não</v>
      </c>
      <c r="BH183" s="3" t="n">
        <v>0.81</v>
      </c>
      <c r="BI183" s="3" t="n">
        <v>0.8</v>
      </c>
      <c r="BJ183" s="4" t="n">
        <f aca="false">IF(OR(BH183="",BI183=""),"",IFERROR(IF($K183="%",BI183-BH183,BI183/BH183-1),""))</f>
        <v>-0.01</v>
      </c>
      <c r="BK183" s="5" t="str">
        <f aca="false">IF(OR(BH183="",BI183=""),"",IF($F183="Maior Melhor",IF(BI183&gt;=BH183,"Sim","Não"),IF(BI183&lt;=BH183,"Sim","Não")))</f>
        <v>Não</v>
      </c>
      <c r="BL183" s="6"/>
      <c r="BM183" s="6"/>
      <c r="BN183" s="4" t="str">
        <f aca="false">IF(OR(BL183="",BM183=""),"",IFERROR(IF($K183="%",BM183-BL183,BM183/BL183-1),""))</f>
        <v/>
      </c>
      <c r="BO183" s="5" t="str">
        <f aca="false">IF(OR(BL183="",BM183=""),"",IF($F183="Maior Melhor",IF(BM183&gt;=BL183,"Sim","Não"),IF(BM183&lt;=BL183,"Sim","Não")))</f>
        <v/>
      </c>
      <c r="BP183" s="6"/>
      <c r="BQ183" s="6"/>
      <c r="BR183" s="4" t="str">
        <f aca="false">IF(OR(BP183="",BQ183=""),"",IFERROR(IF($K183="%",BQ183-BP183,BQ183/BP183-1),""))</f>
        <v/>
      </c>
      <c r="BS183" s="5" t="str">
        <f aca="false">IF(OR(BP183="",BQ183=""),"",IF($F183="Maior Melhor",IF(BQ183&gt;=BP183,"Sim","Não"),IF(BQ183&lt;=BP183,"Sim","Não")))</f>
        <v/>
      </c>
      <c r="BT183" s="6"/>
      <c r="BU183" s="6"/>
      <c r="BV183" s="4" t="str">
        <f aca="false">IF(OR(BT183="",BU183=""),"",IFERROR(IF($K183="%",BU183-BT183,BU183/BT183-1),""))</f>
        <v/>
      </c>
      <c r="BW183" s="5" t="str">
        <f aca="false">IF(OR(BT183="",BU183=""),"",IF($F183="Maior Melhor",IF(BU183&gt;=BT183,"Sim","Não"),IF(BU183&lt;=BT183,"Sim","Não")))</f>
        <v/>
      </c>
      <c r="BX183" s="6"/>
      <c r="BY183" s="6"/>
      <c r="BZ183" s="4" t="str">
        <f aca="false">IF(OR(BX183="",BY183=""),"",IFERROR(IF($K183="%",BY183-BX183,BY183/BX183-1),""))</f>
        <v/>
      </c>
      <c r="CA183" s="5" t="str">
        <f aca="false">IF(OR(BX183="",BY183=""),"",IF($F183="Maior Melhor",IF(BY183&gt;=BX183,"Sim","Não"),IF(BY183&lt;=BX183,"Sim","Não")))</f>
        <v/>
      </c>
      <c r="CB183" s="6"/>
      <c r="CC183" s="6"/>
      <c r="CD183" s="4" t="str">
        <f aca="false">IF(OR(CB183="",CC183=""),"",IFERROR(IF($K183="%",CC183-CB183,CC183/CB183-1),""))</f>
        <v/>
      </c>
      <c r="CE183" s="5" t="str">
        <f aca="false">IF(OR(CB183="",CC183=""),"",IF($F183="Maior Melhor",IF(CC183&gt;=CB183,"Sim","Não"),IF(CC183&lt;=CB183,"Sim","Não")))</f>
        <v/>
      </c>
      <c r="CF183" s="6"/>
      <c r="CG183" s="6"/>
      <c r="CH183" s="4" t="str">
        <f aca="false">IF(OR(CF183="",CG183=""),"",IFERROR(IF($K183="%",CG183-CF183,CG183/CF183-1),""))</f>
        <v/>
      </c>
      <c r="CI183" s="5" t="str">
        <f aca="false">IF(OR(CF183="",CG183=""),"",IF($F183="Maior Melhor",IF(CG183&gt;=CF183,"Sim","Não"),IF(CG183&lt;=CF183,"Sim","Não")))</f>
        <v/>
      </c>
      <c r="CJ183" s="6"/>
      <c r="CK183" s="6"/>
      <c r="CL183" s="4" t="str">
        <f aca="false">IF(OR(CJ183="",CK183=""),"",IFERROR(IF($K183="%",CK183-CJ183,CK183/CJ183-1),""))</f>
        <v/>
      </c>
      <c r="CM183" s="5" t="str">
        <f aca="false">IF(OR(CJ183="",CK183=""),"",IF($F183="Maior Melhor",IF(CK183&gt;=CJ183,"Sim","Não"),IF(CK183&lt;=CJ183,"Sim","Não")))</f>
        <v/>
      </c>
      <c r="CN183" s="6"/>
      <c r="CO183" s="6"/>
      <c r="CP183" s="4" t="str">
        <f aca="false">IF(OR(CN183="",CO183=""),"",IFERROR(IF($K183="%",CO183-CN183,CO183/CN183-1),""))</f>
        <v/>
      </c>
      <c r="CQ183" s="5" t="str">
        <f aca="false">IF(OR(CN183="",CO183=""),"",IF($F183="Maior Melhor",IF(CO183&gt;=CN183,"Sim","Não"),IF(CO183&lt;=CN183,"Sim","Não")))</f>
        <v/>
      </c>
      <c r="CR183" s="2" t="s">
        <v>105</v>
      </c>
    </row>
    <row r="184" customFormat="false" ht="15" hidden="false" customHeight="false" outlineLevel="0" collapsed="false">
      <c r="A184" s="2" t="s">
        <v>96</v>
      </c>
      <c r="B184" s="2" t="s">
        <v>108</v>
      </c>
      <c r="C184" s="2" t="s">
        <v>109</v>
      </c>
      <c r="D184" s="2" t="s">
        <v>176</v>
      </c>
      <c r="E184" s="2" t="str">
        <f aca="false">C184&amp;D184</f>
        <v>Gerência SudoesteEGE</v>
      </c>
      <c r="F184" s="2" t="s">
        <v>100</v>
      </c>
      <c r="G184" s="2" t="s">
        <v>177</v>
      </c>
      <c r="H184" s="2" t="s">
        <v>102</v>
      </c>
      <c r="I184" s="2" t="s">
        <v>103</v>
      </c>
      <c r="J184" s="2" t="n">
        <v>1</v>
      </c>
      <c r="K184" s="2" t="s">
        <v>104</v>
      </c>
      <c r="L184" s="3"/>
      <c r="M184" s="3"/>
      <c r="N184" s="4" t="str">
        <f aca="false">IF(OR(L184="",M184=""),"",IFERROR(IF($K184="%",M184-L184,M184/L184-1),""))</f>
        <v/>
      </c>
      <c r="O184" s="5" t="str">
        <f aca="false">IF(OR(L184="",M184=""),"",IF($F184="Maior Melhor",IF(M184&gt;=L184,"Sim","Não"),IF(M184&lt;=L184,"Sim","Não")))</f>
        <v/>
      </c>
      <c r="P184" s="3"/>
      <c r="Q184" s="3"/>
      <c r="R184" s="4" t="str">
        <f aca="false">IF(OR(P184="",Q184=""),"",IFERROR(IF($K184="%",Q184-P184,Q184/P184-1),""))</f>
        <v/>
      </c>
      <c r="S184" s="5" t="str">
        <f aca="false">IF(OR(P184="",Q184=""),"",IF($F184="Maior Melhor",IF(Q184&gt;=P184,"Sim","Não"),IF(Q184&lt;=P184,"Sim","Não")))</f>
        <v/>
      </c>
      <c r="T184" s="3"/>
      <c r="U184" s="3"/>
      <c r="V184" s="4" t="str">
        <f aca="false">IF(OR(T184="",U184=""),"",IFERROR(IF($K184="%",U184-T184,U184/T184-1),""))</f>
        <v/>
      </c>
      <c r="W184" s="5" t="str">
        <f aca="false">IF(OR(T184="",U184=""),"",IF($F184="Maior Melhor",IF(U184&gt;=T184,"Sim","Não"),IF(U184&lt;=T184,"Sim","Não")))</f>
        <v/>
      </c>
      <c r="X184" s="3"/>
      <c r="Y184" s="3"/>
      <c r="Z184" s="4" t="str">
        <f aca="false">IF(OR(X184="",Y184=""),"",IFERROR(IF($K184="%",Y184-X184,Y184/X184-1),""))</f>
        <v/>
      </c>
      <c r="AA184" s="5" t="str">
        <f aca="false">IF(OR(X184="",Y184=""),"",IF($F184="Maior Melhor",IF(Y184&gt;=X184,"Sim","Não"),IF(Y184&lt;=X184,"Sim","Não")))</f>
        <v/>
      </c>
      <c r="AB184" s="3"/>
      <c r="AC184" s="3"/>
      <c r="AD184" s="4" t="str">
        <f aca="false">IF(OR(AB184="",AC184=""),"",IFERROR(IF($K184="%",AC184-AB184,AC184/AB184-1),""))</f>
        <v/>
      </c>
      <c r="AE184" s="5" t="str">
        <f aca="false">IF(OR(AB184="",AC184=""),"",IF($F184="Maior Melhor",IF(AC184&gt;=AB184,"Sim","Não"),IF(AC184&lt;=AB184,"Sim","Não")))</f>
        <v/>
      </c>
      <c r="AF184" s="3" t="n">
        <v>0.81</v>
      </c>
      <c r="AG184" s="3" t="n">
        <v>0.6733</v>
      </c>
      <c r="AH184" s="4" t="n">
        <f aca="false">IF(OR(AF184="",AG184=""),"",IFERROR(IF($K184="%",AG184-AF184,AG184/AF184-1),""))</f>
        <v>-0.1367</v>
      </c>
      <c r="AI184" s="5" t="str">
        <f aca="false">IF(OR(AF184="",AG184=""),"",IF($F184="Maior Melhor",IF(AG184&gt;=AF184,"Sim","Não"),IF(AG184&lt;=AF184,"Sim","Não")))</f>
        <v>Não</v>
      </c>
      <c r="AJ184" s="3" t="n">
        <v>0.81</v>
      </c>
      <c r="AK184" s="3" t="n">
        <v>0.6196</v>
      </c>
      <c r="AL184" s="4" t="n">
        <f aca="false">IF(OR(AJ184="",AK184=""),"",IFERROR(IF($K184="%",AK184-AJ184,AK184/AJ184-1),""))</f>
        <v>-0.1904</v>
      </c>
      <c r="AM184" s="5" t="str">
        <f aca="false">IF(OR(AJ184="",AK184=""),"",IF($F184="Maior Melhor",IF(AK184&gt;=AJ184,"Sim","Não"),IF(AK184&lt;=AJ184,"Sim","Não")))</f>
        <v>Não</v>
      </c>
      <c r="AN184" s="3" t="n">
        <v>0.81</v>
      </c>
      <c r="AO184" s="3" t="n">
        <v>0.73</v>
      </c>
      <c r="AP184" s="4" t="n">
        <f aca="false">IF(OR(AN184="",AO184=""),"",IFERROR(IF($K184="%",AO184-AN184,AO184/AN184-1),""))</f>
        <v>-0.0800000000000001</v>
      </c>
      <c r="AQ184" s="5" t="str">
        <f aca="false">IF(OR(AN184="",AO184=""),"",IF($F184="Maior Melhor",IF(AO184&gt;=AN184,"Sim","Não"),IF(AO184&lt;=AN184,"Sim","Não")))</f>
        <v>Não</v>
      </c>
      <c r="AR184" s="3" t="n">
        <v>0.81</v>
      </c>
      <c r="AS184" s="3" t="n">
        <v>0.73</v>
      </c>
      <c r="AT184" s="4" t="n">
        <f aca="false">IF(OR(AR184="",AS184=""),"",IFERROR(IF($K184="%",AS184-AR184,AS184/AR184-1),""))</f>
        <v>-0.0800000000000001</v>
      </c>
      <c r="AU184" s="5" t="str">
        <f aca="false">IF(OR(AR184="",AS184=""),"",IF($F184="Maior Melhor",IF(AS184&gt;=AR184,"Sim","Não"),IF(AS184&lt;=AR184,"Sim","Não")))</f>
        <v>Não</v>
      </c>
      <c r="AV184" s="3" t="n">
        <v>0.81</v>
      </c>
      <c r="AW184" s="3" t="n">
        <v>0.73</v>
      </c>
      <c r="AX184" s="4" t="n">
        <f aca="false">IF(OR(AV184="",AW184=""),"",IFERROR(IF($K184="%",AW184-AV184,AW184/AV184-1),""))</f>
        <v>-0.0800000000000001</v>
      </c>
      <c r="AY184" s="5" t="str">
        <f aca="false">IF(OR(AV184="",AW184=""),"",IF($F184="Maior Melhor",IF(AW184&gt;=AV184,"Sim","Não"),IF(AW184&lt;=AV184,"Sim","Não")))</f>
        <v>Não</v>
      </c>
      <c r="AZ184" s="3" t="n">
        <v>0.81</v>
      </c>
      <c r="BA184" s="3" t="n">
        <v>0.73</v>
      </c>
      <c r="BB184" s="4" t="n">
        <f aca="false">IF(OR(AZ184="",BA184=""),"",IFERROR(IF($K184="%",BA184-AZ184,BA184/AZ184-1),""))</f>
        <v>-0.0800000000000001</v>
      </c>
      <c r="BC184" s="5" t="str">
        <f aca="false">IF(OR(AZ184="",BA184=""),"",IF($F184="Maior Melhor",IF(BA184&gt;=AZ184,"Sim","Não"),IF(BA184&lt;=AZ184,"Sim","Não")))</f>
        <v>Não</v>
      </c>
      <c r="BD184" s="3" t="n">
        <v>0.81</v>
      </c>
      <c r="BE184" s="3" t="n">
        <v>0.75</v>
      </c>
      <c r="BF184" s="4" t="n">
        <f aca="false">IF(OR(BD184="",BE184=""),"",IFERROR(IF($K184="%",BE184-BD184,BE184/BD184-1),""))</f>
        <v>-0.0600000000000001</v>
      </c>
      <c r="BG184" s="5" t="str">
        <f aca="false">IF(OR(BD184="",BE184=""),"",IF($F184="Maior Melhor",IF(BE184&gt;=BD184,"Sim","Não"),IF(BE184&lt;=BD184,"Sim","Não")))</f>
        <v>Não</v>
      </c>
      <c r="BH184" s="3" t="n">
        <v>0.81</v>
      </c>
      <c r="BI184" s="3" t="n">
        <v>0.75</v>
      </c>
      <c r="BJ184" s="4" t="n">
        <f aca="false">IF(OR(BH184="",BI184=""),"",IFERROR(IF($K184="%",BI184-BH184,BI184/BH184-1),""))</f>
        <v>-0.0600000000000001</v>
      </c>
      <c r="BK184" s="5" t="str">
        <f aca="false">IF(OR(BH184="",BI184=""),"",IF($F184="Maior Melhor",IF(BI184&gt;=BH184,"Sim","Não"),IF(BI184&lt;=BH184,"Sim","Não")))</f>
        <v>Não</v>
      </c>
      <c r="BL184" s="6"/>
      <c r="BM184" s="6"/>
      <c r="BN184" s="4" t="str">
        <f aca="false">IF(OR(BL184="",BM184=""),"",IFERROR(IF($K184="%",BM184-BL184,BM184/BL184-1),""))</f>
        <v/>
      </c>
      <c r="BO184" s="5" t="str">
        <f aca="false">IF(OR(BL184="",BM184=""),"",IF($F184="Maior Melhor",IF(BM184&gt;=BL184,"Sim","Não"),IF(BM184&lt;=BL184,"Sim","Não")))</f>
        <v/>
      </c>
      <c r="BP184" s="6"/>
      <c r="BQ184" s="6"/>
      <c r="BR184" s="4" t="str">
        <f aca="false">IF(OR(BP184="",BQ184=""),"",IFERROR(IF($K184="%",BQ184-BP184,BQ184/BP184-1),""))</f>
        <v/>
      </c>
      <c r="BS184" s="5" t="str">
        <f aca="false">IF(OR(BP184="",BQ184=""),"",IF($F184="Maior Melhor",IF(BQ184&gt;=BP184,"Sim","Não"),IF(BQ184&lt;=BP184,"Sim","Não")))</f>
        <v/>
      </c>
      <c r="BT184" s="6"/>
      <c r="BU184" s="6"/>
      <c r="BV184" s="4" t="str">
        <f aca="false">IF(OR(BT184="",BU184=""),"",IFERROR(IF($K184="%",BU184-BT184,BU184/BT184-1),""))</f>
        <v/>
      </c>
      <c r="BW184" s="5" t="str">
        <f aca="false">IF(OR(BT184="",BU184=""),"",IF($F184="Maior Melhor",IF(BU184&gt;=BT184,"Sim","Não"),IF(BU184&lt;=BT184,"Sim","Não")))</f>
        <v/>
      </c>
      <c r="BX184" s="6"/>
      <c r="BY184" s="6"/>
      <c r="BZ184" s="4" t="str">
        <f aca="false">IF(OR(BX184="",BY184=""),"",IFERROR(IF($K184="%",BY184-BX184,BY184/BX184-1),""))</f>
        <v/>
      </c>
      <c r="CA184" s="5" t="str">
        <f aca="false">IF(OR(BX184="",BY184=""),"",IF($F184="Maior Melhor",IF(BY184&gt;=BX184,"Sim","Não"),IF(BY184&lt;=BX184,"Sim","Não")))</f>
        <v/>
      </c>
      <c r="CB184" s="6"/>
      <c r="CC184" s="6"/>
      <c r="CD184" s="4" t="str">
        <f aca="false">IF(OR(CB184="",CC184=""),"",IFERROR(IF($K184="%",CC184-CB184,CC184/CB184-1),""))</f>
        <v/>
      </c>
      <c r="CE184" s="5" t="str">
        <f aca="false">IF(OR(CB184="",CC184=""),"",IF($F184="Maior Melhor",IF(CC184&gt;=CB184,"Sim","Não"),IF(CC184&lt;=CB184,"Sim","Não")))</f>
        <v/>
      </c>
      <c r="CF184" s="6"/>
      <c r="CG184" s="6"/>
      <c r="CH184" s="4" t="str">
        <f aca="false">IF(OR(CF184="",CG184=""),"",IFERROR(IF($K184="%",CG184-CF184,CG184/CF184-1),""))</f>
        <v/>
      </c>
      <c r="CI184" s="5" t="str">
        <f aca="false">IF(OR(CF184="",CG184=""),"",IF($F184="Maior Melhor",IF(CG184&gt;=CF184,"Sim","Não"),IF(CG184&lt;=CF184,"Sim","Não")))</f>
        <v/>
      </c>
      <c r="CJ184" s="6"/>
      <c r="CK184" s="6"/>
      <c r="CL184" s="4" t="str">
        <f aca="false">IF(OR(CJ184="",CK184=""),"",IFERROR(IF($K184="%",CK184-CJ184,CK184/CJ184-1),""))</f>
        <v/>
      </c>
      <c r="CM184" s="5" t="str">
        <f aca="false">IF(OR(CJ184="",CK184=""),"",IF($F184="Maior Melhor",IF(CK184&gt;=CJ184,"Sim","Não"),IF(CK184&lt;=CJ184,"Sim","Não")))</f>
        <v/>
      </c>
      <c r="CN184" s="6"/>
      <c r="CO184" s="6"/>
      <c r="CP184" s="4" t="str">
        <f aca="false">IF(OR(CN184="",CO184=""),"",IFERROR(IF($K184="%",CO184-CN184,CO184/CN184-1),""))</f>
        <v/>
      </c>
      <c r="CQ184" s="5" t="str">
        <f aca="false">IF(OR(CN184="",CO184=""),"",IF($F184="Maior Melhor",IF(CO184&gt;=CN184,"Sim","Não"),IF(CO184&lt;=CN184,"Sim","Não")))</f>
        <v/>
      </c>
      <c r="CR184" s="2" t="s">
        <v>105</v>
      </c>
    </row>
    <row r="185" customFormat="false" ht="15" hidden="false" customHeight="false" outlineLevel="0" collapsed="false">
      <c r="A185" s="2" t="s">
        <v>96</v>
      </c>
      <c r="B185" s="2" t="s">
        <v>110</v>
      </c>
      <c r="C185" s="2" t="s">
        <v>110</v>
      </c>
      <c r="D185" s="2" t="s">
        <v>176</v>
      </c>
      <c r="E185" s="2" t="str">
        <f aca="false">C185&amp;D185</f>
        <v>Sup OesteEGE</v>
      </c>
      <c r="F185" s="2" t="s">
        <v>100</v>
      </c>
      <c r="G185" s="2" t="s">
        <v>177</v>
      </c>
      <c r="H185" s="2" t="s">
        <v>102</v>
      </c>
      <c r="I185" s="2" t="s">
        <v>103</v>
      </c>
      <c r="J185" s="2" t="n">
        <v>1</v>
      </c>
      <c r="K185" s="2" t="s">
        <v>104</v>
      </c>
      <c r="L185" s="3"/>
      <c r="M185" s="3"/>
      <c r="N185" s="4" t="str">
        <f aca="false">IF(OR(L185="",M185=""),"",IFERROR(IF($K185="%",M185-L185,M185/L185-1),""))</f>
        <v/>
      </c>
      <c r="O185" s="5" t="str">
        <f aca="false">IF(OR(L185="",M185=""),"",IF($F185="Maior Melhor",IF(M185&gt;=L185,"Sim","Não"),IF(M185&lt;=L185,"Sim","Não")))</f>
        <v/>
      </c>
      <c r="P185" s="3"/>
      <c r="Q185" s="3"/>
      <c r="R185" s="4" t="str">
        <f aca="false">IF(OR(P185="",Q185=""),"",IFERROR(IF($K185="%",Q185-P185,Q185/P185-1),""))</f>
        <v/>
      </c>
      <c r="S185" s="5" t="str">
        <f aca="false">IF(OR(P185="",Q185=""),"",IF($F185="Maior Melhor",IF(Q185&gt;=P185,"Sim","Não"),IF(Q185&lt;=P185,"Sim","Não")))</f>
        <v/>
      </c>
      <c r="T185" s="3"/>
      <c r="U185" s="3"/>
      <c r="V185" s="4" t="str">
        <f aca="false">IF(OR(T185="",U185=""),"",IFERROR(IF($K185="%",U185-T185,U185/T185-1),""))</f>
        <v/>
      </c>
      <c r="W185" s="5" t="str">
        <f aca="false">IF(OR(T185="",U185=""),"",IF($F185="Maior Melhor",IF(U185&gt;=T185,"Sim","Não"),IF(U185&lt;=T185,"Sim","Não")))</f>
        <v/>
      </c>
      <c r="X185" s="3"/>
      <c r="Y185" s="3"/>
      <c r="Z185" s="4" t="str">
        <f aca="false">IF(OR(X185="",Y185=""),"",IFERROR(IF($K185="%",Y185-X185,Y185/X185-1),""))</f>
        <v/>
      </c>
      <c r="AA185" s="5" t="str">
        <f aca="false">IF(OR(X185="",Y185=""),"",IF($F185="Maior Melhor",IF(Y185&gt;=X185,"Sim","Não"),IF(Y185&lt;=X185,"Sim","Não")))</f>
        <v/>
      </c>
      <c r="AB185" s="3"/>
      <c r="AC185" s="3"/>
      <c r="AD185" s="4" t="str">
        <f aca="false">IF(OR(AB185="",AC185=""),"",IFERROR(IF($K185="%",AC185-AB185,AC185/AB185-1),""))</f>
        <v/>
      </c>
      <c r="AE185" s="5" t="str">
        <f aca="false">IF(OR(AB185="",AC185=""),"",IF($F185="Maior Melhor",IF(AC185&gt;=AB185,"Sim","Não"),IF(AC185&lt;=AB185,"Sim","Não")))</f>
        <v/>
      </c>
      <c r="AF185" s="3" t="n">
        <v>0.81</v>
      </c>
      <c r="AG185" s="3" t="n">
        <v>0.7156</v>
      </c>
      <c r="AH185" s="4" t="n">
        <f aca="false">IF(OR(AF185="",AG185=""),"",IFERROR(IF($K185="%",AG185-AF185,AG185/AF185-1),""))</f>
        <v>-0.0944</v>
      </c>
      <c r="AI185" s="5" t="str">
        <f aca="false">IF(OR(AF185="",AG185=""),"",IF($F185="Maior Melhor",IF(AG185&gt;=AF185,"Sim","Não"),IF(AG185&lt;=AF185,"Sim","Não")))</f>
        <v>Não</v>
      </c>
      <c r="AJ185" s="3" t="n">
        <v>0.81</v>
      </c>
      <c r="AK185" s="3" t="n">
        <v>0.6219</v>
      </c>
      <c r="AL185" s="4" t="n">
        <f aca="false">IF(OR(AJ185="",AK185=""),"",IFERROR(IF($K185="%",AK185-AJ185,AK185/AJ185-1),""))</f>
        <v>-0.1881</v>
      </c>
      <c r="AM185" s="5" t="str">
        <f aca="false">IF(OR(AJ185="",AK185=""),"",IF($F185="Maior Melhor",IF(AK185&gt;=AJ185,"Sim","Não"),IF(AK185&lt;=AJ185,"Sim","Não")))</f>
        <v>Não</v>
      </c>
      <c r="AN185" s="3" t="n">
        <v>0.81</v>
      </c>
      <c r="AO185" s="3" t="n">
        <v>0.75</v>
      </c>
      <c r="AP185" s="4" t="n">
        <f aca="false">IF(OR(AN185="",AO185=""),"",IFERROR(IF($K185="%",AO185-AN185,AO185/AN185-1),""))</f>
        <v>-0.0600000000000001</v>
      </c>
      <c r="AQ185" s="5" t="str">
        <f aca="false">IF(OR(AN185="",AO185=""),"",IF($F185="Maior Melhor",IF(AO185&gt;=AN185,"Sim","Não"),IF(AO185&lt;=AN185,"Sim","Não")))</f>
        <v>Não</v>
      </c>
      <c r="AR185" s="3" t="n">
        <v>0.81</v>
      </c>
      <c r="AS185" s="3" t="n">
        <v>0.75</v>
      </c>
      <c r="AT185" s="4" t="n">
        <f aca="false">IF(OR(AR185="",AS185=""),"",IFERROR(IF($K185="%",AS185-AR185,AS185/AR185-1),""))</f>
        <v>-0.0600000000000001</v>
      </c>
      <c r="AU185" s="5" t="str">
        <f aca="false">IF(OR(AR185="",AS185=""),"",IF($F185="Maior Melhor",IF(AS185&gt;=AR185,"Sim","Não"),IF(AS185&lt;=AR185,"Sim","Não")))</f>
        <v>Não</v>
      </c>
      <c r="AV185" s="3" t="n">
        <v>0.81</v>
      </c>
      <c r="AW185" s="3" t="n">
        <v>0.76</v>
      </c>
      <c r="AX185" s="4" t="n">
        <f aca="false">IF(OR(AV185="",AW185=""),"",IFERROR(IF($K185="%",AW185-AV185,AW185/AV185-1),""))</f>
        <v>-0.05</v>
      </c>
      <c r="AY185" s="5" t="str">
        <f aca="false">IF(OR(AV185="",AW185=""),"",IF($F185="Maior Melhor",IF(AW185&gt;=AV185,"Sim","Não"),IF(AW185&lt;=AV185,"Sim","Não")))</f>
        <v>Não</v>
      </c>
      <c r="AZ185" s="3" t="n">
        <v>0.81</v>
      </c>
      <c r="BA185" s="3" t="n">
        <v>0.76</v>
      </c>
      <c r="BB185" s="4" t="n">
        <f aca="false">IF(OR(AZ185="",BA185=""),"",IFERROR(IF($K185="%",BA185-AZ185,BA185/AZ185-1),""))</f>
        <v>-0.05</v>
      </c>
      <c r="BC185" s="5" t="str">
        <f aca="false">IF(OR(AZ185="",BA185=""),"",IF($F185="Maior Melhor",IF(BA185&gt;=AZ185,"Sim","Não"),IF(BA185&lt;=AZ185,"Sim","Não")))</f>
        <v>Não</v>
      </c>
      <c r="BD185" s="3" t="n">
        <v>0.81</v>
      </c>
      <c r="BE185" s="3" t="n">
        <v>0.78</v>
      </c>
      <c r="BF185" s="4" t="n">
        <f aca="false">IF(OR(BD185="",BE185=""),"",IFERROR(IF($K185="%",BE185-BD185,BE185/BD185-1),""))</f>
        <v>-0.03</v>
      </c>
      <c r="BG185" s="5" t="str">
        <f aca="false">IF(OR(BD185="",BE185=""),"",IF($F185="Maior Melhor",IF(BE185&gt;=BD185,"Sim","Não"),IF(BE185&lt;=BD185,"Sim","Não")))</f>
        <v>Não</v>
      </c>
      <c r="BH185" s="3" t="n">
        <v>0.81</v>
      </c>
      <c r="BI185" s="3" t="n">
        <v>0.78</v>
      </c>
      <c r="BJ185" s="4" t="n">
        <f aca="false">IF(OR(BH185="",BI185=""),"",IFERROR(IF($K185="%",BI185-BH185,BI185/BH185-1),""))</f>
        <v>-0.03</v>
      </c>
      <c r="BK185" s="5" t="str">
        <f aca="false">IF(OR(BH185="",BI185=""),"",IF($F185="Maior Melhor",IF(BI185&gt;=BH185,"Sim","Não"),IF(BI185&lt;=BH185,"Sim","Não")))</f>
        <v>Não</v>
      </c>
      <c r="BL185" s="6"/>
      <c r="BM185" s="6"/>
      <c r="BN185" s="4" t="str">
        <f aca="false">IF(OR(BL185="",BM185=""),"",IFERROR(IF($K185="%",BM185-BL185,BM185/BL185-1),""))</f>
        <v/>
      </c>
      <c r="BO185" s="5" t="str">
        <f aca="false">IF(OR(BL185="",BM185=""),"",IF($F185="Maior Melhor",IF(BM185&gt;=BL185,"Sim","Não"),IF(BM185&lt;=BL185,"Sim","Não")))</f>
        <v/>
      </c>
      <c r="BP185" s="6"/>
      <c r="BQ185" s="6"/>
      <c r="BR185" s="4" t="str">
        <f aca="false">IF(OR(BP185="",BQ185=""),"",IFERROR(IF($K185="%",BQ185-BP185,BQ185/BP185-1),""))</f>
        <v/>
      </c>
      <c r="BS185" s="5" t="str">
        <f aca="false">IF(OR(BP185="",BQ185=""),"",IF($F185="Maior Melhor",IF(BQ185&gt;=BP185,"Sim","Não"),IF(BQ185&lt;=BP185,"Sim","Não")))</f>
        <v/>
      </c>
      <c r="BT185" s="6"/>
      <c r="BU185" s="6"/>
      <c r="BV185" s="4" t="str">
        <f aca="false">IF(OR(BT185="",BU185=""),"",IFERROR(IF($K185="%",BU185-BT185,BU185/BT185-1),""))</f>
        <v/>
      </c>
      <c r="BW185" s="5" t="str">
        <f aca="false">IF(OR(BT185="",BU185=""),"",IF($F185="Maior Melhor",IF(BU185&gt;=BT185,"Sim","Não"),IF(BU185&lt;=BT185,"Sim","Não")))</f>
        <v/>
      </c>
      <c r="BX185" s="6"/>
      <c r="BY185" s="6"/>
      <c r="BZ185" s="4" t="str">
        <f aca="false">IF(OR(BX185="",BY185=""),"",IFERROR(IF($K185="%",BY185-BX185,BY185/BX185-1),""))</f>
        <v/>
      </c>
      <c r="CA185" s="5" t="str">
        <f aca="false">IF(OR(BX185="",BY185=""),"",IF($F185="Maior Melhor",IF(BY185&gt;=BX185,"Sim","Não"),IF(BY185&lt;=BX185,"Sim","Não")))</f>
        <v/>
      </c>
      <c r="CB185" s="6"/>
      <c r="CC185" s="6"/>
      <c r="CD185" s="4" t="str">
        <f aca="false">IF(OR(CB185="",CC185=""),"",IFERROR(IF($K185="%",CC185-CB185,CC185/CB185-1),""))</f>
        <v/>
      </c>
      <c r="CE185" s="5" t="str">
        <f aca="false">IF(OR(CB185="",CC185=""),"",IF($F185="Maior Melhor",IF(CC185&gt;=CB185,"Sim","Não"),IF(CC185&lt;=CB185,"Sim","Não")))</f>
        <v/>
      </c>
      <c r="CF185" s="6"/>
      <c r="CG185" s="6"/>
      <c r="CH185" s="4" t="str">
        <f aca="false">IF(OR(CF185="",CG185=""),"",IFERROR(IF($K185="%",CG185-CF185,CG185/CF185-1),""))</f>
        <v/>
      </c>
      <c r="CI185" s="5" t="str">
        <f aca="false">IF(OR(CF185="",CG185=""),"",IF($F185="Maior Melhor",IF(CG185&gt;=CF185,"Sim","Não"),IF(CG185&lt;=CF185,"Sim","Não")))</f>
        <v/>
      </c>
      <c r="CJ185" s="6"/>
      <c r="CK185" s="6"/>
      <c r="CL185" s="4" t="str">
        <f aca="false">IF(OR(CJ185="",CK185=""),"",IFERROR(IF($K185="%",CK185-CJ185,CK185/CJ185-1),""))</f>
        <v/>
      </c>
      <c r="CM185" s="5" t="str">
        <f aca="false">IF(OR(CJ185="",CK185=""),"",IF($F185="Maior Melhor",IF(CK185&gt;=CJ185,"Sim","Não"),IF(CK185&lt;=CJ185,"Sim","Não")))</f>
        <v/>
      </c>
      <c r="CN185" s="6"/>
      <c r="CO185" s="6"/>
      <c r="CP185" s="4" t="str">
        <f aca="false">IF(OR(CN185="",CO185=""),"",IFERROR(IF($K185="%",CO185-CN185,CO185/CN185-1),""))</f>
        <v/>
      </c>
      <c r="CQ185" s="5" t="str">
        <f aca="false">IF(OR(CN185="",CO185=""),"",IF($F185="Maior Melhor",IF(CO185&gt;=CN185,"Sim","Não"),IF(CO185&lt;=CN185,"Sim","Não")))</f>
        <v/>
      </c>
      <c r="CR185" s="2" t="s">
        <v>105</v>
      </c>
    </row>
    <row r="186" customFormat="false" ht="15" hidden="false" customHeight="false" outlineLevel="0" collapsed="false">
      <c r="A186" s="2" t="s">
        <v>96</v>
      </c>
      <c r="B186" s="2" t="s">
        <v>106</v>
      </c>
      <c r="C186" s="2" t="s">
        <v>111</v>
      </c>
      <c r="D186" s="2" t="s">
        <v>176</v>
      </c>
      <c r="E186" s="2" t="str">
        <f aca="false">C186&amp;D186</f>
        <v>UTD BARREIRASEGE</v>
      </c>
      <c r="F186" s="2" t="s">
        <v>100</v>
      </c>
      <c r="G186" s="2" t="s">
        <v>177</v>
      </c>
      <c r="H186" s="2" t="s">
        <v>102</v>
      </c>
      <c r="I186" s="2" t="s">
        <v>103</v>
      </c>
      <c r="J186" s="2" t="n">
        <v>1</v>
      </c>
      <c r="K186" s="2" t="s">
        <v>104</v>
      </c>
      <c r="L186" s="3"/>
      <c r="M186" s="3"/>
      <c r="N186" s="4" t="str">
        <f aca="false">IF(OR(L186="",M186=""),"",IFERROR(IF($K186="%",M186-L186,M186/L186-1),""))</f>
        <v/>
      </c>
      <c r="O186" s="5" t="str">
        <f aca="false">IF(OR(L186="",M186=""),"",IF($F186="Maior Melhor",IF(M186&gt;=L186,"Sim","Não"),IF(M186&lt;=L186,"Sim","Não")))</f>
        <v/>
      </c>
      <c r="P186" s="3"/>
      <c r="Q186" s="3"/>
      <c r="R186" s="4" t="str">
        <f aca="false">IF(OR(P186="",Q186=""),"",IFERROR(IF($K186="%",Q186-P186,Q186/P186-1),""))</f>
        <v/>
      </c>
      <c r="S186" s="5" t="str">
        <f aca="false">IF(OR(P186="",Q186=""),"",IF($F186="Maior Melhor",IF(Q186&gt;=P186,"Sim","Não"),IF(Q186&lt;=P186,"Sim","Não")))</f>
        <v/>
      </c>
      <c r="T186" s="3"/>
      <c r="U186" s="3"/>
      <c r="V186" s="4" t="str">
        <f aca="false">IF(OR(T186="",U186=""),"",IFERROR(IF($K186="%",U186-T186,U186/T186-1),""))</f>
        <v/>
      </c>
      <c r="W186" s="5" t="str">
        <f aca="false">IF(OR(T186="",U186=""),"",IF($F186="Maior Melhor",IF(U186&gt;=T186,"Sim","Não"),IF(U186&lt;=T186,"Sim","Não")))</f>
        <v/>
      </c>
      <c r="X186" s="3"/>
      <c r="Y186" s="3"/>
      <c r="Z186" s="4" t="str">
        <f aca="false">IF(OR(X186="",Y186=""),"",IFERROR(IF($K186="%",Y186-X186,Y186/X186-1),""))</f>
        <v/>
      </c>
      <c r="AA186" s="5" t="str">
        <f aca="false">IF(OR(X186="",Y186=""),"",IF($F186="Maior Melhor",IF(Y186&gt;=X186,"Sim","Não"),IF(Y186&lt;=X186,"Sim","Não")))</f>
        <v/>
      </c>
      <c r="AB186" s="3"/>
      <c r="AC186" s="3"/>
      <c r="AD186" s="4" t="str">
        <f aca="false">IF(OR(AB186="",AC186=""),"",IFERROR(IF($K186="%",AC186-AB186,AC186/AB186-1),""))</f>
        <v/>
      </c>
      <c r="AE186" s="5" t="str">
        <f aca="false">IF(OR(AB186="",AC186=""),"",IF($F186="Maior Melhor",IF(AC186&gt;=AB186,"Sim","Não"),IF(AC186&lt;=AB186,"Sim","Não")))</f>
        <v/>
      </c>
      <c r="AF186" s="3" t="n">
        <v>0.81</v>
      </c>
      <c r="AG186" s="3" t="n">
        <v>0.725</v>
      </c>
      <c r="AH186" s="4" t="n">
        <f aca="false">IF(OR(AF186="",AG186=""),"",IFERROR(IF($K186="%",AG186-AF186,AG186/AF186-1),""))</f>
        <v>-0.0850000000000001</v>
      </c>
      <c r="AI186" s="5" t="str">
        <f aca="false">IF(OR(AF186="",AG186=""),"",IF($F186="Maior Melhor",IF(AG186&gt;=AF186,"Sim","Não"),IF(AG186&lt;=AF186,"Sim","Não")))</f>
        <v>Não</v>
      </c>
      <c r="AJ186" s="3" t="n">
        <v>0.81</v>
      </c>
      <c r="AK186" s="3" t="n">
        <v>0.6294</v>
      </c>
      <c r="AL186" s="4" t="n">
        <f aca="false">IF(OR(AJ186="",AK186=""),"",IFERROR(IF($K186="%",AK186-AJ186,AK186/AJ186-1),""))</f>
        <v>-0.1806</v>
      </c>
      <c r="AM186" s="5" t="str">
        <f aca="false">IF(OR(AJ186="",AK186=""),"",IF($F186="Maior Melhor",IF(AK186&gt;=AJ186,"Sim","Não"),IF(AK186&lt;=AJ186,"Sim","Não")))</f>
        <v>Não</v>
      </c>
      <c r="AN186" s="3" t="n">
        <v>0.81</v>
      </c>
      <c r="AO186" s="3" t="n">
        <v>0.8</v>
      </c>
      <c r="AP186" s="4" t="n">
        <f aca="false">IF(OR(AN186="",AO186=""),"",IFERROR(IF($K186="%",AO186-AN186,AO186/AN186-1),""))</f>
        <v>-0.01</v>
      </c>
      <c r="AQ186" s="5" t="str">
        <f aca="false">IF(OR(AN186="",AO186=""),"",IF($F186="Maior Melhor",IF(AO186&gt;=AN186,"Sim","Não"),IF(AO186&lt;=AN186,"Sim","Não")))</f>
        <v>Não</v>
      </c>
      <c r="AR186" s="3" t="n">
        <v>0.81</v>
      </c>
      <c r="AS186" s="3" t="n">
        <v>0.8</v>
      </c>
      <c r="AT186" s="4" t="n">
        <f aca="false">IF(OR(AR186="",AS186=""),"",IFERROR(IF($K186="%",AS186-AR186,AS186/AR186-1),""))</f>
        <v>-0.01</v>
      </c>
      <c r="AU186" s="5" t="str">
        <f aca="false">IF(OR(AR186="",AS186=""),"",IF($F186="Maior Melhor",IF(AS186&gt;=AR186,"Sim","Não"),IF(AS186&lt;=AR186,"Sim","Não")))</f>
        <v>Não</v>
      </c>
      <c r="AV186" s="3" t="n">
        <v>0.81</v>
      </c>
      <c r="AW186" s="3" t="n">
        <v>0.76</v>
      </c>
      <c r="AX186" s="4" t="n">
        <f aca="false">IF(OR(AV186="",AW186=""),"",IFERROR(IF($K186="%",AW186-AV186,AW186/AV186-1),""))</f>
        <v>-0.05</v>
      </c>
      <c r="AY186" s="5" t="str">
        <f aca="false">IF(OR(AV186="",AW186=""),"",IF($F186="Maior Melhor",IF(AW186&gt;=AV186,"Sim","Não"),IF(AW186&lt;=AV186,"Sim","Não")))</f>
        <v>Não</v>
      </c>
      <c r="AZ186" s="3" t="n">
        <v>0.81</v>
      </c>
      <c r="BA186" s="3" t="n">
        <v>0.76</v>
      </c>
      <c r="BB186" s="4" t="n">
        <f aca="false">IF(OR(AZ186="",BA186=""),"",IFERROR(IF($K186="%",BA186-AZ186,BA186/AZ186-1),""))</f>
        <v>-0.05</v>
      </c>
      <c r="BC186" s="5" t="str">
        <f aca="false">IF(OR(AZ186="",BA186=""),"",IF($F186="Maior Melhor",IF(BA186&gt;=AZ186,"Sim","Não"),IF(BA186&lt;=AZ186,"Sim","Não")))</f>
        <v>Não</v>
      </c>
      <c r="BD186" s="3" t="n">
        <v>0.81</v>
      </c>
      <c r="BE186" s="3" t="n">
        <v>0.77</v>
      </c>
      <c r="BF186" s="4" t="n">
        <f aca="false">IF(OR(BD186="",BE186=""),"",IFERROR(IF($K186="%",BE186-BD186,BE186/BD186-1),""))</f>
        <v>-0.04</v>
      </c>
      <c r="BG186" s="5" t="str">
        <f aca="false">IF(OR(BD186="",BE186=""),"",IF($F186="Maior Melhor",IF(BE186&gt;=BD186,"Sim","Não"),IF(BE186&lt;=BD186,"Sim","Não")))</f>
        <v>Não</v>
      </c>
      <c r="BH186" s="3" t="n">
        <v>0.81</v>
      </c>
      <c r="BI186" s="3" t="n">
        <v>0.77</v>
      </c>
      <c r="BJ186" s="4" t="n">
        <f aca="false">IF(OR(BH186="",BI186=""),"",IFERROR(IF($K186="%",BI186-BH186,BI186/BH186-1),""))</f>
        <v>-0.04</v>
      </c>
      <c r="BK186" s="5" t="str">
        <f aca="false">IF(OR(BH186="",BI186=""),"",IF($F186="Maior Melhor",IF(BI186&gt;=BH186,"Sim","Não"),IF(BI186&lt;=BH186,"Sim","Não")))</f>
        <v>Não</v>
      </c>
      <c r="BL186" s="6"/>
      <c r="BM186" s="6"/>
      <c r="BN186" s="4" t="str">
        <f aca="false">IF(OR(BL186="",BM186=""),"",IFERROR(IF($K186="%",BM186-BL186,BM186/BL186-1),""))</f>
        <v/>
      </c>
      <c r="BO186" s="5" t="str">
        <f aca="false">IF(OR(BL186="",BM186=""),"",IF($F186="Maior Melhor",IF(BM186&gt;=BL186,"Sim","Não"),IF(BM186&lt;=BL186,"Sim","Não")))</f>
        <v/>
      </c>
      <c r="BP186" s="6"/>
      <c r="BQ186" s="6"/>
      <c r="BR186" s="4" t="str">
        <f aca="false">IF(OR(BP186="",BQ186=""),"",IFERROR(IF($K186="%",BQ186-BP186,BQ186/BP186-1),""))</f>
        <v/>
      </c>
      <c r="BS186" s="5" t="str">
        <f aca="false">IF(OR(BP186="",BQ186=""),"",IF($F186="Maior Melhor",IF(BQ186&gt;=BP186,"Sim","Não"),IF(BQ186&lt;=BP186,"Sim","Não")))</f>
        <v/>
      </c>
      <c r="BT186" s="6"/>
      <c r="BU186" s="6"/>
      <c r="BV186" s="4" t="str">
        <f aca="false">IF(OR(BT186="",BU186=""),"",IFERROR(IF($K186="%",BU186-BT186,BU186/BT186-1),""))</f>
        <v/>
      </c>
      <c r="BW186" s="5" t="str">
        <f aca="false">IF(OR(BT186="",BU186=""),"",IF($F186="Maior Melhor",IF(BU186&gt;=BT186,"Sim","Não"),IF(BU186&lt;=BT186,"Sim","Não")))</f>
        <v/>
      </c>
      <c r="BX186" s="6"/>
      <c r="BY186" s="6"/>
      <c r="BZ186" s="4" t="str">
        <f aca="false">IF(OR(BX186="",BY186=""),"",IFERROR(IF($K186="%",BY186-BX186,BY186/BX186-1),""))</f>
        <v/>
      </c>
      <c r="CA186" s="5" t="str">
        <f aca="false">IF(OR(BX186="",BY186=""),"",IF($F186="Maior Melhor",IF(BY186&gt;=BX186,"Sim","Não"),IF(BY186&lt;=BX186,"Sim","Não")))</f>
        <v/>
      </c>
      <c r="CB186" s="6"/>
      <c r="CC186" s="6"/>
      <c r="CD186" s="4" t="str">
        <f aca="false">IF(OR(CB186="",CC186=""),"",IFERROR(IF($K186="%",CC186-CB186,CC186/CB186-1),""))</f>
        <v/>
      </c>
      <c r="CE186" s="5" t="str">
        <f aca="false">IF(OR(CB186="",CC186=""),"",IF($F186="Maior Melhor",IF(CC186&gt;=CB186,"Sim","Não"),IF(CC186&lt;=CB186,"Sim","Não")))</f>
        <v/>
      </c>
      <c r="CF186" s="6"/>
      <c r="CG186" s="6"/>
      <c r="CH186" s="4" t="str">
        <f aca="false">IF(OR(CF186="",CG186=""),"",IFERROR(IF($K186="%",CG186-CF186,CG186/CF186-1),""))</f>
        <v/>
      </c>
      <c r="CI186" s="5" t="str">
        <f aca="false">IF(OR(CF186="",CG186=""),"",IF($F186="Maior Melhor",IF(CG186&gt;=CF186,"Sim","Não"),IF(CG186&lt;=CF186,"Sim","Não")))</f>
        <v/>
      </c>
      <c r="CJ186" s="6"/>
      <c r="CK186" s="6"/>
      <c r="CL186" s="4" t="str">
        <f aca="false">IF(OR(CJ186="",CK186=""),"",IFERROR(IF($K186="%",CK186-CJ186,CK186/CJ186-1),""))</f>
        <v/>
      </c>
      <c r="CM186" s="5" t="str">
        <f aca="false">IF(OR(CJ186="",CK186=""),"",IF($F186="Maior Melhor",IF(CK186&gt;=CJ186,"Sim","Não"),IF(CK186&lt;=CJ186,"Sim","Não")))</f>
        <v/>
      </c>
      <c r="CN186" s="6"/>
      <c r="CO186" s="6"/>
      <c r="CP186" s="4" t="str">
        <f aca="false">IF(OR(CN186="",CO186=""),"",IFERROR(IF($K186="%",CO186-CN186,CO186/CN186-1),""))</f>
        <v/>
      </c>
      <c r="CQ186" s="5" t="str">
        <f aca="false">IF(OR(CN186="",CO186=""),"",IF($F186="Maior Melhor",IF(CO186&gt;=CN186,"Sim","Não"),IF(CO186&lt;=CN186,"Sim","Não")))</f>
        <v/>
      </c>
      <c r="CR186" s="2" t="s">
        <v>148</v>
      </c>
    </row>
    <row r="187" customFormat="false" ht="15" hidden="false" customHeight="false" outlineLevel="0" collapsed="false">
      <c r="A187" s="2" t="s">
        <v>96</v>
      </c>
      <c r="B187" s="2" t="s">
        <v>106</v>
      </c>
      <c r="C187" s="2" t="s">
        <v>113</v>
      </c>
      <c r="D187" s="2" t="s">
        <v>176</v>
      </c>
      <c r="E187" s="2" t="str">
        <f aca="false">C187&amp;D187</f>
        <v>UTD BOM JESUS DA LAPAEGE</v>
      </c>
      <c r="F187" s="2" t="s">
        <v>100</v>
      </c>
      <c r="G187" s="2" t="s">
        <v>177</v>
      </c>
      <c r="H187" s="2" t="s">
        <v>102</v>
      </c>
      <c r="I187" s="2" t="s">
        <v>103</v>
      </c>
      <c r="J187" s="2" t="n">
        <v>1</v>
      </c>
      <c r="K187" s="2" t="s">
        <v>104</v>
      </c>
      <c r="L187" s="3"/>
      <c r="M187" s="3"/>
      <c r="N187" s="4" t="str">
        <f aca="false">IF(OR(L187="",M187=""),"",IFERROR(IF($K187="%",M187-L187,M187/L187-1),""))</f>
        <v/>
      </c>
      <c r="O187" s="5" t="str">
        <f aca="false">IF(OR(L187="",M187=""),"",IF($F187="Maior Melhor",IF(M187&gt;=L187,"Sim","Não"),IF(M187&lt;=L187,"Sim","Não")))</f>
        <v/>
      </c>
      <c r="P187" s="3"/>
      <c r="Q187" s="3"/>
      <c r="R187" s="4" t="str">
        <f aca="false">IF(OR(P187="",Q187=""),"",IFERROR(IF($K187="%",Q187-P187,Q187/P187-1),""))</f>
        <v/>
      </c>
      <c r="S187" s="5" t="str">
        <f aca="false">IF(OR(P187="",Q187=""),"",IF($F187="Maior Melhor",IF(Q187&gt;=P187,"Sim","Não"),IF(Q187&lt;=P187,"Sim","Não")))</f>
        <v/>
      </c>
      <c r="T187" s="3"/>
      <c r="U187" s="3"/>
      <c r="V187" s="4" t="str">
        <f aca="false">IF(OR(T187="",U187=""),"",IFERROR(IF($K187="%",U187-T187,U187/T187-1),""))</f>
        <v/>
      </c>
      <c r="W187" s="5" t="str">
        <f aca="false">IF(OR(T187="",U187=""),"",IF($F187="Maior Melhor",IF(U187&gt;=T187,"Sim","Não"),IF(U187&lt;=T187,"Sim","Não")))</f>
        <v/>
      </c>
      <c r="X187" s="3"/>
      <c r="Y187" s="3"/>
      <c r="Z187" s="4" t="str">
        <f aca="false">IF(OR(X187="",Y187=""),"",IFERROR(IF($K187="%",Y187-X187,Y187/X187-1),""))</f>
        <v/>
      </c>
      <c r="AA187" s="5" t="str">
        <f aca="false">IF(OR(X187="",Y187=""),"",IF($F187="Maior Melhor",IF(Y187&gt;=X187,"Sim","Não"),IF(Y187&lt;=X187,"Sim","Não")))</f>
        <v/>
      </c>
      <c r="AB187" s="3"/>
      <c r="AC187" s="3"/>
      <c r="AD187" s="4" t="str">
        <f aca="false">IF(OR(AB187="",AC187=""),"",IFERROR(IF($K187="%",AC187-AB187,AC187/AB187-1),""))</f>
        <v/>
      </c>
      <c r="AE187" s="5" t="str">
        <f aca="false">IF(OR(AB187="",AC187=""),"",IF($F187="Maior Melhor",IF(AC187&gt;=AB187,"Sim","Não"),IF(AC187&lt;=AB187,"Sim","Não")))</f>
        <v/>
      </c>
      <c r="AF187" s="3" t="n">
        <v>0.81</v>
      </c>
      <c r="AG187" s="3" t="n">
        <v>0.7346</v>
      </c>
      <c r="AH187" s="4" t="n">
        <f aca="false">IF(OR(AF187="",AG187=""),"",IFERROR(IF($K187="%",AG187-AF187,AG187/AF187-1),""))</f>
        <v>-0.0754</v>
      </c>
      <c r="AI187" s="5" t="str">
        <f aca="false">IF(OR(AF187="",AG187=""),"",IF($F187="Maior Melhor",IF(AG187&gt;=AF187,"Sim","Não"),IF(AG187&lt;=AF187,"Sim","Não")))</f>
        <v>Não</v>
      </c>
      <c r="AJ187" s="3" t="n">
        <v>0.81</v>
      </c>
      <c r="AK187" s="3" t="n">
        <v>0.6</v>
      </c>
      <c r="AL187" s="4" t="n">
        <f aca="false">IF(OR(AJ187="",AK187=""),"",IFERROR(IF($K187="%",AK187-AJ187,AK187/AJ187-1),""))</f>
        <v>-0.21</v>
      </c>
      <c r="AM187" s="5" t="str">
        <f aca="false">IF(OR(AJ187="",AK187=""),"",IF($F187="Maior Melhor",IF(AK187&gt;=AJ187,"Sim","Não"),IF(AK187&lt;=AJ187,"Sim","Não")))</f>
        <v>Não</v>
      </c>
      <c r="AN187" s="3" t="n">
        <v>0.81</v>
      </c>
      <c r="AO187" s="3" t="n">
        <v>0.81</v>
      </c>
      <c r="AP187" s="4" t="n">
        <f aca="false">IF(OR(AN187="",AO187=""),"",IFERROR(IF($K187="%",AO187-AN187,AO187/AN187-1),""))</f>
        <v>0</v>
      </c>
      <c r="AQ187" s="5" t="str">
        <f aca="false">IF(OR(AN187="",AO187=""),"",IF($F187="Maior Melhor",IF(AO187&gt;=AN187,"Sim","Não"),IF(AO187&lt;=AN187,"Sim","Não")))</f>
        <v>Sim</v>
      </c>
      <c r="AR187" s="3" t="n">
        <v>0.81</v>
      </c>
      <c r="AS187" s="3" t="n">
        <v>0.81</v>
      </c>
      <c r="AT187" s="4" t="n">
        <f aca="false">IF(OR(AR187="",AS187=""),"",IFERROR(IF($K187="%",AS187-AR187,AS187/AR187-1),""))</f>
        <v>0</v>
      </c>
      <c r="AU187" s="5" t="str">
        <f aca="false">IF(OR(AR187="",AS187=""),"",IF($F187="Maior Melhor",IF(AS187&gt;=AR187,"Sim","Não"),IF(AS187&lt;=AR187,"Sim","Não")))</f>
        <v>Sim</v>
      </c>
      <c r="AV187" s="3" t="n">
        <v>0.81</v>
      </c>
      <c r="AW187" s="3" t="n">
        <v>0.85</v>
      </c>
      <c r="AX187" s="4" t="n">
        <f aca="false">IF(OR(AV187="",AW187=""),"",IFERROR(IF($K187="%",AW187-AV187,AW187/AV187-1),""))</f>
        <v>0.0399999999999999</v>
      </c>
      <c r="AY187" s="5" t="str">
        <f aca="false">IF(OR(AV187="",AW187=""),"",IF($F187="Maior Melhor",IF(AW187&gt;=AV187,"Sim","Não"),IF(AW187&lt;=AV187,"Sim","Não")))</f>
        <v>Sim</v>
      </c>
      <c r="AZ187" s="3" t="n">
        <v>0.81</v>
      </c>
      <c r="BA187" s="3" t="n">
        <v>0.85</v>
      </c>
      <c r="BB187" s="4" t="n">
        <f aca="false">IF(OR(AZ187="",BA187=""),"",IFERROR(IF($K187="%",BA187-AZ187,BA187/AZ187-1),""))</f>
        <v>0.0399999999999999</v>
      </c>
      <c r="BC187" s="5" t="str">
        <f aca="false">IF(OR(AZ187="",BA187=""),"",IF($F187="Maior Melhor",IF(BA187&gt;=AZ187,"Sim","Não"),IF(BA187&lt;=AZ187,"Sim","Não")))</f>
        <v>Sim</v>
      </c>
      <c r="BD187" s="3" t="n">
        <v>0.81</v>
      </c>
      <c r="BE187" s="3" t="n">
        <v>0.86</v>
      </c>
      <c r="BF187" s="4" t="n">
        <f aca="false">IF(OR(BD187="",BE187=""),"",IFERROR(IF($K187="%",BE187-BD187,BE187/BD187-1),""))</f>
        <v>0.0499999999999999</v>
      </c>
      <c r="BG187" s="5" t="str">
        <f aca="false">IF(OR(BD187="",BE187=""),"",IF($F187="Maior Melhor",IF(BE187&gt;=BD187,"Sim","Não"),IF(BE187&lt;=BD187,"Sim","Não")))</f>
        <v>Sim</v>
      </c>
      <c r="BH187" s="3" t="n">
        <v>0.81</v>
      </c>
      <c r="BI187" s="3" t="n">
        <v>0.86</v>
      </c>
      <c r="BJ187" s="4" t="n">
        <f aca="false">IF(OR(BH187="",BI187=""),"",IFERROR(IF($K187="%",BI187-BH187,BI187/BH187-1),""))</f>
        <v>0.0499999999999999</v>
      </c>
      <c r="BK187" s="5" t="str">
        <f aca="false">IF(OR(BH187="",BI187=""),"",IF($F187="Maior Melhor",IF(BI187&gt;=BH187,"Sim","Não"),IF(BI187&lt;=BH187,"Sim","Não")))</f>
        <v>Sim</v>
      </c>
      <c r="BL187" s="6"/>
      <c r="BM187" s="6"/>
      <c r="BN187" s="4" t="str">
        <f aca="false">IF(OR(BL187="",BM187=""),"",IFERROR(IF($K187="%",BM187-BL187,BM187/BL187-1),""))</f>
        <v/>
      </c>
      <c r="BO187" s="5" t="str">
        <f aca="false">IF(OR(BL187="",BM187=""),"",IF($F187="Maior Melhor",IF(BM187&gt;=BL187,"Sim","Não"),IF(BM187&lt;=BL187,"Sim","Não")))</f>
        <v/>
      </c>
      <c r="BP187" s="6"/>
      <c r="BQ187" s="6"/>
      <c r="BR187" s="4" t="str">
        <f aca="false">IF(OR(BP187="",BQ187=""),"",IFERROR(IF($K187="%",BQ187-BP187,BQ187/BP187-1),""))</f>
        <v/>
      </c>
      <c r="BS187" s="5" t="str">
        <f aca="false">IF(OR(BP187="",BQ187=""),"",IF($F187="Maior Melhor",IF(BQ187&gt;=BP187,"Sim","Não"),IF(BQ187&lt;=BP187,"Sim","Não")))</f>
        <v/>
      </c>
      <c r="BT187" s="6"/>
      <c r="BU187" s="6"/>
      <c r="BV187" s="4" t="str">
        <f aca="false">IF(OR(BT187="",BU187=""),"",IFERROR(IF($K187="%",BU187-BT187,BU187/BT187-1),""))</f>
        <v/>
      </c>
      <c r="BW187" s="5" t="str">
        <f aca="false">IF(OR(BT187="",BU187=""),"",IF($F187="Maior Melhor",IF(BU187&gt;=BT187,"Sim","Não"),IF(BU187&lt;=BT187,"Sim","Não")))</f>
        <v/>
      </c>
      <c r="BX187" s="6"/>
      <c r="BY187" s="6"/>
      <c r="BZ187" s="4" t="str">
        <f aca="false">IF(OR(BX187="",BY187=""),"",IFERROR(IF($K187="%",BY187-BX187,BY187/BX187-1),""))</f>
        <v/>
      </c>
      <c r="CA187" s="5" t="str">
        <f aca="false">IF(OR(BX187="",BY187=""),"",IF($F187="Maior Melhor",IF(BY187&gt;=BX187,"Sim","Não"),IF(BY187&lt;=BX187,"Sim","Não")))</f>
        <v/>
      </c>
      <c r="CB187" s="6"/>
      <c r="CC187" s="6"/>
      <c r="CD187" s="4" t="str">
        <f aca="false">IF(OR(CB187="",CC187=""),"",IFERROR(IF($K187="%",CC187-CB187,CC187/CB187-1),""))</f>
        <v/>
      </c>
      <c r="CE187" s="5" t="str">
        <f aca="false">IF(OR(CB187="",CC187=""),"",IF($F187="Maior Melhor",IF(CC187&gt;=CB187,"Sim","Não"),IF(CC187&lt;=CB187,"Sim","Não")))</f>
        <v/>
      </c>
      <c r="CF187" s="6"/>
      <c r="CG187" s="6"/>
      <c r="CH187" s="4" t="str">
        <f aca="false">IF(OR(CF187="",CG187=""),"",IFERROR(IF($K187="%",CG187-CF187,CG187/CF187-1),""))</f>
        <v/>
      </c>
      <c r="CI187" s="5" t="str">
        <f aca="false">IF(OR(CF187="",CG187=""),"",IF($F187="Maior Melhor",IF(CG187&gt;=CF187,"Sim","Não"),IF(CG187&lt;=CF187,"Sim","Não")))</f>
        <v/>
      </c>
      <c r="CJ187" s="6"/>
      <c r="CK187" s="6"/>
      <c r="CL187" s="4" t="str">
        <f aca="false">IF(OR(CJ187="",CK187=""),"",IFERROR(IF($K187="%",CK187-CJ187,CK187/CJ187-1),""))</f>
        <v/>
      </c>
      <c r="CM187" s="5" t="str">
        <f aca="false">IF(OR(CJ187="",CK187=""),"",IF($F187="Maior Melhor",IF(CK187&gt;=CJ187,"Sim","Não"),IF(CK187&lt;=CJ187,"Sim","Não")))</f>
        <v/>
      </c>
      <c r="CN187" s="6"/>
      <c r="CO187" s="6"/>
      <c r="CP187" s="4" t="str">
        <f aca="false">IF(OR(CN187="",CO187=""),"",IFERROR(IF($K187="%",CO187-CN187,CO187/CN187-1),""))</f>
        <v/>
      </c>
      <c r="CQ187" s="5" t="str">
        <f aca="false">IF(OR(CN187="",CO187=""),"",IF($F187="Maior Melhor",IF(CO187&gt;=CN187,"Sim","Não"),IF(CO187&lt;=CN187,"Sim","Não")))</f>
        <v/>
      </c>
      <c r="CR187" s="2" t="s">
        <v>154</v>
      </c>
    </row>
    <row r="188" customFormat="false" ht="15" hidden="false" customHeight="false" outlineLevel="0" collapsed="false">
      <c r="A188" s="2" t="s">
        <v>96</v>
      </c>
      <c r="B188" s="2" t="s">
        <v>108</v>
      </c>
      <c r="C188" s="2" t="s">
        <v>115</v>
      </c>
      <c r="D188" s="2" t="s">
        <v>176</v>
      </c>
      <c r="E188" s="2" t="str">
        <f aca="false">C188&amp;D188</f>
        <v>UTD BRUMADOEGE</v>
      </c>
      <c r="F188" s="2" t="s">
        <v>100</v>
      </c>
      <c r="G188" s="2" t="s">
        <v>177</v>
      </c>
      <c r="H188" s="2" t="s">
        <v>102</v>
      </c>
      <c r="I188" s="2" t="s">
        <v>103</v>
      </c>
      <c r="J188" s="2" t="n">
        <v>1</v>
      </c>
      <c r="K188" s="2" t="s">
        <v>104</v>
      </c>
      <c r="L188" s="3"/>
      <c r="M188" s="3"/>
      <c r="N188" s="4" t="str">
        <f aca="false">IF(OR(L188="",M188=""),"",IFERROR(IF($K188="%",M188-L188,M188/L188-1),""))</f>
        <v/>
      </c>
      <c r="O188" s="5" t="str">
        <f aca="false">IF(OR(L188="",M188=""),"",IF($F188="Maior Melhor",IF(M188&gt;=L188,"Sim","Não"),IF(M188&lt;=L188,"Sim","Não")))</f>
        <v/>
      </c>
      <c r="P188" s="3"/>
      <c r="Q188" s="3"/>
      <c r="R188" s="4" t="str">
        <f aca="false">IF(OR(P188="",Q188=""),"",IFERROR(IF($K188="%",Q188-P188,Q188/P188-1),""))</f>
        <v/>
      </c>
      <c r="S188" s="5" t="str">
        <f aca="false">IF(OR(P188="",Q188=""),"",IF($F188="Maior Melhor",IF(Q188&gt;=P188,"Sim","Não"),IF(Q188&lt;=P188,"Sim","Não")))</f>
        <v/>
      </c>
      <c r="T188" s="3"/>
      <c r="U188" s="3"/>
      <c r="V188" s="4" t="str">
        <f aca="false">IF(OR(T188="",U188=""),"",IFERROR(IF($K188="%",U188-T188,U188/T188-1),""))</f>
        <v/>
      </c>
      <c r="W188" s="5" t="str">
        <f aca="false">IF(OR(T188="",U188=""),"",IF($F188="Maior Melhor",IF(U188&gt;=T188,"Sim","Não"),IF(U188&lt;=T188,"Sim","Não")))</f>
        <v/>
      </c>
      <c r="X188" s="3"/>
      <c r="Y188" s="3"/>
      <c r="Z188" s="4" t="str">
        <f aca="false">IF(OR(X188="",Y188=""),"",IFERROR(IF($K188="%",Y188-X188,Y188/X188-1),""))</f>
        <v/>
      </c>
      <c r="AA188" s="5" t="str">
        <f aca="false">IF(OR(X188="",Y188=""),"",IF($F188="Maior Melhor",IF(Y188&gt;=X188,"Sim","Não"),IF(Y188&lt;=X188,"Sim","Não")))</f>
        <v/>
      </c>
      <c r="AB188" s="3"/>
      <c r="AC188" s="3"/>
      <c r="AD188" s="4" t="str">
        <f aca="false">IF(OR(AB188="",AC188=""),"",IFERROR(IF($K188="%",AC188-AB188,AC188/AB188-1),""))</f>
        <v/>
      </c>
      <c r="AE188" s="5" t="str">
        <f aca="false">IF(OR(AB188="",AC188=""),"",IF($F188="Maior Melhor",IF(AC188&gt;=AB188,"Sim","Não"),IF(AC188&lt;=AB188,"Sim","Não")))</f>
        <v/>
      </c>
      <c r="AF188" s="3" t="n">
        <v>0.81</v>
      </c>
      <c r="AG188" s="3" t="n">
        <v>0.7833</v>
      </c>
      <c r="AH188" s="4" t="n">
        <f aca="false">IF(OR(AF188="",AG188=""),"",IFERROR(IF($K188="%",AG188-AF188,AG188/AF188-1),""))</f>
        <v>-0.0267000000000001</v>
      </c>
      <c r="AI188" s="5" t="str">
        <f aca="false">IF(OR(AF188="",AG188=""),"",IF($F188="Maior Melhor",IF(AG188&gt;=AF188,"Sim","Não"),IF(AG188&lt;=AF188,"Sim","Não")))</f>
        <v>Não</v>
      </c>
      <c r="AJ188" s="3" t="n">
        <v>0.81</v>
      </c>
      <c r="AK188" s="3" t="n">
        <v>0.731</v>
      </c>
      <c r="AL188" s="4" t="n">
        <f aca="false">IF(OR(AJ188="",AK188=""),"",IFERROR(IF($K188="%",AK188-AJ188,AK188/AJ188-1),""))</f>
        <v>-0.0790000000000001</v>
      </c>
      <c r="AM188" s="5" t="str">
        <f aca="false">IF(OR(AJ188="",AK188=""),"",IF($F188="Maior Melhor",IF(AK188&gt;=AJ188,"Sim","Não"),IF(AK188&lt;=AJ188,"Sim","Não")))</f>
        <v>Não</v>
      </c>
      <c r="AN188" s="3" t="n">
        <v>0.81</v>
      </c>
      <c r="AO188" s="3" t="n">
        <v>0.81</v>
      </c>
      <c r="AP188" s="4" t="n">
        <f aca="false">IF(OR(AN188="",AO188=""),"",IFERROR(IF($K188="%",AO188-AN188,AO188/AN188-1),""))</f>
        <v>0</v>
      </c>
      <c r="AQ188" s="5" t="str">
        <f aca="false">IF(OR(AN188="",AO188=""),"",IF($F188="Maior Melhor",IF(AO188&gt;=AN188,"Sim","Não"),IF(AO188&lt;=AN188,"Sim","Não")))</f>
        <v>Sim</v>
      </c>
      <c r="AR188" s="3" t="n">
        <v>0.81</v>
      </c>
      <c r="AS188" s="3" t="n">
        <v>0.81</v>
      </c>
      <c r="AT188" s="4" t="n">
        <f aca="false">IF(OR(AR188="",AS188=""),"",IFERROR(IF($K188="%",AS188-AR188,AS188/AR188-1),""))</f>
        <v>0</v>
      </c>
      <c r="AU188" s="5" t="str">
        <f aca="false">IF(OR(AR188="",AS188=""),"",IF($F188="Maior Melhor",IF(AS188&gt;=AR188,"Sim","Não"),IF(AS188&lt;=AR188,"Sim","Não")))</f>
        <v>Sim</v>
      </c>
      <c r="AV188" s="3" t="n">
        <v>0.81</v>
      </c>
      <c r="AW188" s="3" t="n">
        <v>0.81</v>
      </c>
      <c r="AX188" s="4" t="n">
        <f aca="false">IF(OR(AV188="",AW188=""),"",IFERROR(IF($K188="%",AW188-AV188,AW188/AV188-1),""))</f>
        <v>0</v>
      </c>
      <c r="AY188" s="5" t="str">
        <f aca="false">IF(OR(AV188="",AW188=""),"",IF($F188="Maior Melhor",IF(AW188&gt;=AV188,"Sim","Não"),IF(AW188&lt;=AV188,"Sim","Não")))</f>
        <v>Sim</v>
      </c>
      <c r="AZ188" s="3" t="n">
        <v>0.81</v>
      </c>
      <c r="BA188" s="3" t="n">
        <v>0.81</v>
      </c>
      <c r="BB188" s="4" t="n">
        <f aca="false">IF(OR(AZ188="",BA188=""),"",IFERROR(IF($K188="%",BA188-AZ188,BA188/AZ188-1),""))</f>
        <v>0</v>
      </c>
      <c r="BC188" s="5" t="str">
        <f aca="false">IF(OR(AZ188="",BA188=""),"",IF($F188="Maior Melhor",IF(BA188&gt;=AZ188,"Sim","Não"),IF(BA188&lt;=AZ188,"Sim","Não")))</f>
        <v>Sim</v>
      </c>
      <c r="BD188" s="3" t="n">
        <v>0.81</v>
      </c>
      <c r="BE188" s="3" t="n">
        <v>0.84</v>
      </c>
      <c r="BF188" s="4" t="n">
        <f aca="false">IF(OR(BD188="",BE188=""),"",IFERROR(IF($K188="%",BE188-BD188,BE188/BD188-1),""))</f>
        <v>0.0299999999999999</v>
      </c>
      <c r="BG188" s="5" t="str">
        <f aca="false">IF(OR(BD188="",BE188=""),"",IF($F188="Maior Melhor",IF(BE188&gt;=BD188,"Sim","Não"),IF(BE188&lt;=BD188,"Sim","Não")))</f>
        <v>Sim</v>
      </c>
      <c r="BH188" s="3" t="n">
        <v>0.81</v>
      </c>
      <c r="BI188" s="3" t="n">
        <v>0.84</v>
      </c>
      <c r="BJ188" s="4" t="n">
        <f aca="false">IF(OR(BH188="",BI188=""),"",IFERROR(IF($K188="%",BI188-BH188,BI188/BH188-1),""))</f>
        <v>0.0299999999999999</v>
      </c>
      <c r="BK188" s="5" t="str">
        <f aca="false">IF(OR(BH188="",BI188=""),"",IF($F188="Maior Melhor",IF(BI188&gt;=BH188,"Sim","Não"),IF(BI188&lt;=BH188,"Sim","Não")))</f>
        <v>Sim</v>
      </c>
      <c r="BL188" s="6"/>
      <c r="BM188" s="6"/>
      <c r="BN188" s="4" t="str">
        <f aca="false">IF(OR(BL188="",BM188=""),"",IFERROR(IF($K188="%",BM188-BL188,BM188/BL188-1),""))</f>
        <v/>
      </c>
      <c r="BO188" s="5" t="str">
        <f aca="false">IF(OR(BL188="",BM188=""),"",IF($F188="Maior Melhor",IF(BM188&gt;=BL188,"Sim","Não"),IF(BM188&lt;=BL188,"Sim","Não")))</f>
        <v/>
      </c>
      <c r="BP188" s="6"/>
      <c r="BQ188" s="6"/>
      <c r="BR188" s="4" t="str">
        <f aca="false">IF(OR(BP188="",BQ188=""),"",IFERROR(IF($K188="%",BQ188-BP188,BQ188/BP188-1),""))</f>
        <v/>
      </c>
      <c r="BS188" s="5" t="str">
        <f aca="false">IF(OR(BP188="",BQ188=""),"",IF($F188="Maior Melhor",IF(BQ188&gt;=BP188,"Sim","Não"),IF(BQ188&lt;=BP188,"Sim","Não")))</f>
        <v/>
      </c>
      <c r="BT188" s="6"/>
      <c r="BU188" s="6"/>
      <c r="BV188" s="4" t="str">
        <f aca="false">IF(OR(BT188="",BU188=""),"",IFERROR(IF($K188="%",BU188-BT188,BU188/BT188-1),""))</f>
        <v/>
      </c>
      <c r="BW188" s="5" t="str">
        <f aca="false">IF(OR(BT188="",BU188=""),"",IF($F188="Maior Melhor",IF(BU188&gt;=BT188,"Sim","Não"),IF(BU188&lt;=BT188,"Sim","Não")))</f>
        <v/>
      </c>
      <c r="BX188" s="6"/>
      <c r="BY188" s="6"/>
      <c r="BZ188" s="4" t="str">
        <f aca="false">IF(OR(BX188="",BY188=""),"",IFERROR(IF($K188="%",BY188-BX188,BY188/BX188-1),""))</f>
        <v/>
      </c>
      <c r="CA188" s="5" t="str">
        <f aca="false">IF(OR(BX188="",BY188=""),"",IF($F188="Maior Melhor",IF(BY188&gt;=BX188,"Sim","Não"),IF(BY188&lt;=BX188,"Sim","Não")))</f>
        <v/>
      </c>
      <c r="CB188" s="6"/>
      <c r="CC188" s="6"/>
      <c r="CD188" s="4" t="str">
        <f aca="false">IF(OR(CB188="",CC188=""),"",IFERROR(IF($K188="%",CC188-CB188,CC188/CB188-1),""))</f>
        <v/>
      </c>
      <c r="CE188" s="5" t="str">
        <f aca="false">IF(OR(CB188="",CC188=""),"",IF($F188="Maior Melhor",IF(CC188&gt;=CB188,"Sim","Não"),IF(CC188&lt;=CB188,"Sim","Não")))</f>
        <v/>
      </c>
      <c r="CF188" s="6"/>
      <c r="CG188" s="6"/>
      <c r="CH188" s="4" t="str">
        <f aca="false">IF(OR(CF188="",CG188=""),"",IFERROR(IF($K188="%",CG188-CF188,CG188/CF188-1),""))</f>
        <v/>
      </c>
      <c r="CI188" s="5" t="str">
        <f aca="false">IF(OR(CF188="",CG188=""),"",IF($F188="Maior Melhor",IF(CG188&gt;=CF188,"Sim","Não"),IF(CG188&lt;=CF188,"Sim","Não")))</f>
        <v/>
      </c>
      <c r="CJ188" s="6"/>
      <c r="CK188" s="6"/>
      <c r="CL188" s="4" t="str">
        <f aca="false">IF(OR(CJ188="",CK188=""),"",IFERROR(IF($K188="%",CK188-CJ188,CK188/CJ188-1),""))</f>
        <v/>
      </c>
      <c r="CM188" s="5" t="str">
        <f aca="false">IF(OR(CJ188="",CK188=""),"",IF($F188="Maior Melhor",IF(CK188&gt;=CJ188,"Sim","Não"),IF(CK188&lt;=CJ188,"Sim","Não")))</f>
        <v/>
      </c>
      <c r="CN188" s="6"/>
      <c r="CO188" s="6"/>
      <c r="CP188" s="4" t="str">
        <f aca="false">IF(OR(CN188="",CO188=""),"",IFERROR(IF($K188="%",CO188-CN188,CO188/CN188-1),""))</f>
        <v/>
      </c>
      <c r="CQ188" s="5" t="str">
        <f aca="false">IF(OR(CN188="",CO188=""),"",IF($F188="Maior Melhor",IF(CO188&gt;=CN188,"Sim","Não"),IF(CO188&lt;=CN188,"Sim","Não")))</f>
        <v/>
      </c>
      <c r="CR188" s="2" t="s">
        <v>105</v>
      </c>
    </row>
    <row r="189" customFormat="false" ht="15" hidden="false" customHeight="false" outlineLevel="0" collapsed="false">
      <c r="A189" s="2" t="s">
        <v>96</v>
      </c>
      <c r="B189" s="2" t="s">
        <v>108</v>
      </c>
      <c r="C189" s="2" t="s">
        <v>117</v>
      </c>
      <c r="D189" s="2" t="s">
        <v>176</v>
      </c>
      <c r="E189" s="2" t="str">
        <f aca="false">C189&amp;D189</f>
        <v>UTD GUANAMBIEGE</v>
      </c>
      <c r="F189" s="2" t="s">
        <v>100</v>
      </c>
      <c r="G189" s="2" t="s">
        <v>177</v>
      </c>
      <c r="H189" s="2" t="s">
        <v>102</v>
      </c>
      <c r="I189" s="2" t="s">
        <v>103</v>
      </c>
      <c r="J189" s="2" t="n">
        <v>1</v>
      </c>
      <c r="K189" s="2" t="s">
        <v>104</v>
      </c>
      <c r="L189" s="3"/>
      <c r="M189" s="3"/>
      <c r="N189" s="4" t="str">
        <f aca="false">IF(OR(L189="",M189=""),"",IFERROR(IF($K189="%",M189-L189,M189/L189-1),""))</f>
        <v/>
      </c>
      <c r="O189" s="5" t="str">
        <f aca="false">IF(OR(L189="",M189=""),"",IF($F189="Maior Melhor",IF(M189&gt;=L189,"Sim","Não"),IF(M189&lt;=L189,"Sim","Não")))</f>
        <v/>
      </c>
      <c r="P189" s="3"/>
      <c r="Q189" s="3"/>
      <c r="R189" s="4" t="str">
        <f aca="false">IF(OR(P189="",Q189=""),"",IFERROR(IF($K189="%",Q189-P189,Q189/P189-1),""))</f>
        <v/>
      </c>
      <c r="S189" s="5" t="str">
        <f aca="false">IF(OR(P189="",Q189=""),"",IF($F189="Maior Melhor",IF(Q189&gt;=P189,"Sim","Não"),IF(Q189&lt;=P189,"Sim","Não")))</f>
        <v/>
      </c>
      <c r="T189" s="3"/>
      <c r="U189" s="3"/>
      <c r="V189" s="4" t="str">
        <f aca="false">IF(OR(T189="",U189=""),"",IFERROR(IF($K189="%",U189-T189,U189/T189-1),""))</f>
        <v/>
      </c>
      <c r="W189" s="5" t="str">
        <f aca="false">IF(OR(T189="",U189=""),"",IF($F189="Maior Melhor",IF(U189&gt;=T189,"Sim","Não"),IF(U189&lt;=T189,"Sim","Não")))</f>
        <v/>
      </c>
      <c r="X189" s="3"/>
      <c r="Y189" s="3"/>
      <c r="Z189" s="4" t="str">
        <f aca="false">IF(OR(X189="",Y189=""),"",IFERROR(IF($K189="%",Y189-X189,Y189/X189-1),""))</f>
        <v/>
      </c>
      <c r="AA189" s="5" t="str">
        <f aca="false">IF(OR(X189="",Y189=""),"",IF($F189="Maior Melhor",IF(Y189&gt;=X189,"Sim","Não"),IF(Y189&lt;=X189,"Sim","Não")))</f>
        <v/>
      </c>
      <c r="AB189" s="3"/>
      <c r="AC189" s="3"/>
      <c r="AD189" s="4" t="str">
        <f aca="false">IF(OR(AB189="",AC189=""),"",IFERROR(IF($K189="%",AC189-AB189,AC189/AB189-1),""))</f>
        <v/>
      </c>
      <c r="AE189" s="5" t="str">
        <f aca="false">IF(OR(AB189="",AC189=""),"",IF($F189="Maior Melhor",IF(AC189&gt;=AB189,"Sim","Não"),IF(AC189&lt;=AB189,"Sim","Não")))</f>
        <v/>
      </c>
      <c r="AF189" s="3" t="n">
        <v>0.81</v>
      </c>
      <c r="AG189" s="3" t="n">
        <v>0.7482</v>
      </c>
      <c r="AH189" s="4" t="n">
        <f aca="false">IF(OR(AF189="",AG189=""),"",IFERROR(IF($K189="%",AG189-AF189,AG189/AF189-1),""))</f>
        <v>-0.0618000000000001</v>
      </c>
      <c r="AI189" s="5" t="str">
        <f aca="false">IF(OR(AF189="",AG189=""),"",IF($F189="Maior Melhor",IF(AG189&gt;=AF189,"Sim","Não"),IF(AG189&lt;=AF189,"Sim","Não")))</f>
        <v>Não</v>
      </c>
      <c r="AJ189" s="3" t="n">
        <v>0.81</v>
      </c>
      <c r="AK189" s="3" t="n">
        <v>0.7172</v>
      </c>
      <c r="AL189" s="4" t="n">
        <f aca="false">IF(OR(AJ189="",AK189=""),"",IFERROR(IF($K189="%",AK189-AJ189,AK189/AJ189-1),""))</f>
        <v>-0.0928000000000001</v>
      </c>
      <c r="AM189" s="5" t="str">
        <f aca="false">IF(OR(AJ189="",AK189=""),"",IF($F189="Maior Melhor",IF(AK189&gt;=AJ189,"Sim","Não"),IF(AK189&lt;=AJ189,"Sim","Não")))</f>
        <v>Não</v>
      </c>
      <c r="AN189" s="3" t="n">
        <v>0.81</v>
      </c>
      <c r="AO189" s="3" t="n">
        <v>0.78</v>
      </c>
      <c r="AP189" s="4" t="n">
        <f aca="false">IF(OR(AN189="",AO189=""),"",IFERROR(IF($K189="%",AO189-AN189,AO189/AN189-1),""))</f>
        <v>-0.03</v>
      </c>
      <c r="AQ189" s="5" t="str">
        <f aca="false">IF(OR(AN189="",AO189=""),"",IF($F189="Maior Melhor",IF(AO189&gt;=AN189,"Sim","Não"),IF(AO189&lt;=AN189,"Sim","Não")))</f>
        <v>Não</v>
      </c>
      <c r="AR189" s="3" t="n">
        <v>0.81</v>
      </c>
      <c r="AS189" s="3" t="n">
        <v>0.78</v>
      </c>
      <c r="AT189" s="4" t="n">
        <f aca="false">IF(OR(AR189="",AS189=""),"",IFERROR(IF($K189="%",AS189-AR189,AS189/AR189-1),""))</f>
        <v>-0.03</v>
      </c>
      <c r="AU189" s="5" t="str">
        <f aca="false">IF(OR(AR189="",AS189=""),"",IF($F189="Maior Melhor",IF(AS189&gt;=AR189,"Sim","Não"),IF(AS189&lt;=AR189,"Sim","Não")))</f>
        <v>Não</v>
      </c>
      <c r="AV189" s="3" t="n">
        <v>0.81</v>
      </c>
      <c r="AW189" s="3" t="n">
        <v>0.79</v>
      </c>
      <c r="AX189" s="4" t="n">
        <f aca="false">IF(OR(AV189="",AW189=""),"",IFERROR(IF($K189="%",AW189-AV189,AW189/AV189-1),""))</f>
        <v>-0.02</v>
      </c>
      <c r="AY189" s="5" t="str">
        <f aca="false">IF(OR(AV189="",AW189=""),"",IF($F189="Maior Melhor",IF(AW189&gt;=AV189,"Sim","Não"),IF(AW189&lt;=AV189,"Sim","Não")))</f>
        <v>Não</v>
      </c>
      <c r="AZ189" s="3" t="n">
        <v>0.81</v>
      </c>
      <c r="BA189" s="3" t="n">
        <v>0.79</v>
      </c>
      <c r="BB189" s="4" t="n">
        <f aca="false">IF(OR(AZ189="",BA189=""),"",IFERROR(IF($K189="%",BA189-AZ189,BA189/AZ189-1),""))</f>
        <v>-0.02</v>
      </c>
      <c r="BC189" s="5" t="str">
        <f aca="false">IF(OR(AZ189="",BA189=""),"",IF($F189="Maior Melhor",IF(BA189&gt;=AZ189,"Sim","Não"),IF(BA189&lt;=AZ189,"Sim","Não")))</f>
        <v>Não</v>
      </c>
      <c r="BD189" s="3" t="n">
        <v>0.81</v>
      </c>
      <c r="BE189" s="3" t="n">
        <v>0.8</v>
      </c>
      <c r="BF189" s="4" t="n">
        <f aca="false">IF(OR(BD189="",BE189=""),"",IFERROR(IF($K189="%",BE189-BD189,BE189/BD189-1),""))</f>
        <v>-0.01</v>
      </c>
      <c r="BG189" s="5" t="str">
        <f aca="false">IF(OR(BD189="",BE189=""),"",IF($F189="Maior Melhor",IF(BE189&gt;=BD189,"Sim","Não"),IF(BE189&lt;=BD189,"Sim","Não")))</f>
        <v>Não</v>
      </c>
      <c r="BH189" s="3" t="n">
        <v>0.81</v>
      </c>
      <c r="BI189" s="3" t="n">
        <v>0.8</v>
      </c>
      <c r="BJ189" s="4" t="n">
        <f aca="false">IF(OR(BH189="",BI189=""),"",IFERROR(IF($K189="%",BI189-BH189,BI189/BH189-1),""))</f>
        <v>-0.01</v>
      </c>
      <c r="BK189" s="5" t="str">
        <f aca="false">IF(OR(BH189="",BI189=""),"",IF($F189="Maior Melhor",IF(BI189&gt;=BH189,"Sim","Não"),IF(BI189&lt;=BH189,"Sim","Não")))</f>
        <v>Não</v>
      </c>
      <c r="BL189" s="6"/>
      <c r="BM189" s="6"/>
      <c r="BN189" s="4" t="str">
        <f aca="false">IF(OR(BL189="",BM189=""),"",IFERROR(IF($K189="%",BM189-BL189,BM189/BL189-1),""))</f>
        <v/>
      </c>
      <c r="BO189" s="5" t="str">
        <f aca="false">IF(OR(BL189="",BM189=""),"",IF($F189="Maior Melhor",IF(BM189&gt;=BL189,"Sim","Não"),IF(BM189&lt;=BL189,"Sim","Não")))</f>
        <v/>
      </c>
      <c r="BP189" s="6"/>
      <c r="BQ189" s="6"/>
      <c r="BR189" s="4" t="str">
        <f aca="false">IF(OR(BP189="",BQ189=""),"",IFERROR(IF($K189="%",BQ189-BP189,BQ189/BP189-1),""))</f>
        <v/>
      </c>
      <c r="BS189" s="5" t="str">
        <f aca="false">IF(OR(BP189="",BQ189=""),"",IF($F189="Maior Melhor",IF(BQ189&gt;=BP189,"Sim","Não"),IF(BQ189&lt;=BP189,"Sim","Não")))</f>
        <v/>
      </c>
      <c r="BT189" s="6"/>
      <c r="BU189" s="6"/>
      <c r="BV189" s="4" t="str">
        <f aca="false">IF(OR(BT189="",BU189=""),"",IFERROR(IF($K189="%",BU189-BT189,BU189/BT189-1),""))</f>
        <v/>
      </c>
      <c r="BW189" s="5" t="str">
        <f aca="false">IF(OR(BT189="",BU189=""),"",IF($F189="Maior Melhor",IF(BU189&gt;=BT189,"Sim","Não"),IF(BU189&lt;=BT189,"Sim","Não")))</f>
        <v/>
      </c>
      <c r="BX189" s="6"/>
      <c r="BY189" s="6"/>
      <c r="BZ189" s="4" t="str">
        <f aca="false">IF(OR(BX189="",BY189=""),"",IFERROR(IF($K189="%",BY189-BX189,BY189/BX189-1),""))</f>
        <v/>
      </c>
      <c r="CA189" s="5" t="str">
        <f aca="false">IF(OR(BX189="",BY189=""),"",IF($F189="Maior Melhor",IF(BY189&gt;=BX189,"Sim","Não"),IF(BY189&lt;=BX189,"Sim","Não")))</f>
        <v/>
      </c>
      <c r="CB189" s="6"/>
      <c r="CC189" s="6"/>
      <c r="CD189" s="4" t="str">
        <f aca="false">IF(OR(CB189="",CC189=""),"",IFERROR(IF($K189="%",CC189-CB189,CC189/CB189-1),""))</f>
        <v/>
      </c>
      <c r="CE189" s="5" t="str">
        <f aca="false">IF(OR(CB189="",CC189=""),"",IF($F189="Maior Melhor",IF(CC189&gt;=CB189,"Sim","Não"),IF(CC189&lt;=CB189,"Sim","Não")))</f>
        <v/>
      </c>
      <c r="CF189" s="6"/>
      <c r="CG189" s="6"/>
      <c r="CH189" s="4" t="str">
        <f aca="false">IF(OR(CF189="",CG189=""),"",IFERROR(IF($K189="%",CG189-CF189,CG189/CF189-1),""))</f>
        <v/>
      </c>
      <c r="CI189" s="5" t="str">
        <f aca="false">IF(OR(CF189="",CG189=""),"",IF($F189="Maior Melhor",IF(CG189&gt;=CF189,"Sim","Não"),IF(CG189&lt;=CF189,"Sim","Não")))</f>
        <v/>
      </c>
      <c r="CJ189" s="6"/>
      <c r="CK189" s="6"/>
      <c r="CL189" s="4" t="str">
        <f aca="false">IF(OR(CJ189="",CK189=""),"",IFERROR(IF($K189="%",CK189-CJ189,CK189/CJ189-1),""))</f>
        <v/>
      </c>
      <c r="CM189" s="5" t="str">
        <f aca="false">IF(OR(CJ189="",CK189=""),"",IF($F189="Maior Melhor",IF(CK189&gt;=CJ189,"Sim","Não"),IF(CK189&lt;=CJ189,"Sim","Não")))</f>
        <v/>
      </c>
      <c r="CN189" s="6"/>
      <c r="CO189" s="6"/>
      <c r="CP189" s="4" t="str">
        <f aca="false">IF(OR(CN189="",CO189=""),"",IFERROR(IF($K189="%",CO189-CN189,CO189/CN189-1),""))</f>
        <v/>
      </c>
      <c r="CQ189" s="5" t="str">
        <f aca="false">IF(OR(CN189="",CO189=""),"",IF($F189="Maior Melhor",IF(CO189&gt;=CN189,"Sim","Não"),IF(CO189&lt;=CN189,"Sim","Não")))</f>
        <v/>
      </c>
      <c r="CR189" s="2" t="s">
        <v>105</v>
      </c>
    </row>
    <row r="190" customFormat="false" ht="15" hidden="false" customHeight="false" outlineLevel="0" collapsed="false">
      <c r="A190" s="2" t="s">
        <v>96</v>
      </c>
      <c r="B190" s="2" t="s">
        <v>106</v>
      </c>
      <c r="C190" s="2" t="s">
        <v>118</v>
      </c>
      <c r="D190" s="2" t="s">
        <v>176</v>
      </c>
      <c r="E190" s="2" t="str">
        <f aca="false">C190&amp;D190</f>
        <v>UTD IBOTIRAMAEGE</v>
      </c>
      <c r="F190" s="2" t="s">
        <v>100</v>
      </c>
      <c r="G190" s="2" t="s">
        <v>177</v>
      </c>
      <c r="H190" s="2" t="s">
        <v>119</v>
      </c>
      <c r="I190" s="2" t="s">
        <v>103</v>
      </c>
      <c r="J190" s="2" t="n">
        <v>1</v>
      </c>
      <c r="K190" s="2" t="s">
        <v>104</v>
      </c>
      <c r="L190" s="3"/>
      <c r="M190" s="3"/>
      <c r="N190" s="4" t="str">
        <f aca="false">IF(OR(L190="",M190=""),"",IFERROR(IF($K190="%",M190-L190,M190/L190-1),""))</f>
        <v/>
      </c>
      <c r="O190" s="5" t="str">
        <f aca="false">IF(OR(L190="",M190=""),"",IF($F190="Maior Melhor",IF(M190&gt;=L190,"Sim","Não"),IF(M190&lt;=L190,"Sim","Não")))</f>
        <v/>
      </c>
      <c r="P190" s="3"/>
      <c r="Q190" s="3"/>
      <c r="R190" s="4" t="str">
        <f aca="false">IF(OR(P190="",Q190=""),"",IFERROR(IF($K190="%",Q190-P190,Q190/P190-1),""))</f>
        <v/>
      </c>
      <c r="S190" s="5" t="str">
        <f aca="false">IF(OR(P190="",Q190=""),"",IF($F190="Maior Melhor",IF(Q190&gt;=P190,"Sim","Não"),IF(Q190&lt;=P190,"Sim","Não")))</f>
        <v/>
      </c>
      <c r="T190" s="3"/>
      <c r="U190" s="3"/>
      <c r="V190" s="4" t="str">
        <f aca="false">IF(OR(T190="",U190=""),"",IFERROR(IF($K190="%",U190-T190,U190/T190-1),""))</f>
        <v/>
      </c>
      <c r="W190" s="5" t="str">
        <f aca="false">IF(OR(T190="",U190=""),"",IF($F190="Maior Melhor",IF(U190&gt;=T190,"Sim","Não"),IF(U190&lt;=T190,"Sim","Não")))</f>
        <v/>
      </c>
      <c r="X190" s="3"/>
      <c r="Y190" s="3"/>
      <c r="Z190" s="4" t="str">
        <f aca="false">IF(OR(X190="",Y190=""),"",IFERROR(IF($K190="%",Y190-X190,Y190/X190-1),""))</f>
        <v/>
      </c>
      <c r="AA190" s="5" t="str">
        <f aca="false">IF(OR(X190="",Y190=""),"",IF($F190="Maior Melhor",IF(Y190&gt;=X190,"Sim","Não"),IF(Y190&lt;=X190,"Sim","Não")))</f>
        <v/>
      </c>
      <c r="AB190" s="3"/>
      <c r="AC190" s="3"/>
      <c r="AD190" s="4" t="str">
        <f aca="false">IF(OR(AB190="",AC190=""),"",IFERROR(IF($K190="%",AC190-AB190,AC190/AB190-1),""))</f>
        <v/>
      </c>
      <c r="AE190" s="5" t="str">
        <f aca="false">IF(OR(AB190="",AC190=""),"",IF($F190="Maior Melhor",IF(AC190&gt;=AB190,"Sim","Não"),IF(AC190&lt;=AB190,"Sim","Não")))</f>
        <v/>
      </c>
      <c r="AF190" s="3" t="n">
        <v>0.81</v>
      </c>
      <c r="AG190" s="3" t="n">
        <v>0.8392</v>
      </c>
      <c r="AH190" s="4" t="n">
        <f aca="false">IF(OR(AF190="",AG190=""),"",IFERROR(IF($K190="%",AG190-AF190,AG190/AF190-1),""))</f>
        <v>0.0291999999999999</v>
      </c>
      <c r="AI190" s="5" t="str">
        <f aca="false">IF(OR(AF190="",AG190=""),"",IF($F190="Maior Melhor",IF(AG190&gt;=AF190,"Sim","Não"),IF(AG190&lt;=AF190,"Sim","Não")))</f>
        <v>Sim</v>
      </c>
      <c r="AJ190" s="3" t="n">
        <v>0.81</v>
      </c>
      <c r="AK190" s="3" t="n">
        <v>0.6569</v>
      </c>
      <c r="AL190" s="4" t="n">
        <f aca="false">IF(OR(AJ190="",AK190=""),"",IFERROR(IF($K190="%",AK190-AJ190,AK190/AJ190-1),""))</f>
        <v>-0.1531</v>
      </c>
      <c r="AM190" s="5" t="str">
        <f aca="false">IF(OR(AJ190="",AK190=""),"",IF($F190="Maior Melhor",IF(AK190&gt;=AJ190,"Sim","Não"),IF(AK190&lt;=AJ190,"Sim","Não")))</f>
        <v>Não</v>
      </c>
      <c r="AN190" s="3" t="n">
        <v>0.81</v>
      </c>
      <c r="AO190" s="3" t="n">
        <v>0.85</v>
      </c>
      <c r="AP190" s="4" t="n">
        <f aca="false">IF(OR(AN190="",AO190=""),"",IFERROR(IF($K190="%",AO190-AN190,AO190/AN190-1),""))</f>
        <v>0.0399999999999999</v>
      </c>
      <c r="AQ190" s="5" t="str">
        <f aca="false">IF(OR(AN190="",AO190=""),"",IF($F190="Maior Melhor",IF(AO190&gt;=AN190,"Sim","Não"),IF(AO190&lt;=AN190,"Sim","Não")))</f>
        <v>Sim</v>
      </c>
      <c r="AR190" s="3" t="n">
        <v>0.81</v>
      </c>
      <c r="AS190" s="3" t="n">
        <v>0.85</v>
      </c>
      <c r="AT190" s="4" t="n">
        <f aca="false">IF(OR(AR190="",AS190=""),"",IFERROR(IF($K190="%",AS190-AR190,AS190/AR190-1),""))</f>
        <v>0.0399999999999999</v>
      </c>
      <c r="AU190" s="5" t="str">
        <f aca="false">IF(OR(AR190="",AS190=""),"",IF($F190="Maior Melhor",IF(AS190&gt;=AR190,"Sim","Não"),IF(AS190&lt;=AR190,"Sim","Não")))</f>
        <v>Sim</v>
      </c>
      <c r="AV190" s="3" t="n">
        <v>0.81</v>
      </c>
      <c r="AW190" s="3" t="n">
        <v>0.88</v>
      </c>
      <c r="AX190" s="4" t="n">
        <f aca="false">IF(OR(AV190="",AW190=""),"",IFERROR(IF($K190="%",AW190-AV190,AW190/AV190-1),""))</f>
        <v>0.07</v>
      </c>
      <c r="AY190" s="5" t="str">
        <f aca="false">IF(OR(AV190="",AW190=""),"",IF($F190="Maior Melhor",IF(AW190&gt;=AV190,"Sim","Não"),IF(AW190&lt;=AV190,"Sim","Não")))</f>
        <v>Sim</v>
      </c>
      <c r="AZ190" s="3" t="n">
        <v>0.81</v>
      </c>
      <c r="BA190" s="3" t="n">
        <v>0.88</v>
      </c>
      <c r="BB190" s="4" t="n">
        <f aca="false">IF(OR(AZ190="",BA190=""),"",IFERROR(IF($K190="%",BA190-AZ190,BA190/AZ190-1),""))</f>
        <v>0.07</v>
      </c>
      <c r="BC190" s="5" t="str">
        <f aca="false">IF(OR(AZ190="",BA190=""),"",IF($F190="Maior Melhor",IF(BA190&gt;=AZ190,"Sim","Não"),IF(BA190&lt;=AZ190,"Sim","Não")))</f>
        <v>Sim</v>
      </c>
      <c r="BD190" s="3" t="n">
        <v>0.81</v>
      </c>
      <c r="BE190" s="3" t="n">
        <v>0.85</v>
      </c>
      <c r="BF190" s="4" t="n">
        <f aca="false">IF(OR(BD190="",BE190=""),"",IFERROR(IF($K190="%",BE190-BD190,BE190/BD190-1),""))</f>
        <v>0.0399999999999999</v>
      </c>
      <c r="BG190" s="5" t="str">
        <f aca="false">IF(OR(BD190="",BE190=""),"",IF($F190="Maior Melhor",IF(BE190&gt;=BD190,"Sim","Não"),IF(BE190&lt;=BD190,"Sim","Não")))</f>
        <v>Sim</v>
      </c>
      <c r="BH190" s="3" t="n">
        <v>0.81</v>
      </c>
      <c r="BI190" s="3" t="n">
        <v>0.85</v>
      </c>
      <c r="BJ190" s="4" t="n">
        <f aca="false">IF(OR(BH190="",BI190=""),"",IFERROR(IF($K190="%",BI190-BH190,BI190/BH190-1),""))</f>
        <v>0.0399999999999999</v>
      </c>
      <c r="BK190" s="5" t="str">
        <f aca="false">IF(OR(BH190="",BI190=""),"",IF($F190="Maior Melhor",IF(BI190&gt;=BH190,"Sim","Não"),IF(BI190&lt;=BH190,"Sim","Não")))</f>
        <v>Sim</v>
      </c>
      <c r="BL190" s="6"/>
      <c r="BM190" s="6"/>
      <c r="BN190" s="4" t="str">
        <f aca="false">IF(OR(BL190="",BM190=""),"",IFERROR(IF($K190="%",BM190-BL190,BM190/BL190-1),""))</f>
        <v/>
      </c>
      <c r="BO190" s="5" t="str">
        <f aca="false">IF(OR(BL190="",BM190=""),"",IF($F190="Maior Melhor",IF(BM190&gt;=BL190,"Sim","Não"),IF(BM190&lt;=BL190,"Sim","Não")))</f>
        <v/>
      </c>
      <c r="BP190" s="6"/>
      <c r="BQ190" s="6"/>
      <c r="BR190" s="4" t="str">
        <f aca="false">IF(OR(BP190="",BQ190=""),"",IFERROR(IF($K190="%",BQ190-BP190,BQ190/BP190-1),""))</f>
        <v/>
      </c>
      <c r="BS190" s="5" t="str">
        <f aca="false">IF(OR(BP190="",BQ190=""),"",IF($F190="Maior Melhor",IF(BQ190&gt;=BP190,"Sim","Não"),IF(BQ190&lt;=BP190,"Sim","Não")))</f>
        <v/>
      </c>
      <c r="BT190" s="6"/>
      <c r="BU190" s="6"/>
      <c r="BV190" s="4" t="str">
        <f aca="false">IF(OR(BT190="",BU190=""),"",IFERROR(IF($K190="%",BU190-BT190,BU190/BT190-1),""))</f>
        <v/>
      </c>
      <c r="BW190" s="5" t="str">
        <f aca="false">IF(OR(BT190="",BU190=""),"",IF($F190="Maior Melhor",IF(BU190&gt;=BT190,"Sim","Não"),IF(BU190&lt;=BT190,"Sim","Não")))</f>
        <v/>
      </c>
      <c r="BX190" s="6"/>
      <c r="BY190" s="6"/>
      <c r="BZ190" s="4" t="str">
        <f aca="false">IF(OR(BX190="",BY190=""),"",IFERROR(IF($K190="%",BY190-BX190,BY190/BX190-1),""))</f>
        <v/>
      </c>
      <c r="CA190" s="5" t="str">
        <f aca="false">IF(OR(BX190="",BY190=""),"",IF($F190="Maior Melhor",IF(BY190&gt;=BX190,"Sim","Não"),IF(BY190&lt;=BX190,"Sim","Não")))</f>
        <v/>
      </c>
      <c r="CB190" s="6"/>
      <c r="CC190" s="6"/>
      <c r="CD190" s="4" t="str">
        <f aca="false">IF(OR(CB190="",CC190=""),"",IFERROR(IF($K190="%",CC190-CB190,CC190/CB190-1),""))</f>
        <v/>
      </c>
      <c r="CE190" s="5" t="str">
        <f aca="false">IF(OR(CB190="",CC190=""),"",IF($F190="Maior Melhor",IF(CC190&gt;=CB190,"Sim","Não"),IF(CC190&lt;=CB190,"Sim","Não")))</f>
        <v/>
      </c>
      <c r="CF190" s="6"/>
      <c r="CG190" s="6"/>
      <c r="CH190" s="4" t="str">
        <f aca="false">IF(OR(CF190="",CG190=""),"",IFERROR(IF($K190="%",CG190-CF190,CG190/CF190-1),""))</f>
        <v/>
      </c>
      <c r="CI190" s="5" t="str">
        <f aca="false">IF(OR(CF190="",CG190=""),"",IF($F190="Maior Melhor",IF(CG190&gt;=CF190,"Sim","Não"),IF(CG190&lt;=CF190,"Sim","Não")))</f>
        <v/>
      </c>
      <c r="CJ190" s="6"/>
      <c r="CK190" s="6"/>
      <c r="CL190" s="4" t="str">
        <f aca="false">IF(OR(CJ190="",CK190=""),"",IFERROR(IF($K190="%",CK190-CJ190,CK190/CJ190-1),""))</f>
        <v/>
      </c>
      <c r="CM190" s="5" t="str">
        <f aca="false">IF(OR(CJ190="",CK190=""),"",IF($F190="Maior Melhor",IF(CK190&gt;=CJ190,"Sim","Não"),IF(CK190&lt;=CJ190,"Sim","Não")))</f>
        <v/>
      </c>
      <c r="CN190" s="6"/>
      <c r="CO190" s="6"/>
      <c r="CP190" s="4" t="str">
        <f aca="false">IF(OR(CN190="",CO190=""),"",IFERROR(IF($K190="%",CO190-CN190,CO190/CN190-1),""))</f>
        <v/>
      </c>
      <c r="CQ190" s="5" t="str">
        <f aca="false">IF(OR(CN190="",CO190=""),"",IF($F190="Maior Melhor",IF(CO190&gt;=CN190,"Sim","Não"),IF(CO190&lt;=CN190,"Sim","Não")))</f>
        <v/>
      </c>
      <c r="CR190" s="2" t="s">
        <v>178</v>
      </c>
    </row>
    <row r="191" customFormat="false" ht="15" hidden="false" customHeight="false" outlineLevel="0" collapsed="false">
      <c r="A191" s="2" t="s">
        <v>96</v>
      </c>
      <c r="B191" s="2" t="s">
        <v>97</v>
      </c>
      <c r="C191" s="2" t="s">
        <v>121</v>
      </c>
      <c r="D191" s="2" t="s">
        <v>176</v>
      </c>
      <c r="E191" s="2" t="str">
        <f aca="false">C191&amp;D191</f>
        <v>UTD IRECÊEGE</v>
      </c>
      <c r="F191" s="2" t="s">
        <v>100</v>
      </c>
      <c r="G191" s="2" t="s">
        <v>177</v>
      </c>
      <c r="H191" s="2" t="s">
        <v>102</v>
      </c>
      <c r="I191" s="2" t="s">
        <v>103</v>
      </c>
      <c r="J191" s="2" t="n">
        <v>1</v>
      </c>
      <c r="K191" s="2" t="s">
        <v>104</v>
      </c>
      <c r="L191" s="3"/>
      <c r="M191" s="3"/>
      <c r="N191" s="4" t="str">
        <f aca="false">IF(OR(L191="",M191=""),"",IFERROR(IF($K191="%",M191-L191,M191/L191-1),""))</f>
        <v/>
      </c>
      <c r="O191" s="5" t="str">
        <f aca="false">IF(OR(L191="",M191=""),"",IF($F191="Maior Melhor",IF(M191&gt;=L191,"Sim","Não"),IF(M191&lt;=L191,"Sim","Não")))</f>
        <v/>
      </c>
      <c r="P191" s="3"/>
      <c r="Q191" s="3"/>
      <c r="R191" s="4" t="str">
        <f aca="false">IF(OR(P191="",Q191=""),"",IFERROR(IF($K191="%",Q191-P191,Q191/P191-1),""))</f>
        <v/>
      </c>
      <c r="S191" s="5" t="str">
        <f aca="false">IF(OR(P191="",Q191=""),"",IF($F191="Maior Melhor",IF(Q191&gt;=P191,"Sim","Não"),IF(Q191&lt;=P191,"Sim","Não")))</f>
        <v/>
      </c>
      <c r="T191" s="3"/>
      <c r="U191" s="3"/>
      <c r="V191" s="4" t="str">
        <f aca="false">IF(OR(T191="",U191=""),"",IFERROR(IF($K191="%",U191-T191,U191/T191-1),""))</f>
        <v/>
      </c>
      <c r="W191" s="5" t="str">
        <f aca="false">IF(OR(T191="",U191=""),"",IF($F191="Maior Melhor",IF(U191&gt;=T191,"Sim","Não"),IF(U191&lt;=T191,"Sim","Não")))</f>
        <v/>
      </c>
      <c r="X191" s="3"/>
      <c r="Y191" s="3"/>
      <c r="Z191" s="4" t="str">
        <f aca="false">IF(OR(X191="",Y191=""),"",IFERROR(IF($K191="%",Y191-X191,Y191/X191-1),""))</f>
        <v/>
      </c>
      <c r="AA191" s="5" t="str">
        <f aca="false">IF(OR(X191="",Y191=""),"",IF($F191="Maior Melhor",IF(Y191&gt;=X191,"Sim","Não"),IF(Y191&lt;=X191,"Sim","Não")))</f>
        <v/>
      </c>
      <c r="AB191" s="3"/>
      <c r="AC191" s="3"/>
      <c r="AD191" s="4" t="str">
        <f aca="false">IF(OR(AB191="",AC191=""),"",IFERROR(IF($K191="%",AC191-AB191,AC191/AB191-1),""))</f>
        <v/>
      </c>
      <c r="AE191" s="5" t="str">
        <f aca="false">IF(OR(AB191="",AC191=""),"",IF($F191="Maior Melhor",IF(AC191&gt;=AB191,"Sim","Não"),IF(AC191&lt;=AB191,"Sim","Não")))</f>
        <v/>
      </c>
      <c r="AF191" s="3" t="n">
        <v>0.81</v>
      </c>
      <c r="AG191" s="3" t="n">
        <v>0.6246</v>
      </c>
      <c r="AH191" s="4" t="n">
        <f aca="false">IF(OR(AF191="",AG191=""),"",IFERROR(IF($K191="%",AG191-AF191,AG191/AF191-1),""))</f>
        <v>-0.1854</v>
      </c>
      <c r="AI191" s="5" t="str">
        <f aca="false">IF(OR(AF191="",AG191=""),"",IF($F191="Maior Melhor",IF(AG191&gt;=AF191,"Sim","Não"),IF(AG191&lt;=AF191,"Sim","Não")))</f>
        <v>Não</v>
      </c>
      <c r="AJ191" s="3" t="n">
        <v>0.81</v>
      </c>
      <c r="AK191" s="3" t="n">
        <v>0.5875</v>
      </c>
      <c r="AL191" s="4" t="n">
        <f aca="false">IF(OR(AJ191="",AK191=""),"",IFERROR(IF($K191="%",AK191-AJ191,AK191/AJ191-1),""))</f>
        <v>-0.2225</v>
      </c>
      <c r="AM191" s="5" t="str">
        <f aca="false">IF(OR(AJ191="",AK191=""),"",IF($F191="Maior Melhor",IF(AK191&gt;=AJ191,"Sim","Não"),IF(AK191&lt;=AJ191,"Sim","Não")))</f>
        <v>Não</v>
      </c>
      <c r="AN191" s="3" t="n">
        <v>0.81</v>
      </c>
      <c r="AO191" s="3" t="n">
        <v>0.6</v>
      </c>
      <c r="AP191" s="4" t="n">
        <f aca="false">IF(OR(AN191="",AO191=""),"",IFERROR(IF($K191="%",AO191-AN191,AO191/AN191-1),""))</f>
        <v>-0.21</v>
      </c>
      <c r="AQ191" s="5" t="str">
        <f aca="false">IF(OR(AN191="",AO191=""),"",IF($F191="Maior Melhor",IF(AO191&gt;=AN191,"Sim","Não"),IF(AO191&lt;=AN191,"Sim","Não")))</f>
        <v>Não</v>
      </c>
      <c r="AR191" s="3" t="n">
        <v>0.81</v>
      </c>
      <c r="AS191" s="3" t="n">
        <v>0.6</v>
      </c>
      <c r="AT191" s="4" t="n">
        <f aca="false">IF(OR(AR191="",AS191=""),"",IFERROR(IF($K191="%",AS191-AR191,AS191/AR191-1),""))</f>
        <v>-0.21</v>
      </c>
      <c r="AU191" s="5" t="str">
        <f aca="false">IF(OR(AR191="",AS191=""),"",IF($F191="Maior Melhor",IF(AS191&gt;=AR191,"Sim","Não"),IF(AS191&lt;=AR191,"Sim","Não")))</f>
        <v>Não</v>
      </c>
      <c r="AV191" s="3" t="n">
        <v>0.81</v>
      </c>
      <c r="AW191" s="3" t="n">
        <v>0.64</v>
      </c>
      <c r="AX191" s="4" t="n">
        <f aca="false">IF(OR(AV191="",AW191=""),"",IFERROR(IF($K191="%",AW191-AV191,AW191/AV191-1),""))</f>
        <v>-0.17</v>
      </c>
      <c r="AY191" s="5" t="str">
        <f aca="false">IF(OR(AV191="",AW191=""),"",IF($F191="Maior Melhor",IF(AW191&gt;=AV191,"Sim","Não"),IF(AW191&lt;=AV191,"Sim","Não")))</f>
        <v>Não</v>
      </c>
      <c r="AZ191" s="3" t="n">
        <v>0.81</v>
      </c>
      <c r="BA191" s="3" t="n">
        <v>0.64</v>
      </c>
      <c r="BB191" s="4" t="n">
        <f aca="false">IF(OR(AZ191="",BA191=""),"",IFERROR(IF($K191="%",BA191-AZ191,BA191/AZ191-1),""))</f>
        <v>-0.17</v>
      </c>
      <c r="BC191" s="5" t="str">
        <f aca="false">IF(OR(AZ191="",BA191=""),"",IF($F191="Maior Melhor",IF(BA191&gt;=AZ191,"Sim","Não"),IF(BA191&lt;=AZ191,"Sim","Não")))</f>
        <v>Não</v>
      </c>
      <c r="BD191" s="3" t="n">
        <v>0.81</v>
      </c>
      <c r="BE191" s="3" t="n">
        <v>0.71</v>
      </c>
      <c r="BF191" s="4" t="n">
        <f aca="false">IF(OR(BD191="",BE191=""),"",IFERROR(IF($K191="%",BE191-BD191,BE191/BD191-1),""))</f>
        <v>-0.1</v>
      </c>
      <c r="BG191" s="5" t="str">
        <f aca="false">IF(OR(BD191="",BE191=""),"",IF($F191="Maior Melhor",IF(BE191&gt;=BD191,"Sim","Não"),IF(BE191&lt;=BD191,"Sim","Não")))</f>
        <v>Não</v>
      </c>
      <c r="BH191" s="3" t="n">
        <v>0.81</v>
      </c>
      <c r="BI191" s="3" t="n">
        <v>0.71</v>
      </c>
      <c r="BJ191" s="4" t="n">
        <f aca="false">IF(OR(BH191="",BI191=""),"",IFERROR(IF($K191="%",BI191-BH191,BI191/BH191-1),""))</f>
        <v>-0.1</v>
      </c>
      <c r="BK191" s="5" t="str">
        <f aca="false">IF(OR(BH191="",BI191=""),"",IF($F191="Maior Melhor",IF(BI191&gt;=BH191,"Sim","Não"),IF(BI191&lt;=BH191,"Sim","Não")))</f>
        <v>Não</v>
      </c>
      <c r="BL191" s="6"/>
      <c r="BM191" s="6"/>
      <c r="BN191" s="4" t="str">
        <f aca="false">IF(OR(BL191="",BM191=""),"",IFERROR(IF($K191="%",BM191-BL191,BM191/BL191-1),""))</f>
        <v/>
      </c>
      <c r="BO191" s="5" t="str">
        <f aca="false">IF(OR(BL191="",BM191=""),"",IF($F191="Maior Melhor",IF(BM191&gt;=BL191,"Sim","Não"),IF(BM191&lt;=BL191,"Sim","Não")))</f>
        <v/>
      </c>
      <c r="BP191" s="6"/>
      <c r="BQ191" s="6"/>
      <c r="BR191" s="4" t="str">
        <f aca="false">IF(OR(BP191="",BQ191=""),"",IFERROR(IF($K191="%",BQ191-BP191,BQ191/BP191-1),""))</f>
        <v/>
      </c>
      <c r="BS191" s="5" t="str">
        <f aca="false">IF(OR(BP191="",BQ191=""),"",IF($F191="Maior Melhor",IF(BQ191&gt;=BP191,"Sim","Não"),IF(BQ191&lt;=BP191,"Sim","Não")))</f>
        <v/>
      </c>
      <c r="BT191" s="6"/>
      <c r="BU191" s="6"/>
      <c r="BV191" s="4" t="str">
        <f aca="false">IF(OR(BT191="",BU191=""),"",IFERROR(IF($K191="%",BU191-BT191,BU191/BT191-1),""))</f>
        <v/>
      </c>
      <c r="BW191" s="5" t="str">
        <f aca="false">IF(OR(BT191="",BU191=""),"",IF($F191="Maior Melhor",IF(BU191&gt;=BT191,"Sim","Não"),IF(BU191&lt;=BT191,"Sim","Não")))</f>
        <v/>
      </c>
      <c r="BX191" s="6"/>
      <c r="BY191" s="6"/>
      <c r="BZ191" s="4" t="str">
        <f aca="false">IF(OR(BX191="",BY191=""),"",IFERROR(IF($K191="%",BY191-BX191,BY191/BX191-1),""))</f>
        <v/>
      </c>
      <c r="CA191" s="5" t="str">
        <f aca="false">IF(OR(BX191="",BY191=""),"",IF($F191="Maior Melhor",IF(BY191&gt;=BX191,"Sim","Não"),IF(BY191&lt;=BX191,"Sim","Não")))</f>
        <v/>
      </c>
      <c r="CB191" s="6"/>
      <c r="CC191" s="6"/>
      <c r="CD191" s="4" t="str">
        <f aca="false">IF(OR(CB191="",CC191=""),"",IFERROR(IF($K191="%",CC191-CB191,CC191/CB191-1),""))</f>
        <v/>
      </c>
      <c r="CE191" s="5" t="str">
        <f aca="false">IF(OR(CB191="",CC191=""),"",IF($F191="Maior Melhor",IF(CC191&gt;=CB191,"Sim","Não"),IF(CC191&lt;=CB191,"Sim","Não")))</f>
        <v/>
      </c>
      <c r="CF191" s="6"/>
      <c r="CG191" s="6"/>
      <c r="CH191" s="4" t="str">
        <f aca="false">IF(OR(CF191="",CG191=""),"",IFERROR(IF($K191="%",CG191-CF191,CG191/CF191-1),""))</f>
        <v/>
      </c>
      <c r="CI191" s="5" t="str">
        <f aca="false">IF(OR(CF191="",CG191=""),"",IF($F191="Maior Melhor",IF(CG191&gt;=CF191,"Sim","Não"),IF(CG191&lt;=CF191,"Sim","Não")))</f>
        <v/>
      </c>
      <c r="CJ191" s="6"/>
      <c r="CK191" s="6"/>
      <c r="CL191" s="4" t="str">
        <f aca="false">IF(OR(CJ191="",CK191=""),"",IFERROR(IF($K191="%",CK191-CJ191,CK191/CJ191-1),""))</f>
        <v/>
      </c>
      <c r="CM191" s="5" t="str">
        <f aca="false">IF(OR(CJ191="",CK191=""),"",IF($F191="Maior Melhor",IF(CK191&gt;=CJ191,"Sim","Não"),IF(CK191&lt;=CJ191,"Sim","Não")))</f>
        <v/>
      </c>
      <c r="CN191" s="6"/>
      <c r="CO191" s="6"/>
      <c r="CP191" s="4" t="str">
        <f aca="false">IF(OR(CN191="",CO191=""),"",IFERROR(IF($K191="%",CO191-CN191,CO191/CN191-1),""))</f>
        <v/>
      </c>
      <c r="CQ191" s="5" t="str">
        <f aca="false">IF(OR(CN191="",CO191=""),"",IF($F191="Maior Melhor",IF(CO191&gt;=CN191,"Sim","Não"),IF(CO191&lt;=CN191,"Sim","Não")))</f>
        <v/>
      </c>
      <c r="CR191" s="2" t="s">
        <v>105</v>
      </c>
    </row>
    <row r="192" customFormat="false" ht="15" hidden="false" customHeight="false" outlineLevel="0" collapsed="false">
      <c r="A192" s="2" t="s">
        <v>96</v>
      </c>
      <c r="B192" s="2" t="s">
        <v>97</v>
      </c>
      <c r="C192" s="2" t="s">
        <v>122</v>
      </c>
      <c r="D192" s="2" t="s">
        <v>176</v>
      </c>
      <c r="E192" s="2" t="str">
        <f aca="false">C192&amp;D192</f>
        <v>UTD ITABERABAEGE</v>
      </c>
      <c r="F192" s="2" t="s">
        <v>100</v>
      </c>
      <c r="G192" s="2" t="s">
        <v>177</v>
      </c>
      <c r="H192" s="2" t="s">
        <v>102</v>
      </c>
      <c r="I192" s="2" t="s">
        <v>103</v>
      </c>
      <c r="J192" s="2" t="n">
        <v>1</v>
      </c>
      <c r="K192" s="2" t="s">
        <v>104</v>
      </c>
      <c r="L192" s="3"/>
      <c r="M192" s="3"/>
      <c r="N192" s="4" t="str">
        <f aca="false">IF(OR(L192="",M192=""),"",IFERROR(IF($K192="%",M192-L192,M192/L192-1),""))</f>
        <v/>
      </c>
      <c r="O192" s="5" t="str">
        <f aca="false">IF(OR(L192="",M192=""),"",IF($F192="Maior Melhor",IF(M192&gt;=L192,"Sim","Não"),IF(M192&lt;=L192,"Sim","Não")))</f>
        <v/>
      </c>
      <c r="P192" s="3"/>
      <c r="Q192" s="3"/>
      <c r="R192" s="4" t="str">
        <f aca="false">IF(OR(P192="",Q192=""),"",IFERROR(IF($K192="%",Q192-P192,Q192/P192-1),""))</f>
        <v/>
      </c>
      <c r="S192" s="5" t="str">
        <f aca="false">IF(OR(P192="",Q192=""),"",IF($F192="Maior Melhor",IF(Q192&gt;=P192,"Sim","Não"),IF(Q192&lt;=P192,"Sim","Não")))</f>
        <v/>
      </c>
      <c r="T192" s="3"/>
      <c r="U192" s="3"/>
      <c r="V192" s="4" t="str">
        <f aca="false">IF(OR(T192="",U192=""),"",IFERROR(IF($K192="%",U192-T192,U192/T192-1),""))</f>
        <v/>
      </c>
      <c r="W192" s="5" t="str">
        <f aca="false">IF(OR(T192="",U192=""),"",IF($F192="Maior Melhor",IF(U192&gt;=T192,"Sim","Não"),IF(U192&lt;=T192,"Sim","Não")))</f>
        <v/>
      </c>
      <c r="X192" s="3"/>
      <c r="Y192" s="3"/>
      <c r="Z192" s="4" t="str">
        <f aca="false">IF(OR(X192="",Y192=""),"",IFERROR(IF($K192="%",Y192-X192,Y192/X192-1),""))</f>
        <v/>
      </c>
      <c r="AA192" s="5" t="str">
        <f aca="false">IF(OR(X192="",Y192=""),"",IF($F192="Maior Melhor",IF(Y192&gt;=X192,"Sim","Não"),IF(Y192&lt;=X192,"Sim","Não")))</f>
        <v/>
      </c>
      <c r="AB192" s="3"/>
      <c r="AC192" s="3"/>
      <c r="AD192" s="4" t="str">
        <f aca="false">IF(OR(AB192="",AC192=""),"",IFERROR(IF($K192="%",AC192-AB192,AC192/AB192-1),""))</f>
        <v/>
      </c>
      <c r="AE192" s="5" t="str">
        <f aca="false">IF(OR(AB192="",AC192=""),"",IF($F192="Maior Melhor",IF(AC192&gt;=AB192,"Sim","Não"),IF(AC192&lt;=AB192,"Sim","Não")))</f>
        <v/>
      </c>
      <c r="AF192" s="3" t="n">
        <v>0.81</v>
      </c>
      <c r="AG192" s="3" t="n">
        <v>0.801</v>
      </c>
      <c r="AH192" s="4" t="n">
        <f aca="false">IF(OR(AF192="",AG192=""),"",IFERROR(IF($K192="%",AG192-AF192,AG192/AF192-1),""))</f>
        <v>-0.00900000000000001</v>
      </c>
      <c r="AI192" s="5" t="str">
        <f aca="false">IF(OR(AF192="",AG192=""),"",IF($F192="Maior Melhor",IF(AG192&gt;=AF192,"Sim","Não"),IF(AG192&lt;=AF192,"Sim","Não")))</f>
        <v>Não</v>
      </c>
      <c r="AJ192" s="3" t="n">
        <v>0.81</v>
      </c>
      <c r="AK192" s="3" t="n">
        <v>0.7231</v>
      </c>
      <c r="AL192" s="4" t="n">
        <f aca="false">IF(OR(AJ192="",AK192=""),"",IFERROR(IF($K192="%",AK192-AJ192,AK192/AJ192-1),""))</f>
        <v>-0.0869000000000001</v>
      </c>
      <c r="AM192" s="5" t="str">
        <f aca="false">IF(OR(AJ192="",AK192=""),"",IF($F192="Maior Melhor",IF(AK192&gt;=AJ192,"Sim","Não"),IF(AK192&lt;=AJ192,"Sim","Não")))</f>
        <v>Não</v>
      </c>
      <c r="AN192" s="3" t="n">
        <v>0.81</v>
      </c>
      <c r="AO192" s="3" t="n">
        <v>0.77</v>
      </c>
      <c r="AP192" s="4" t="n">
        <f aca="false">IF(OR(AN192="",AO192=""),"",IFERROR(IF($K192="%",AO192-AN192,AO192/AN192-1),""))</f>
        <v>-0.04</v>
      </c>
      <c r="AQ192" s="5" t="str">
        <f aca="false">IF(OR(AN192="",AO192=""),"",IF($F192="Maior Melhor",IF(AO192&gt;=AN192,"Sim","Não"),IF(AO192&lt;=AN192,"Sim","Não")))</f>
        <v>Não</v>
      </c>
      <c r="AR192" s="3" t="n">
        <v>0.81</v>
      </c>
      <c r="AS192" s="3" t="n">
        <v>0.77</v>
      </c>
      <c r="AT192" s="4" t="n">
        <f aca="false">IF(OR(AR192="",AS192=""),"",IFERROR(IF($K192="%",AS192-AR192,AS192/AR192-1),""))</f>
        <v>-0.04</v>
      </c>
      <c r="AU192" s="5" t="str">
        <f aca="false">IF(OR(AR192="",AS192=""),"",IF($F192="Maior Melhor",IF(AS192&gt;=AR192,"Sim","Não"),IF(AS192&lt;=AR192,"Sim","Não")))</f>
        <v>Não</v>
      </c>
      <c r="AV192" s="3" t="n">
        <v>0.81</v>
      </c>
      <c r="AW192" s="3" t="n">
        <v>0.78</v>
      </c>
      <c r="AX192" s="4" t="n">
        <f aca="false">IF(OR(AV192="",AW192=""),"",IFERROR(IF($K192="%",AW192-AV192,AW192/AV192-1),""))</f>
        <v>-0.03</v>
      </c>
      <c r="AY192" s="5" t="str">
        <f aca="false">IF(OR(AV192="",AW192=""),"",IF($F192="Maior Melhor",IF(AW192&gt;=AV192,"Sim","Não"),IF(AW192&lt;=AV192,"Sim","Não")))</f>
        <v>Não</v>
      </c>
      <c r="AZ192" s="3" t="n">
        <v>0.81</v>
      </c>
      <c r="BA192" s="3" t="n">
        <v>0.78</v>
      </c>
      <c r="BB192" s="4" t="n">
        <f aca="false">IF(OR(AZ192="",BA192=""),"",IFERROR(IF($K192="%",BA192-AZ192,BA192/AZ192-1),""))</f>
        <v>-0.03</v>
      </c>
      <c r="BC192" s="5" t="str">
        <f aca="false">IF(OR(AZ192="",BA192=""),"",IF($F192="Maior Melhor",IF(BA192&gt;=AZ192,"Sim","Não"),IF(BA192&lt;=AZ192,"Sim","Não")))</f>
        <v>Não</v>
      </c>
      <c r="BD192" s="3" t="n">
        <v>0.81</v>
      </c>
      <c r="BE192" s="3" t="n">
        <v>0.9</v>
      </c>
      <c r="BF192" s="4" t="n">
        <f aca="false">IF(OR(BD192="",BE192=""),"",IFERROR(IF($K192="%",BE192-BD192,BE192/BD192-1),""))</f>
        <v>0.09</v>
      </c>
      <c r="BG192" s="5" t="str">
        <f aca="false">IF(OR(BD192="",BE192=""),"",IF($F192="Maior Melhor",IF(BE192&gt;=BD192,"Sim","Não"),IF(BE192&lt;=BD192,"Sim","Não")))</f>
        <v>Sim</v>
      </c>
      <c r="BH192" s="3" t="n">
        <v>0.81</v>
      </c>
      <c r="BI192" s="3" t="n">
        <v>0.9</v>
      </c>
      <c r="BJ192" s="4" t="n">
        <f aca="false">IF(OR(BH192="",BI192=""),"",IFERROR(IF($K192="%",BI192-BH192,BI192/BH192-1),""))</f>
        <v>0.09</v>
      </c>
      <c r="BK192" s="5" t="str">
        <f aca="false">IF(OR(BH192="",BI192=""),"",IF($F192="Maior Melhor",IF(BI192&gt;=BH192,"Sim","Não"),IF(BI192&lt;=BH192,"Sim","Não")))</f>
        <v>Sim</v>
      </c>
      <c r="BL192" s="6"/>
      <c r="BM192" s="6"/>
      <c r="BN192" s="4" t="str">
        <f aca="false">IF(OR(BL192="",BM192=""),"",IFERROR(IF($K192="%",BM192-BL192,BM192/BL192-1),""))</f>
        <v/>
      </c>
      <c r="BO192" s="5" t="str">
        <f aca="false">IF(OR(BL192="",BM192=""),"",IF($F192="Maior Melhor",IF(BM192&gt;=BL192,"Sim","Não"),IF(BM192&lt;=BL192,"Sim","Não")))</f>
        <v/>
      </c>
      <c r="BP192" s="6"/>
      <c r="BQ192" s="6"/>
      <c r="BR192" s="4" t="str">
        <f aca="false">IF(OR(BP192="",BQ192=""),"",IFERROR(IF($K192="%",BQ192-BP192,BQ192/BP192-1),""))</f>
        <v/>
      </c>
      <c r="BS192" s="5" t="str">
        <f aca="false">IF(OR(BP192="",BQ192=""),"",IF($F192="Maior Melhor",IF(BQ192&gt;=BP192,"Sim","Não"),IF(BQ192&lt;=BP192,"Sim","Não")))</f>
        <v/>
      </c>
      <c r="BT192" s="6"/>
      <c r="BU192" s="6"/>
      <c r="BV192" s="4" t="str">
        <f aca="false">IF(OR(BT192="",BU192=""),"",IFERROR(IF($K192="%",BU192-BT192,BU192/BT192-1),""))</f>
        <v/>
      </c>
      <c r="BW192" s="5" t="str">
        <f aca="false">IF(OR(BT192="",BU192=""),"",IF($F192="Maior Melhor",IF(BU192&gt;=BT192,"Sim","Não"),IF(BU192&lt;=BT192,"Sim","Não")))</f>
        <v/>
      </c>
      <c r="BX192" s="6"/>
      <c r="BY192" s="6"/>
      <c r="BZ192" s="4" t="str">
        <f aca="false">IF(OR(BX192="",BY192=""),"",IFERROR(IF($K192="%",BY192-BX192,BY192/BX192-1),""))</f>
        <v/>
      </c>
      <c r="CA192" s="5" t="str">
        <f aca="false">IF(OR(BX192="",BY192=""),"",IF($F192="Maior Melhor",IF(BY192&gt;=BX192,"Sim","Não"),IF(BY192&lt;=BX192,"Sim","Não")))</f>
        <v/>
      </c>
      <c r="CB192" s="6"/>
      <c r="CC192" s="6"/>
      <c r="CD192" s="4" t="str">
        <f aca="false">IF(OR(CB192="",CC192=""),"",IFERROR(IF($K192="%",CC192-CB192,CC192/CB192-1),""))</f>
        <v/>
      </c>
      <c r="CE192" s="5" t="str">
        <f aca="false">IF(OR(CB192="",CC192=""),"",IF($F192="Maior Melhor",IF(CC192&gt;=CB192,"Sim","Não"),IF(CC192&lt;=CB192,"Sim","Não")))</f>
        <v/>
      </c>
      <c r="CF192" s="6"/>
      <c r="CG192" s="6"/>
      <c r="CH192" s="4" t="str">
        <f aca="false">IF(OR(CF192="",CG192=""),"",IFERROR(IF($K192="%",CG192-CF192,CG192/CF192-1),""))</f>
        <v/>
      </c>
      <c r="CI192" s="5" t="str">
        <f aca="false">IF(OR(CF192="",CG192=""),"",IF($F192="Maior Melhor",IF(CG192&gt;=CF192,"Sim","Não"),IF(CG192&lt;=CF192,"Sim","Não")))</f>
        <v/>
      </c>
      <c r="CJ192" s="6"/>
      <c r="CK192" s="6"/>
      <c r="CL192" s="4" t="str">
        <f aca="false">IF(OR(CJ192="",CK192=""),"",IFERROR(IF($K192="%",CK192-CJ192,CK192/CJ192-1),""))</f>
        <v/>
      </c>
      <c r="CM192" s="5" t="str">
        <f aca="false">IF(OR(CJ192="",CK192=""),"",IF($F192="Maior Melhor",IF(CK192&gt;=CJ192,"Sim","Não"),IF(CK192&lt;=CJ192,"Sim","Não")))</f>
        <v/>
      </c>
      <c r="CN192" s="6"/>
      <c r="CO192" s="6"/>
      <c r="CP192" s="4" t="str">
        <f aca="false">IF(OR(CN192="",CO192=""),"",IFERROR(IF($K192="%",CO192-CN192,CO192/CN192-1),""))</f>
        <v/>
      </c>
      <c r="CQ192" s="5" t="str">
        <f aca="false">IF(OR(CN192="",CO192=""),"",IF($F192="Maior Melhor",IF(CO192&gt;=CN192,"Sim","Não"),IF(CO192&lt;=CN192,"Sim","Não")))</f>
        <v/>
      </c>
      <c r="CR192" s="2" t="s">
        <v>142</v>
      </c>
    </row>
    <row r="193" customFormat="false" ht="15" hidden="false" customHeight="false" outlineLevel="0" collapsed="false">
      <c r="A193" s="2" t="s">
        <v>96</v>
      </c>
      <c r="B193" s="2" t="s">
        <v>108</v>
      </c>
      <c r="C193" s="2" t="s">
        <v>124</v>
      </c>
      <c r="D193" s="2" t="s">
        <v>176</v>
      </c>
      <c r="E193" s="2" t="str">
        <f aca="false">C193&amp;D193</f>
        <v>UTD ITAPETINGAEGE</v>
      </c>
      <c r="F193" s="2" t="s">
        <v>100</v>
      </c>
      <c r="G193" s="2" t="s">
        <v>177</v>
      </c>
      <c r="H193" s="2" t="s">
        <v>102</v>
      </c>
      <c r="I193" s="2" t="s">
        <v>103</v>
      </c>
      <c r="J193" s="2" t="n">
        <v>1</v>
      </c>
      <c r="K193" s="2" t="s">
        <v>104</v>
      </c>
      <c r="L193" s="3"/>
      <c r="M193" s="3"/>
      <c r="N193" s="4" t="str">
        <f aca="false">IF(OR(L193="",M193=""),"",IFERROR(IF($K193="%",M193-L193,M193/L193-1),""))</f>
        <v/>
      </c>
      <c r="O193" s="5" t="str">
        <f aca="false">IF(OR(L193="",M193=""),"",IF($F193="Maior Melhor",IF(M193&gt;=L193,"Sim","Não"),IF(M193&lt;=L193,"Sim","Não")))</f>
        <v/>
      </c>
      <c r="P193" s="3"/>
      <c r="Q193" s="3"/>
      <c r="R193" s="4" t="str">
        <f aca="false">IF(OR(P193="",Q193=""),"",IFERROR(IF($K193="%",Q193-P193,Q193/P193-1),""))</f>
        <v/>
      </c>
      <c r="S193" s="5" t="str">
        <f aca="false">IF(OR(P193="",Q193=""),"",IF($F193="Maior Melhor",IF(Q193&gt;=P193,"Sim","Não"),IF(Q193&lt;=P193,"Sim","Não")))</f>
        <v/>
      </c>
      <c r="T193" s="3"/>
      <c r="U193" s="3"/>
      <c r="V193" s="4" t="str">
        <f aca="false">IF(OR(T193="",U193=""),"",IFERROR(IF($K193="%",U193-T193,U193/T193-1),""))</f>
        <v/>
      </c>
      <c r="W193" s="5" t="str">
        <f aca="false">IF(OR(T193="",U193=""),"",IF($F193="Maior Melhor",IF(U193&gt;=T193,"Sim","Não"),IF(U193&lt;=T193,"Sim","Não")))</f>
        <v/>
      </c>
      <c r="X193" s="3"/>
      <c r="Y193" s="3"/>
      <c r="Z193" s="4" t="str">
        <f aca="false">IF(OR(X193="",Y193=""),"",IFERROR(IF($K193="%",Y193-X193,Y193/X193-1),""))</f>
        <v/>
      </c>
      <c r="AA193" s="5" t="str">
        <f aca="false">IF(OR(X193="",Y193=""),"",IF($F193="Maior Melhor",IF(Y193&gt;=X193,"Sim","Não"),IF(Y193&lt;=X193,"Sim","Não")))</f>
        <v/>
      </c>
      <c r="AB193" s="3"/>
      <c r="AC193" s="3"/>
      <c r="AD193" s="4" t="str">
        <f aca="false">IF(OR(AB193="",AC193=""),"",IFERROR(IF($K193="%",AC193-AB193,AC193/AB193-1),""))</f>
        <v/>
      </c>
      <c r="AE193" s="5" t="str">
        <f aca="false">IF(OR(AB193="",AC193=""),"",IF($F193="Maior Melhor",IF(AC193&gt;=AB193,"Sim","Não"),IF(AC193&lt;=AB193,"Sim","Não")))</f>
        <v/>
      </c>
      <c r="AF193" s="3" t="n">
        <v>0.81</v>
      </c>
      <c r="AG193" s="3" t="n">
        <v>0.6305</v>
      </c>
      <c r="AH193" s="4" t="n">
        <f aca="false">IF(OR(AF193="",AG193=""),"",IFERROR(IF($K193="%",AG193-AF193,AG193/AF193-1),""))</f>
        <v>-0.1795</v>
      </c>
      <c r="AI193" s="5" t="str">
        <f aca="false">IF(OR(AF193="",AG193=""),"",IF($F193="Maior Melhor",IF(AG193&gt;=AF193,"Sim","Não"),IF(AG193&lt;=AF193,"Sim","Não")))</f>
        <v>Não</v>
      </c>
      <c r="AJ193" s="3" t="n">
        <v>0.81</v>
      </c>
      <c r="AK193" s="3" t="n">
        <v>0.5542</v>
      </c>
      <c r="AL193" s="4" t="n">
        <f aca="false">IF(OR(AJ193="",AK193=""),"",IFERROR(IF($K193="%",AK193-AJ193,AK193/AJ193-1),""))</f>
        <v>-0.2558</v>
      </c>
      <c r="AM193" s="5" t="str">
        <f aca="false">IF(OR(AJ193="",AK193=""),"",IF($F193="Maior Melhor",IF(AK193&gt;=AJ193,"Sim","Não"),IF(AK193&lt;=AJ193,"Sim","Não")))</f>
        <v>Não</v>
      </c>
      <c r="AN193" s="3" t="n">
        <v>0.81</v>
      </c>
      <c r="AO193" s="3" t="n">
        <v>0.74</v>
      </c>
      <c r="AP193" s="4" t="n">
        <f aca="false">IF(OR(AN193="",AO193=""),"",IFERROR(IF($K193="%",AO193-AN193,AO193/AN193-1),""))</f>
        <v>-0.0700000000000001</v>
      </c>
      <c r="AQ193" s="5" t="str">
        <f aca="false">IF(OR(AN193="",AO193=""),"",IF($F193="Maior Melhor",IF(AO193&gt;=AN193,"Sim","Não"),IF(AO193&lt;=AN193,"Sim","Não")))</f>
        <v>Não</v>
      </c>
      <c r="AR193" s="3" t="n">
        <v>0.81</v>
      </c>
      <c r="AS193" s="3" t="n">
        <v>0.74</v>
      </c>
      <c r="AT193" s="4" t="n">
        <f aca="false">IF(OR(AR193="",AS193=""),"",IFERROR(IF($K193="%",AS193-AR193,AS193/AR193-1),""))</f>
        <v>-0.0700000000000001</v>
      </c>
      <c r="AU193" s="5" t="str">
        <f aca="false">IF(OR(AR193="",AS193=""),"",IF($F193="Maior Melhor",IF(AS193&gt;=AR193,"Sim","Não"),IF(AS193&lt;=AR193,"Sim","Não")))</f>
        <v>Não</v>
      </c>
      <c r="AV193" s="3" t="n">
        <v>0.81</v>
      </c>
      <c r="AW193" s="3" t="n">
        <v>0.72</v>
      </c>
      <c r="AX193" s="4" t="n">
        <f aca="false">IF(OR(AV193="",AW193=""),"",IFERROR(IF($K193="%",AW193-AV193,AW193/AV193-1),""))</f>
        <v>-0.0900000000000001</v>
      </c>
      <c r="AY193" s="5" t="str">
        <f aca="false">IF(OR(AV193="",AW193=""),"",IF($F193="Maior Melhor",IF(AW193&gt;=AV193,"Sim","Não"),IF(AW193&lt;=AV193,"Sim","Não")))</f>
        <v>Não</v>
      </c>
      <c r="AZ193" s="3" t="n">
        <v>0.81</v>
      </c>
      <c r="BA193" s="3" t="n">
        <v>0.72</v>
      </c>
      <c r="BB193" s="4" t="n">
        <f aca="false">IF(OR(AZ193="",BA193=""),"",IFERROR(IF($K193="%",BA193-AZ193,BA193/AZ193-1),""))</f>
        <v>-0.0900000000000001</v>
      </c>
      <c r="BC193" s="5" t="str">
        <f aca="false">IF(OR(AZ193="",BA193=""),"",IF($F193="Maior Melhor",IF(BA193&gt;=AZ193,"Sim","Não"),IF(BA193&lt;=AZ193,"Sim","Não")))</f>
        <v>Não</v>
      </c>
      <c r="BD193" s="3" t="n">
        <v>0.81</v>
      </c>
      <c r="BE193" s="3" t="n">
        <v>0.77</v>
      </c>
      <c r="BF193" s="4" t="n">
        <f aca="false">IF(OR(BD193="",BE193=""),"",IFERROR(IF($K193="%",BE193-BD193,BE193/BD193-1),""))</f>
        <v>-0.04</v>
      </c>
      <c r="BG193" s="5" t="str">
        <f aca="false">IF(OR(BD193="",BE193=""),"",IF($F193="Maior Melhor",IF(BE193&gt;=BD193,"Sim","Não"),IF(BE193&lt;=BD193,"Sim","Não")))</f>
        <v>Não</v>
      </c>
      <c r="BH193" s="3" t="n">
        <v>0.81</v>
      </c>
      <c r="BI193" s="3" t="n">
        <v>0.77</v>
      </c>
      <c r="BJ193" s="4" t="n">
        <f aca="false">IF(OR(BH193="",BI193=""),"",IFERROR(IF($K193="%",BI193-BH193,BI193/BH193-1),""))</f>
        <v>-0.04</v>
      </c>
      <c r="BK193" s="5" t="str">
        <f aca="false">IF(OR(BH193="",BI193=""),"",IF($F193="Maior Melhor",IF(BI193&gt;=BH193,"Sim","Não"),IF(BI193&lt;=BH193,"Sim","Não")))</f>
        <v>Não</v>
      </c>
      <c r="BL193" s="6"/>
      <c r="BM193" s="6"/>
      <c r="BN193" s="4" t="str">
        <f aca="false">IF(OR(BL193="",BM193=""),"",IFERROR(IF($K193="%",BM193-BL193,BM193/BL193-1),""))</f>
        <v/>
      </c>
      <c r="BO193" s="5" t="str">
        <f aca="false">IF(OR(BL193="",BM193=""),"",IF($F193="Maior Melhor",IF(BM193&gt;=BL193,"Sim","Não"),IF(BM193&lt;=BL193,"Sim","Não")))</f>
        <v/>
      </c>
      <c r="BP193" s="6"/>
      <c r="BQ193" s="6"/>
      <c r="BR193" s="4" t="str">
        <f aca="false">IF(OR(BP193="",BQ193=""),"",IFERROR(IF($K193="%",BQ193-BP193,BQ193/BP193-1),""))</f>
        <v/>
      </c>
      <c r="BS193" s="5" t="str">
        <f aca="false">IF(OR(BP193="",BQ193=""),"",IF($F193="Maior Melhor",IF(BQ193&gt;=BP193,"Sim","Não"),IF(BQ193&lt;=BP193,"Sim","Não")))</f>
        <v/>
      </c>
      <c r="BT193" s="6"/>
      <c r="BU193" s="6"/>
      <c r="BV193" s="4" t="str">
        <f aca="false">IF(OR(BT193="",BU193=""),"",IFERROR(IF($K193="%",BU193-BT193,BU193/BT193-1),""))</f>
        <v/>
      </c>
      <c r="BW193" s="5" t="str">
        <f aca="false">IF(OR(BT193="",BU193=""),"",IF($F193="Maior Melhor",IF(BU193&gt;=BT193,"Sim","Não"),IF(BU193&lt;=BT193,"Sim","Não")))</f>
        <v/>
      </c>
      <c r="BX193" s="6"/>
      <c r="BY193" s="6"/>
      <c r="BZ193" s="4" t="str">
        <f aca="false">IF(OR(BX193="",BY193=""),"",IFERROR(IF($K193="%",BY193-BX193,BY193/BX193-1),""))</f>
        <v/>
      </c>
      <c r="CA193" s="5" t="str">
        <f aca="false">IF(OR(BX193="",BY193=""),"",IF($F193="Maior Melhor",IF(BY193&gt;=BX193,"Sim","Não"),IF(BY193&lt;=BX193,"Sim","Não")))</f>
        <v/>
      </c>
      <c r="CB193" s="6"/>
      <c r="CC193" s="6"/>
      <c r="CD193" s="4" t="str">
        <f aca="false">IF(OR(CB193="",CC193=""),"",IFERROR(IF($K193="%",CC193-CB193,CC193/CB193-1),""))</f>
        <v/>
      </c>
      <c r="CE193" s="5" t="str">
        <f aca="false">IF(OR(CB193="",CC193=""),"",IF($F193="Maior Melhor",IF(CC193&gt;=CB193,"Sim","Não"),IF(CC193&lt;=CB193,"Sim","Não")))</f>
        <v/>
      </c>
      <c r="CF193" s="6"/>
      <c r="CG193" s="6"/>
      <c r="CH193" s="4" t="str">
        <f aca="false">IF(OR(CF193="",CG193=""),"",IFERROR(IF($K193="%",CG193-CF193,CG193/CF193-1),""))</f>
        <v/>
      </c>
      <c r="CI193" s="5" t="str">
        <f aca="false">IF(OR(CF193="",CG193=""),"",IF($F193="Maior Melhor",IF(CG193&gt;=CF193,"Sim","Não"),IF(CG193&lt;=CF193,"Sim","Não")))</f>
        <v/>
      </c>
      <c r="CJ193" s="6"/>
      <c r="CK193" s="6"/>
      <c r="CL193" s="4" t="str">
        <f aca="false">IF(OR(CJ193="",CK193=""),"",IFERROR(IF($K193="%",CK193-CJ193,CK193/CJ193-1),""))</f>
        <v/>
      </c>
      <c r="CM193" s="5" t="str">
        <f aca="false">IF(OR(CJ193="",CK193=""),"",IF($F193="Maior Melhor",IF(CK193&gt;=CJ193,"Sim","Não"),IF(CK193&lt;=CJ193,"Sim","Não")))</f>
        <v/>
      </c>
      <c r="CN193" s="6"/>
      <c r="CO193" s="6"/>
      <c r="CP193" s="4" t="str">
        <f aca="false">IF(OR(CN193="",CO193=""),"",IFERROR(IF($K193="%",CO193-CN193,CO193/CN193-1),""))</f>
        <v/>
      </c>
      <c r="CQ193" s="5" t="str">
        <f aca="false">IF(OR(CN193="",CO193=""),"",IF($F193="Maior Melhor",IF(CO193&gt;=CN193,"Sim","Não"),IF(CO193&lt;=CN193,"Sim","Não")))</f>
        <v/>
      </c>
      <c r="CR193" s="2" t="s">
        <v>105</v>
      </c>
    </row>
    <row r="194" customFormat="false" ht="15" hidden="false" customHeight="false" outlineLevel="0" collapsed="false">
      <c r="A194" s="2" t="s">
        <v>96</v>
      </c>
      <c r="B194" s="2" t="s">
        <v>97</v>
      </c>
      <c r="C194" s="2" t="s">
        <v>125</v>
      </c>
      <c r="D194" s="2" t="s">
        <v>176</v>
      </c>
      <c r="E194" s="2" t="str">
        <f aca="false">C194&amp;D194</f>
        <v>UTD JEQUIÉEGE</v>
      </c>
      <c r="F194" s="2" t="s">
        <v>100</v>
      </c>
      <c r="G194" s="2" t="s">
        <v>177</v>
      </c>
      <c r="H194" s="2" t="s">
        <v>102</v>
      </c>
      <c r="I194" s="2" t="s">
        <v>103</v>
      </c>
      <c r="J194" s="2" t="n">
        <v>1</v>
      </c>
      <c r="K194" s="2" t="s">
        <v>104</v>
      </c>
      <c r="L194" s="3"/>
      <c r="M194" s="3"/>
      <c r="N194" s="4" t="str">
        <f aca="false">IF(OR(L194="",M194=""),"",IFERROR(IF($K194="%",M194-L194,M194/L194-1),""))</f>
        <v/>
      </c>
      <c r="O194" s="5" t="str">
        <f aca="false">IF(OR(L194="",M194=""),"",IF($F194="Maior Melhor",IF(M194&gt;=L194,"Sim","Não"),IF(M194&lt;=L194,"Sim","Não")))</f>
        <v/>
      </c>
      <c r="P194" s="3"/>
      <c r="Q194" s="3"/>
      <c r="R194" s="4" t="str">
        <f aca="false">IF(OR(P194="",Q194=""),"",IFERROR(IF($K194="%",Q194-P194,Q194/P194-1),""))</f>
        <v/>
      </c>
      <c r="S194" s="5" t="str">
        <f aca="false">IF(OR(P194="",Q194=""),"",IF($F194="Maior Melhor",IF(Q194&gt;=P194,"Sim","Não"),IF(Q194&lt;=P194,"Sim","Não")))</f>
        <v/>
      </c>
      <c r="T194" s="3"/>
      <c r="U194" s="3"/>
      <c r="V194" s="4" t="str">
        <f aca="false">IF(OR(T194="",U194=""),"",IFERROR(IF($K194="%",U194-T194,U194/T194-1),""))</f>
        <v/>
      </c>
      <c r="W194" s="5" t="str">
        <f aca="false">IF(OR(T194="",U194=""),"",IF($F194="Maior Melhor",IF(U194&gt;=T194,"Sim","Não"),IF(U194&lt;=T194,"Sim","Não")))</f>
        <v/>
      </c>
      <c r="X194" s="3"/>
      <c r="Y194" s="3"/>
      <c r="Z194" s="4" t="str">
        <f aca="false">IF(OR(X194="",Y194=""),"",IFERROR(IF($K194="%",Y194-X194,Y194/X194-1),""))</f>
        <v/>
      </c>
      <c r="AA194" s="5" t="str">
        <f aca="false">IF(OR(X194="",Y194=""),"",IF($F194="Maior Melhor",IF(Y194&gt;=X194,"Sim","Não"),IF(Y194&lt;=X194,"Sim","Não")))</f>
        <v/>
      </c>
      <c r="AB194" s="3"/>
      <c r="AC194" s="3"/>
      <c r="AD194" s="4" t="str">
        <f aca="false">IF(OR(AB194="",AC194=""),"",IFERROR(IF($K194="%",AC194-AB194,AC194/AB194-1),""))</f>
        <v/>
      </c>
      <c r="AE194" s="5" t="str">
        <f aca="false">IF(OR(AB194="",AC194=""),"",IF($F194="Maior Melhor",IF(AC194&gt;=AB194,"Sim","Não"),IF(AC194&lt;=AB194,"Sim","Não")))</f>
        <v/>
      </c>
      <c r="AF194" s="3" t="n">
        <v>0.81</v>
      </c>
      <c r="AG194" s="3" t="n">
        <v>0.7508</v>
      </c>
      <c r="AH194" s="4" t="n">
        <f aca="false">IF(OR(AF194="",AG194=""),"",IFERROR(IF($K194="%",AG194-AF194,AG194/AF194-1),""))</f>
        <v>-0.0592</v>
      </c>
      <c r="AI194" s="5" t="str">
        <f aca="false">IF(OR(AF194="",AG194=""),"",IF($F194="Maior Melhor",IF(AG194&gt;=AF194,"Sim","Não"),IF(AG194&lt;=AF194,"Sim","Não")))</f>
        <v>Não</v>
      </c>
      <c r="AJ194" s="3" t="n">
        <v>0.81</v>
      </c>
      <c r="AK194" s="3" t="n">
        <v>0.6302</v>
      </c>
      <c r="AL194" s="4" t="n">
        <f aca="false">IF(OR(AJ194="",AK194=""),"",IFERROR(IF($K194="%",AK194-AJ194,AK194/AJ194-1),""))</f>
        <v>-0.1798</v>
      </c>
      <c r="AM194" s="5" t="str">
        <f aca="false">IF(OR(AJ194="",AK194=""),"",IF($F194="Maior Melhor",IF(AK194&gt;=AJ194,"Sim","Não"),IF(AK194&lt;=AJ194,"Sim","Não")))</f>
        <v>Não</v>
      </c>
      <c r="AN194" s="3" t="n">
        <v>0.81</v>
      </c>
      <c r="AO194" s="3" t="n">
        <v>0.72</v>
      </c>
      <c r="AP194" s="4" t="n">
        <f aca="false">IF(OR(AN194="",AO194=""),"",IFERROR(IF($K194="%",AO194-AN194,AO194/AN194-1),""))</f>
        <v>-0.0900000000000001</v>
      </c>
      <c r="AQ194" s="5" t="str">
        <f aca="false">IF(OR(AN194="",AO194=""),"",IF($F194="Maior Melhor",IF(AO194&gt;=AN194,"Sim","Não"),IF(AO194&lt;=AN194,"Sim","Não")))</f>
        <v>Não</v>
      </c>
      <c r="AR194" s="3" t="n">
        <v>0.81</v>
      </c>
      <c r="AS194" s="3" t="n">
        <v>0.72</v>
      </c>
      <c r="AT194" s="4" t="n">
        <f aca="false">IF(OR(AR194="",AS194=""),"",IFERROR(IF($K194="%",AS194-AR194,AS194/AR194-1),""))</f>
        <v>-0.0900000000000001</v>
      </c>
      <c r="AU194" s="5" t="str">
        <f aca="false">IF(OR(AR194="",AS194=""),"",IF($F194="Maior Melhor",IF(AS194&gt;=AR194,"Sim","Não"),IF(AS194&lt;=AR194,"Sim","Não")))</f>
        <v>Não</v>
      </c>
      <c r="AV194" s="3" t="n">
        <v>0.81</v>
      </c>
      <c r="AW194" s="3" t="n">
        <v>0.76</v>
      </c>
      <c r="AX194" s="4" t="n">
        <f aca="false">IF(OR(AV194="",AW194=""),"",IFERROR(IF($K194="%",AW194-AV194,AW194/AV194-1),""))</f>
        <v>-0.05</v>
      </c>
      <c r="AY194" s="5" t="str">
        <f aca="false">IF(OR(AV194="",AW194=""),"",IF($F194="Maior Melhor",IF(AW194&gt;=AV194,"Sim","Não"),IF(AW194&lt;=AV194,"Sim","Não")))</f>
        <v>Não</v>
      </c>
      <c r="AZ194" s="3" t="n">
        <v>0.81</v>
      </c>
      <c r="BA194" s="3" t="n">
        <v>0.76</v>
      </c>
      <c r="BB194" s="4" t="n">
        <f aca="false">IF(OR(AZ194="",BA194=""),"",IFERROR(IF($K194="%",BA194-AZ194,BA194/AZ194-1),""))</f>
        <v>-0.05</v>
      </c>
      <c r="BC194" s="5" t="str">
        <f aca="false">IF(OR(AZ194="",BA194=""),"",IF($F194="Maior Melhor",IF(BA194&gt;=AZ194,"Sim","Não"),IF(BA194&lt;=AZ194,"Sim","Não")))</f>
        <v>Não</v>
      </c>
      <c r="BD194" s="3" t="n">
        <v>0.81</v>
      </c>
      <c r="BE194" s="3" t="n">
        <v>0.73</v>
      </c>
      <c r="BF194" s="4" t="n">
        <f aca="false">IF(OR(BD194="",BE194=""),"",IFERROR(IF($K194="%",BE194-BD194,BE194/BD194-1),""))</f>
        <v>-0.0800000000000001</v>
      </c>
      <c r="BG194" s="5" t="str">
        <f aca="false">IF(OR(BD194="",BE194=""),"",IF($F194="Maior Melhor",IF(BE194&gt;=BD194,"Sim","Não"),IF(BE194&lt;=BD194,"Sim","Não")))</f>
        <v>Não</v>
      </c>
      <c r="BH194" s="3" t="n">
        <v>0.81</v>
      </c>
      <c r="BI194" s="3" t="n">
        <v>0.73</v>
      </c>
      <c r="BJ194" s="4" t="n">
        <f aca="false">IF(OR(BH194="",BI194=""),"",IFERROR(IF($K194="%",BI194-BH194,BI194/BH194-1),""))</f>
        <v>-0.0800000000000001</v>
      </c>
      <c r="BK194" s="5" t="str">
        <f aca="false">IF(OR(BH194="",BI194=""),"",IF($F194="Maior Melhor",IF(BI194&gt;=BH194,"Sim","Não"),IF(BI194&lt;=BH194,"Sim","Não")))</f>
        <v>Não</v>
      </c>
      <c r="BL194" s="6"/>
      <c r="BM194" s="6"/>
      <c r="BN194" s="4" t="str">
        <f aca="false">IF(OR(BL194="",BM194=""),"",IFERROR(IF($K194="%",BM194-BL194,BM194/BL194-1),""))</f>
        <v/>
      </c>
      <c r="BO194" s="5" t="str">
        <f aca="false">IF(OR(BL194="",BM194=""),"",IF($F194="Maior Melhor",IF(BM194&gt;=BL194,"Sim","Não"),IF(BM194&lt;=BL194,"Sim","Não")))</f>
        <v/>
      </c>
      <c r="BP194" s="6"/>
      <c r="BQ194" s="6"/>
      <c r="BR194" s="4" t="str">
        <f aca="false">IF(OR(BP194="",BQ194=""),"",IFERROR(IF($K194="%",BQ194-BP194,BQ194/BP194-1),""))</f>
        <v/>
      </c>
      <c r="BS194" s="5" t="str">
        <f aca="false">IF(OR(BP194="",BQ194=""),"",IF($F194="Maior Melhor",IF(BQ194&gt;=BP194,"Sim","Não"),IF(BQ194&lt;=BP194,"Sim","Não")))</f>
        <v/>
      </c>
      <c r="BT194" s="6"/>
      <c r="BU194" s="6"/>
      <c r="BV194" s="4" t="str">
        <f aca="false">IF(OR(BT194="",BU194=""),"",IFERROR(IF($K194="%",BU194-BT194,BU194/BT194-1),""))</f>
        <v/>
      </c>
      <c r="BW194" s="5" t="str">
        <f aca="false">IF(OR(BT194="",BU194=""),"",IF($F194="Maior Melhor",IF(BU194&gt;=BT194,"Sim","Não"),IF(BU194&lt;=BT194,"Sim","Não")))</f>
        <v/>
      </c>
      <c r="BX194" s="6"/>
      <c r="BY194" s="6"/>
      <c r="BZ194" s="4" t="str">
        <f aca="false">IF(OR(BX194="",BY194=""),"",IFERROR(IF($K194="%",BY194-BX194,BY194/BX194-1),""))</f>
        <v/>
      </c>
      <c r="CA194" s="5" t="str">
        <f aca="false">IF(OR(BX194="",BY194=""),"",IF($F194="Maior Melhor",IF(BY194&gt;=BX194,"Sim","Não"),IF(BY194&lt;=BX194,"Sim","Não")))</f>
        <v/>
      </c>
      <c r="CB194" s="6"/>
      <c r="CC194" s="6"/>
      <c r="CD194" s="4" t="str">
        <f aca="false">IF(OR(CB194="",CC194=""),"",IFERROR(IF($K194="%",CC194-CB194,CC194/CB194-1),""))</f>
        <v/>
      </c>
      <c r="CE194" s="5" t="str">
        <f aca="false">IF(OR(CB194="",CC194=""),"",IF($F194="Maior Melhor",IF(CC194&gt;=CB194,"Sim","Não"),IF(CC194&lt;=CB194,"Sim","Não")))</f>
        <v/>
      </c>
      <c r="CF194" s="6"/>
      <c r="CG194" s="6"/>
      <c r="CH194" s="4" t="str">
        <f aca="false">IF(OR(CF194="",CG194=""),"",IFERROR(IF($K194="%",CG194-CF194,CG194/CF194-1),""))</f>
        <v/>
      </c>
      <c r="CI194" s="5" t="str">
        <f aca="false">IF(OR(CF194="",CG194=""),"",IF($F194="Maior Melhor",IF(CG194&gt;=CF194,"Sim","Não"),IF(CG194&lt;=CF194,"Sim","Não")))</f>
        <v/>
      </c>
      <c r="CJ194" s="6"/>
      <c r="CK194" s="6"/>
      <c r="CL194" s="4" t="str">
        <f aca="false">IF(OR(CJ194="",CK194=""),"",IFERROR(IF($K194="%",CK194-CJ194,CK194/CJ194-1),""))</f>
        <v/>
      </c>
      <c r="CM194" s="5" t="str">
        <f aca="false">IF(OR(CJ194="",CK194=""),"",IF($F194="Maior Melhor",IF(CK194&gt;=CJ194,"Sim","Não"),IF(CK194&lt;=CJ194,"Sim","Não")))</f>
        <v/>
      </c>
      <c r="CN194" s="6"/>
      <c r="CO194" s="6"/>
      <c r="CP194" s="4" t="str">
        <f aca="false">IF(OR(CN194="",CO194=""),"",IFERROR(IF($K194="%",CO194-CN194,CO194/CN194-1),""))</f>
        <v/>
      </c>
      <c r="CQ194" s="5" t="str">
        <f aca="false">IF(OR(CN194="",CO194=""),"",IF($F194="Maior Melhor",IF(CO194&gt;=CN194,"Sim","Não"),IF(CO194&lt;=CN194,"Sim","Não")))</f>
        <v/>
      </c>
      <c r="CR194" s="2" t="s">
        <v>105</v>
      </c>
    </row>
    <row r="195" customFormat="false" ht="15" hidden="false" customHeight="false" outlineLevel="0" collapsed="false">
      <c r="A195" s="2" t="s">
        <v>96</v>
      </c>
      <c r="B195" s="2" t="s">
        <v>97</v>
      </c>
      <c r="C195" s="2" t="s">
        <v>126</v>
      </c>
      <c r="D195" s="2" t="s">
        <v>176</v>
      </c>
      <c r="E195" s="2" t="str">
        <f aca="false">C195&amp;D195</f>
        <v>UTD LIVRAMENTO DE NOSSA SENHORAEGE</v>
      </c>
      <c r="F195" s="2" t="s">
        <v>100</v>
      </c>
      <c r="G195" s="2" t="s">
        <v>177</v>
      </c>
      <c r="H195" s="2" t="s">
        <v>102</v>
      </c>
      <c r="I195" s="2" t="s">
        <v>103</v>
      </c>
      <c r="J195" s="2" t="n">
        <v>1</v>
      </c>
      <c r="K195" s="2" t="s">
        <v>104</v>
      </c>
      <c r="L195" s="3"/>
      <c r="M195" s="3"/>
      <c r="N195" s="4" t="str">
        <f aca="false">IF(OR(L195="",M195=""),"",IFERROR(IF($K195="%",M195-L195,M195/L195-1),""))</f>
        <v/>
      </c>
      <c r="O195" s="5" t="str">
        <f aca="false">IF(OR(L195="",M195=""),"",IF($F195="Maior Melhor",IF(M195&gt;=L195,"Sim","Não"),IF(M195&lt;=L195,"Sim","Não")))</f>
        <v/>
      </c>
      <c r="P195" s="3"/>
      <c r="Q195" s="3"/>
      <c r="R195" s="4" t="str">
        <f aca="false">IF(OR(P195="",Q195=""),"",IFERROR(IF($K195="%",Q195-P195,Q195/P195-1),""))</f>
        <v/>
      </c>
      <c r="S195" s="5" t="str">
        <f aca="false">IF(OR(P195="",Q195=""),"",IF($F195="Maior Melhor",IF(Q195&gt;=P195,"Sim","Não"),IF(Q195&lt;=P195,"Sim","Não")))</f>
        <v/>
      </c>
      <c r="T195" s="3"/>
      <c r="U195" s="3"/>
      <c r="V195" s="4" t="str">
        <f aca="false">IF(OR(T195="",U195=""),"",IFERROR(IF($K195="%",U195-T195,U195/T195-1),""))</f>
        <v/>
      </c>
      <c r="W195" s="5" t="str">
        <f aca="false">IF(OR(T195="",U195=""),"",IF($F195="Maior Melhor",IF(U195&gt;=T195,"Sim","Não"),IF(U195&lt;=T195,"Sim","Não")))</f>
        <v/>
      </c>
      <c r="X195" s="3"/>
      <c r="Y195" s="3"/>
      <c r="Z195" s="4" t="str">
        <f aca="false">IF(OR(X195="",Y195=""),"",IFERROR(IF($K195="%",Y195-X195,Y195/X195-1),""))</f>
        <v/>
      </c>
      <c r="AA195" s="5" t="str">
        <f aca="false">IF(OR(X195="",Y195=""),"",IF($F195="Maior Melhor",IF(Y195&gt;=X195,"Sim","Não"),IF(Y195&lt;=X195,"Sim","Não")))</f>
        <v/>
      </c>
      <c r="AB195" s="3"/>
      <c r="AC195" s="3"/>
      <c r="AD195" s="4" t="str">
        <f aca="false">IF(OR(AB195="",AC195=""),"",IFERROR(IF($K195="%",AC195-AB195,AC195/AB195-1),""))</f>
        <v/>
      </c>
      <c r="AE195" s="5" t="str">
        <f aca="false">IF(OR(AB195="",AC195=""),"",IF($F195="Maior Melhor",IF(AC195&gt;=AB195,"Sim","Não"),IF(AC195&lt;=AB195,"Sim","Não")))</f>
        <v/>
      </c>
      <c r="AF195" s="3" t="n">
        <v>0.81</v>
      </c>
      <c r="AG195" s="3" t="n">
        <v>0.7854</v>
      </c>
      <c r="AH195" s="4" t="n">
        <f aca="false">IF(OR(AF195="",AG195=""),"",IFERROR(IF($K195="%",AG195-AF195,AG195/AF195-1),""))</f>
        <v>-0.0246000000000001</v>
      </c>
      <c r="AI195" s="5" t="str">
        <f aca="false">IF(OR(AF195="",AG195=""),"",IF($F195="Maior Melhor",IF(AG195&gt;=AF195,"Sim","Não"),IF(AG195&lt;=AF195,"Sim","Não")))</f>
        <v>Não</v>
      </c>
      <c r="AJ195" s="3" t="n">
        <v>0.81</v>
      </c>
      <c r="AK195" s="3" t="n">
        <v>0.6809</v>
      </c>
      <c r="AL195" s="4" t="n">
        <f aca="false">IF(OR(AJ195="",AK195=""),"",IFERROR(IF($K195="%",AK195-AJ195,AK195/AJ195-1),""))</f>
        <v>-0.1291</v>
      </c>
      <c r="AM195" s="5" t="str">
        <f aca="false">IF(OR(AJ195="",AK195=""),"",IF($F195="Maior Melhor",IF(AK195&gt;=AJ195,"Sim","Não"),IF(AK195&lt;=AJ195,"Sim","Não")))</f>
        <v>Não</v>
      </c>
      <c r="AN195" s="3" t="n">
        <v>0.81</v>
      </c>
      <c r="AO195" s="3" t="n">
        <v>0.88</v>
      </c>
      <c r="AP195" s="4" t="n">
        <f aca="false">IF(OR(AN195="",AO195=""),"",IFERROR(IF($K195="%",AO195-AN195,AO195/AN195-1),""))</f>
        <v>0.07</v>
      </c>
      <c r="AQ195" s="5" t="str">
        <f aca="false">IF(OR(AN195="",AO195=""),"",IF($F195="Maior Melhor",IF(AO195&gt;=AN195,"Sim","Não"),IF(AO195&lt;=AN195,"Sim","Não")))</f>
        <v>Sim</v>
      </c>
      <c r="AR195" s="3" t="n">
        <v>0.81</v>
      </c>
      <c r="AS195" s="3" t="n">
        <v>0.88</v>
      </c>
      <c r="AT195" s="4" t="n">
        <f aca="false">IF(OR(AR195="",AS195=""),"",IFERROR(IF($K195="%",AS195-AR195,AS195/AR195-1),""))</f>
        <v>0.07</v>
      </c>
      <c r="AU195" s="5" t="str">
        <f aca="false">IF(OR(AR195="",AS195=""),"",IF($F195="Maior Melhor",IF(AS195&gt;=AR195,"Sim","Não"),IF(AS195&lt;=AR195,"Sim","Não")))</f>
        <v>Sim</v>
      </c>
      <c r="AV195" s="3" t="n">
        <v>0.81</v>
      </c>
      <c r="AW195" s="3" t="n">
        <v>0.86</v>
      </c>
      <c r="AX195" s="4" t="n">
        <f aca="false">IF(OR(AV195="",AW195=""),"",IFERROR(IF($K195="%",AW195-AV195,AW195/AV195-1),""))</f>
        <v>0.0499999999999999</v>
      </c>
      <c r="AY195" s="5" t="str">
        <f aca="false">IF(OR(AV195="",AW195=""),"",IF($F195="Maior Melhor",IF(AW195&gt;=AV195,"Sim","Não"),IF(AW195&lt;=AV195,"Sim","Não")))</f>
        <v>Sim</v>
      </c>
      <c r="AZ195" s="3" t="n">
        <v>0.81</v>
      </c>
      <c r="BA195" s="3" t="n">
        <v>0.86</v>
      </c>
      <c r="BB195" s="4" t="n">
        <f aca="false">IF(OR(AZ195="",BA195=""),"",IFERROR(IF($K195="%",BA195-AZ195,BA195/AZ195-1),""))</f>
        <v>0.0499999999999999</v>
      </c>
      <c r="BC195" s="5" t="str">
        <f aca="false">IF(OR(AZ195="",BA195=""),"",IF($F195="Maior Melhor",IF(BA195&gt;=AZ195,"Sim","Não"),IF(BA195&lt;=AZ195,"Sim","Não")))</f>
        <v>Sim</v>
      </c>
      <c r="BD195" s="3" t="n">
        <v>0.81</v>
      </c>
      <c r="BE195" s="3" t="n">
        <v>0.84</v>
      </c>
      <c r="BF195" s="4" t="n">
        <f aca="false">IF(OR(BD195="",BE195=""),"",IFERROR(IF($K195="%",BE195-BD195,BE195/BD195-1),""))</f>
        <v>0.0299999999999999</v>
      </c>
      <c r="BG195" s="5" t="str">
        <f aca="false">IF(OR(BD195="",BE195=""),"",IF($F195="Maior Melhor",IF(BE195&gt;=BD195,"Sim","Não"),IF(BE195&lt;=BD195,"Sim","Não")))</f>
        <v>Sim</v>
      </c>
      <c r="BH195" s="3" t="n">
        <v>0.81</v>
      </c>
      <c r="BI195" s="3" t="n">
        <v>0.84</v>
      </c>
      <c r="BJ195" s="4" t="n">
        <f aca="false">IF(OR(BH195="",BI195=""),"",IFERROR(IF($K195="%",BI195-BH195,BI195/BH195-1),""))</f>
        <v>0.0299999999999999</v>
      </c>
      <c r="BK195" s="5" t="str">
        <f aca="false">IF(OR(BH195="",BI195=""),"",IF($F195="Maior Melhor",IF(BI195&gt;=BH195,"Sim","Não"),IF(BI195&lt;=BH195,"Sim","Não")))</f>
        <v>Sim</v>
      </c>
      <c r="BL195" s="6"/>
      <c r="BM195" s="6"/>
      <c r="BN195" s="4" t="str">
        <f aca="false">IF(OR(BL195="",BM195=""),"",IFERROR(IF($K195="%",BM195-BL195,BM195/BL195-1),""))</f>
        <v/>
      </c>
      <c r="BO195" s="5" t="str">
        <f aca="false">IF(OR(BL195="",BM195=""),"",IF($F195="Maior Melhor",IF(BM195&gt;=BL195,"Sim","Não"),IF(BM195&lt;=BL195,"Sim","Não")))</f>
        <v/>
      </c>
      <c r="BP195" s="6"/>
      <c r="BQ195" s="6"/>
      <c r="BR195" s="4" t="str">
        <f aca="false">IF(OR(BP195="",BQ195=""),"",IFERROR(IF($K195="%",BQ195-BP195,BQ195/BP195-1),""))</f>
        <v/>
      </c>
      <c r="BS195" s="5" t="str">
        <f aca="false">IF(OR(BP195="",BQ195=""),"",IF($F195="Maior Melhor",IF(BQ195&gt;=BP195,"Sim","Não"),IF(BQ195&lt;=BP195,"Sim","Não")))</f>
        <v/>
      </c>
      <c r="BT195" s="6"/>
      <c r="BU195" s="6"/>
      <c r="BV195" s="4" t="str">
        <f aca="false">IF(OR(BT195="",BU195=""),"",IFERROR(IF($K195="%",BU195-BT195,BU195/BT195-1),""))</f>
        <v/>
      </c>
      <c r="BW195" s="5" t="str">
        <f aca="false">IF(OR(BT195="",BU195=""),"",IF($F195="Maior Melhor",IF(BU195&gt;=BT195,"Sim","Não"),IF(BU195&lt;=BT195,"Sim","Não")))</f>
        <v/>
      </c>
      <c r="BX195" s="6"/>
      <c r="BY195" s="6"/>
      <c r="BZ195" s="4" t="str">
        <f aca="false">IF(OR(BX195="",BY195=""),"",IFERROR(IF($K195="%",BY195-BX195,BY195/BX195-1),""))</f>
        <v/>
      </c>
      <c r="CA195" s="5" t="str">
        <f aca="false">IF(OR(BX195="",BY195=""),"",IF($F195="Maior Melhor",IF(BY195&gt;=BX195,"Sim","Não"),IF(BY195&lt;=BX195,"Sim","Não")))</f>
        <v/>
      </c>
      <c r="CB195" s="6"/>
      <c r="CC195" s="6"/>
      <c r="CD195" s="4" t="str">
        <f aca="false">IF(OR(CB195="",CC195=""),"",IFERROR(IF($K195="%",CC195-CB195,CC195/CB195-1),""))</f>
        <v/>
      </c>
      <c r="CE195" s="5" t="str">
        <f aca="false">IF(OR(CB195="",CC195=""),"",IF($F195="Maior Melhor",IF(CC195&gt;=CB195,"Sim","Não"),IF(CC195&lt;=CB195,"Sim","Não")))</f>
        <v/>
      </c>
      <c r="CF195" s="6"/>
      <c r="CG195" s="6"/>
      <c r="CH195" s="4" t="str">
        <f aca="false">IF(OR(CF195="",CG195=""),"",IFERROR(IF($K195="%",CG195-CF195,CG195/CF195-1),""))</f>
        <v/>
      </c>
      <c r="CI195" s="5" t="str">
        <f aca="false">IF(OR(CF195="",CG195=""),"",IF($F195="Maior Melhor",IF(CG195&gt;=CF195,"Sim","Não"),IF(CG195&lt;=CF195,"Sim","Não")))</f>
        <v/>
      </c>
      <c r="CJ195" s="6"/>
      <c r="CK195" s="6"/>
      <c r="CL195" s="4" t="str">
        <f aca="false">IF(OR(CJ195="",CK195=""),"",IFERROR(IF($K195="%",CK195-CJ195,CK195/CJ195-1),""))</f>
        <v/>
      </c>
      <c r="CM195" s="5" t="str">
        <f aca="false">IF(OR(CJ195="",CK195=""),"",IF($F195="Maior Melhor",IF(CK195&gt;=CJ195,"Sim","Não"),IF(CK195&lt;=CJ195,"Sim","Não")))</f>
        <v/>
      </c>
      <c r="CN195" s="6"/>
      <c r="CO195" s="6"/>
      <c r="CP195" s="4" t="str">
        <f aca="false">IF(OR(CN195="",CO195=""),"",IFERROR(IF($K195="%",CO195-CN195,CO195/CN195-1),""))</f>
        <v/>
      </c>
      <c r="CQ195" s="5" t="str">
        <f aca="false">IF(OR(CN195="",CO195=""),"",IF($F195="Maior Melhor",IF(CO195&gt;=CN195,"Sim","Não"),IF(CO195&lt;=CN195,"Sim","Não")))</f>
        <v/>
      </c>
      <c r="CR195" s="2" t="s">
        <v>105</v>
      </c>
    </row>
    <row r="196" customFormat="false" ht="15" hidden="false" customHeight="false" outlineLevel="0" collapsed="false">
      <c r="A196" s="2" t="s">
        <v>96</v>
      </c>
      <c r="B196" s="2" t="s">
        <v>106</v>
      </c>
      <c r="C196" s="2" t="s">
        <v>127</v>
      </c>
      <c r="D196" s="2" t="s">
        <v>176</v>
      </c>
      <c r="E196" s="2" t="str">
        <f aca="false">C196&amp;D196</f>
        <v>UTD LUIS EDUARDO MAGALHAESEGE</v>
      </c>
      <c r="F196" s="2" t="s">
        <v>100</v>
      </c>
      <c r="G196" s="2" t="s">
        <v>177</v>
      </c>
      <c r="H196" s="2" t="s">
        <v>102</v>
      </c>
      <c r="I196" s="2" t="s">
        <v>103</v>
      </c>
      <c r="J196" s="2" t="n">
        <v>1</v>
      </c>
      <c r="K196" s="2" t="s">
        <v>104</v>
      </c>
      <c r="L196" s="3"/>
      <c r="M196" s="3"/>
      <c r="N196" s="4" t="str">
        <f aca="false">IF(OR(L196="",M196=""),"",IFERROR(IF($K196="%",M196-L196,M196/L196-1),""))</f>
        <v/>
      </c>
      <c r="O196" s="5" t="str">
        <f aca="false">IF(OR(L196="",M196=""),"",IF($F196="Maior Melhor",IF(M196&gt;=L196,"Sim","Não"),IF(M196&lt;=L196,"Sim","Não")))</f>
        <v/>
      </c>
      <c r="P196" s="3"/>
      <c r="Q196" s="3"/>
      <c r="R196" s="4" t="str">
        <f aca="false">IF(OR(P196="",Q196=""),"",IFERROR(IF($K196="%",Q196-P196,Q196/P196-1),""))</f>
        <v/>
      </c>
      <c r="S196" s="5" t="str">
        <f aca="false">IF(OR(P196="",Q196=""),"",IF($F196="Maior Melhor",IF(Q196&gt;=P196,"Sim","Não"),IF(Q196&lt;=P196,"Sim","Não")))</f>
        <v/>
      </c>
      <c r="T196" s="3"/>
      <c r="U196" s="3"/>
      <c r="V196" s="4" t="str">
        <f aca="false">IF(OR(T196="",U196=""),"",IFERROR(IF($K196="%",U196-T196,U196/T196-1),""))</f>
        <v/>
      </c>
      <c r="W196" s="5" t="str">
        <f aca="false">IF(OR(T196="",U196=""),"",IF($F196="Maior Melhor",IF(U196&gt;=T196,"Sim","Não"),IF(U196&lt;=T196,"Sim","Não")))</f>
        <v/>
      </c>
      <c r="X196" s="3"/>
      <c r="Y196" s="3"/>
      <c r="Z196" s="4" t="str">
        <f aca="false">IF(OR(X196="",Y196=""),"",IFERROR(IF($K196="%",Y196-X196,Y196/X196-1),""))</f>
        <v/>
      </c>
      <c r="AA196" s="5" t="str">
        <f aca="false">IF(OR(X196="",Y196=""),"",IF($F196="Maior Melhor",IF(Y196&gt;=X196,"Sim","Não"),IF(Y196&lt;=X196,"Sim","Não")))</f>
        <v/>
      </c>
      <c r="AB196" s="3"/>
      <c r="AC196" s="3"/>
      <c r="AD196" s="4" t="str">
        <f aca="false">IF(OR(AB196="",AC196=""),"",IFERROR(IF($K196="%",AC196-AB196,AC196/AB196-1),""))</f>
        <v/>
      </c>
      <c r="AE196" s="5" t="str">
        <f aca="false">IF(OR(AB196="",AC196=""),"",IF($F196="Maior Melhor",IF(AC196&gt;=AB196,"Sim","Não"),IF(AC196&lt;=AB196,"Sim","Não")))</f>
        <v/>
      </c>
      <c r="AF196" s="3" t="n">
        <v>0.81</v>
      </c>
      <c r="AG196" s="3" t="n">
        <v>0.6191</v>
      </c>
      <c r="AH196" s="4" t="n">
        <f aca="false">IF(OR(AF196="",AG196=""),"",IFERROR(IF($K196="%",AG196-AF196,AG196/AF196-1),""))</f>
        <v>-0.1909</v>
      </c>
      <c r="AI196" s="5" t="str">
        <f aca="false">IF(OR(AF196="",AG196=""),"",IF($F196="Maior Melhor",IF(AG196&gt;=AF196,"Sim","Não"),IF(AG196&lt;=AF196,"Sim","Não")))</f>
        <v>Não</v>
      </c>
      <c r="AJ196" s="3" t="n">
        <v>0.81</v>
      </c>
      <c r="AK196" s="3" t="n">
        <v>0.5368</v>
      </c>
      <c r="AL196" s="4" t="n">
        <f aca="false">IF(OR(AJ196="",AK196=""),"",IFERROR(IF($K196="%",AK196-AJ196,AK196/AJ196-1),""))</f>
        <v>-0.2732</v>
      </c>
      <c r="AM196" s="5" t="str">
        <f aca="false">IF(OR(AJ196="",AK196=""),"",IF($F196="Maior Melhor",IF(AK196&gt;=AJ196,"Sim","Não"),IF(AK196&lt;=AJ196,"Sim","Não")))</f>
        <v>Não</v>
      </c>
      <c r="AN196" s="3" t="n">
        <v>0.81</v>
      </c>
      <c r="AO196" s="3" t="n">
        <v>0.66</v>
      </c>
      <c r="AP196" s="4" t="n">
        <f aca="false">IF(OR(AN196="",AO196=""),"",IFERROR(IF($K196="%",AO196-AN196,AO196/AN196-1),""))</f>
        <v>-0.15</v>
      </c>
      <c r="AQ196" s="5" t="str">
        <f aca="false">IF(OR(AN196="",AO196=""),"",IF($F196="Maior Melhor",IF(AO196&gt;=AN196,"Sim","Não"),IF(AO196&lt;=AN196,"Sim","Não")))</f>
        <v>Não</v>
      </c>
      <c r="AR196" s="3" t="n">
        <v>0.81</v>
      </c>
      <c r="AS196" s="3" t="n">
        <v>0.66</v>
      </c>
      <c r="AT196" s="4" t="n">
        <f aca="false">IF(OR(AR196="",AS196=""),"",IFERROR(IF($K196="%",AS196-AR196,AS196/AR196-1),""))</f>
        <v>-0.15</v>
      </c>
      <c r="AU196" s="5" t="str">
        <f aca="false">IF(OR(AR196="",AS196=""),"",IF($F196="Maior Melhor",IF(AS196&gt;=AR196,"Sim","Não"),IF(AS196&lt;=AR196,"Sim","Não")))</f>
        <v>Não</v>
      </c>
      <c r="AV196" s="3" t="n">
        <v>0.81</v>
      </c>
      <c r="AW196" s="3" t="n">
        <v>0.7</v>
      </c>
      <c r="AX196" s="4" t="n">
        <f aca="false">IF(OR(AV196="",AW196=""),"",IFERROR(IF($K196="%",AW196-AV196,AW196/AV196-1),""))</f>
        <v>-0.11</v>
      </c>
      <c r="AY196" s="5" t="str">
        <f aca="false">IF(OR(AV196="",AW196=""),"",IF($F196="Maior Melhor",IF(AW196&gt;=AV196,"Sim","Não"),IF(AW196&lt;=AV196,"Sim","Não")))</f>
        <v>Não</v>
      </c>
      <c r="AZ196" s="3" t="n">
        <v>0.81</v>
      </c>
      <c r="BA196" s="3" t="n">
        <v>0.7</v>
      </c>
      <c r="BB196" s="4" t="n">
        <f aca="false">IF(OR(AZ196="",BA196=""),"",IFERROR(IF($K196="%",BA196-AZ196,BA196/AZ196-1),""))</f>
        <v>-0.11</v>
      </c>
      <c r="BC196" s="5" t="str">
        <f aca="false">IF(OR(AZ196="",BA196=""),"",IF($F196="Maior Melhor",IF(BA196&gt;=AZ196,"Sim","Não"),IF(BA196&lt;=AZ196,"Sim","Não")))</f>
        <v>Não</v>
      </c>
      <c r="BD196" s="3" t="n">
        <v>0.81</v>
      </c>
      <c r="BE196" s="3" t="n">
        <v>0.72</v>
      </c>
      <c r="BF196" s="4" t="n">
        <f aca="false">IF(OR(BD196="",BE196=""),"",IFERROR(IF($K196="%",BE196-BD196,BE196/BD196-1),""))</f>
        <v>-0.0900000000000001</v>
      </c>
      <c r="BG196" s="5" t="str">
        <f aca="false">IF(OR(BD196="",BE196=""),"",IF($F196="Maior Melhor",IF(BE196&gt;=BD196,"Sim","Não"),IF(BE196&lt;=BD196,"Sim","Não")))</f>
        <v>Não</v>
      </c>
      <c r="BH196" s="3" t="n">
        <v>0.81</v>
      </c>
      <c r="BI196" s="3" t="n">
        <v>0.72</v>
      </c>
      <c r="BJ196" s="4" t="n">
        <f aca="false">IF(OR(BH196="",BI196=""),"",IFERROR(IF($K196="%",BI196-BH196,BI196/BH196-1),""))</f>
        <v>-0.0900000000000001</v>
      </c>
      <c r="BK196" s="5" t="str">
        <f aca="false">IF(OR(BH196="",BI196=""),"",IF($F196="Maior Melhor",IF(BI196&gt;=BH196,"Sim","Não"),IF(BI196&lt;=BH196,"Sim","Não")))</f>
        <v>Não</v>
      </c>
      <c r="BL196" s="6"/>
      <c r="BM196" s="6"/>
      <c r="BN196" s="4" t="str">
        <f aca="false">IF(OR(BL196="",BM196=""),"",IFERROR(IF($K196="%",BM196-BL196,BM196/BL196-1),""))</f>
        <v/>
      </c>
      <c r="BO196" s="5" t="str">
        <f aca="false">IF(OR(BL196="",BM196=""),"",IF($F196="Maior Melhor",IF(BM196&gt;=BL196,"Sim","Não"),IF(BM196&lt;=BL196,"Sim","Não")))</f>
        <v/>
      </c>
      <c r="BP196" s="6"/>
      <c r="BQ196" s="6"/>
      <c r="BR196" s="4" t="str">
        <f aca="false">IF(OR(BP196="",BQ196=""),"",IFERROR(IF($K196="%",BQ196-BP196,BQ196/BP196-1),""))</f>
        <v/>
      </c>
      <c r="BS196" s="5" t="str">
        <f aca="false">IF(OR(BP196="",BQ196=""),"",IF($F196="Maior Melhor",IF(BQ196&gt;=BP196,"Sim","Não"),IF(BQ196&lt;=BP196,"Sim","Não")))</f>
        <v/>
      </c>
      <c r="BT196" s="6"/>
      <c r="BU196" s="6"/>
      <c r="BV196" s="4" t="str">
        <f aca="false">IF(OR(BT196="",BU196=""),"",IFERROR(IF($K196="%",BU196-BT196,BU196/BT196-1),""))</f>
        <v/>
      </c>
      <c r="BW196" s="5" t="str">
        <f aca="false">IF(OR(BT196="",BU196=""),"",IF($F196="Maior Melhor",IF(BU196&gt;=BT196,"Sim","Não"),IF(BU196&lt;=BT196,"Sim","Não")))</f>
        <v/>
      </c>
      <c r="BX196" s="6"/>
      <c r="BY196" s="6"/>
      <c r="BZ196" s="4" t="str">
        <f aca="false">IF(OR(BX196="",BY196=""),"",IFERROR(IF($K196="%",BY196-BX196,BY196/BX196-1),""))</f>
        <v/>
      </c>
      <c r="CA196" s="5" t="str">
        <f aca="false">IF(OR(BX196="",BY196=""),"",IF($F196="Maior Melhor",IF(BY196&gt;=BX196,"Sim","Não"),IF(BY196&lt;=BX196,"Sim","Não")))</f>
        <v/>
      </c>
      <c r="CB196" s="6"/>
      <c r="CC196" s="6"/>
      <c r="CD196" s="4" t="str">
        <f aca="false">IF(OR(CB196="",CC196=""),"",IFERROR(IF($K196="%",CC196-CB196,CC196/CB196-1),""))</f>
        <v/>
      </c>
      <c r="CE196" s="5" t="str">
        <f aca="false">IF(OR(CB196="",CC196=""),"",IF($F196="Maior Melhor",IF(CC196&gt;=CB196,"Sim","Não"),IF(CC196&lt;=CB196,"Sim","Não")))</f>
        <v/>
      </c>
      <c r="CF196" s="6"/>
      <c r="CG196" s="6"/>
      <c r="CH196" s="4" t="str">
        <f aca="false">IF(OR(CF196="",CG196=""),"",IFERROR(IF($K196="%",CG196-CF196,CG196/CF196-1),""))</f>
        <v/>
      </c>
      <c r="CI196" s="5" t="str">
        <f aca="false">IF(OR(CF196="",CG196=""),"",IF($F196="Maior Melhor",IF(CG196&gt;=CF196,"Sim","Não"),IF(CG196&lt;=CF196,"Sim","Não")))</f>
        <v/>
      </c>
      <c r="CJ196" s="6"/>
      <c r="CK196" s="6"/>
      <c r="CL196" s="4" t="str">
        <f aca="false">IF(OR(CJ196="",CK196=""),"",IFERROR(IF($K196="%",CK196-CJ196,CK196/CJ196-1),""))</f>
        <v/>
      </c>
      <c r="CM196" s="5" t="str">
        <f aca="false">IF(OR(CJ196="",CK196=""),"",IF($F196="Maior Melhor",IF(CK196&gt;=CJ196,"Sim","Não"),IF(CK196&lt;=CJ196,"Sim","Não")))</f>
        <v/>
      </c>
      <c r="CN196" s="6"/>
      <c r="CO196" s="6"/>
      <c r="CP196" s="4" t="str">
        <f aca="false">IF(OR(CN196="",CO196=""),"",IFERROR(IF($K196="%",CO196-CN196,CO196/CN196-1),""))</f>
        <v/>
      </c>
      <c r="CQ196" s="5" t="str">
        <f aca="false">IF(OR(CN196="",CO196=""),"",IF($F196="Maior Melhor",IF(CO196&gt;=CN196,"Sim","Não"),IF(CO196&lt;=CN196,"Sim","Não")))</f>
        <v/>
      </c>
      <c r="CR196" s="2" t="s">
        <v>105</v>
      </c>
    </row>
    <row r="197" customFormat="false" ht="15" hidden="false" customHeight="false" outlineLevel="0" collapsed="false">
      <c r="A197" s="2" t="s">
        <v>96</v>
      </c>
      <c r="B197" s="2" t="s">
        <v>106</v>
      </c>
      <c r="C197" s="2" t="s">
        <v>128</v>
      </c>
      <c r="D197" s="2" t="s">
        <v>176</v>
      </c>
      <c r="E197" s="2" t="str">
        <f aca="false">C197&amp;D197</f>
        <v>UTD SANTA MARIA DA VITORIAEGE</v>
      </c>
      <c r="F197" s="2" t="s">
        <v>100</v>
      </c>
      <c r="G197" s="2" t="s">
        <v>177</v>
      </c>
      <c r="H197" s="2" t="s">
        <v>102</v>
      </c>
      <c r="I197" s="2" t="s">
        <v>103</v>
      </c>
      <c r="J197" s="2" t="n">
        <v>1</v>
      </c>
      <c r="K197" s="2" t="s">
        <v>104</v>
      </c>
      <c r="L197" s="3"/>
      <c r="M197" s="3"/>
      <c r="N197" s="4" t="str">
        <f aca="false">IF(OR(L197="",M197=""),"",IFERROR(IF($K197="%",M197-L197,M197/L197-1),""))</f>
        <v/>
      </c>
      <c r="O197" s="5" t="str">
        <f aca="false">IF(OR(L197="",M197=""),"",IF($F197="Maior Melhor",IF(M197&gt;=L197,"Sim","Não"),IF(M197&lt;=L197,"Sim","Não")))</f>
        <v/>
      </c>
      <c r="P197" s="3"/>
      <c r="Q197" s="3"/>
      <c r="R197" s="4" t="str">
        <f aca="false">IF(OR(P197="",Q197=""),"",IFERROR(IF($K197="%",Q197-P197,Q197/P197-1),""))</f>
        <v/>
      </c>
      <c r="S197" s="5" t="str">
        <f aca="false">IF(OR(P197="",Q197=""),"",IF($F197="Maior Melhor",IF(Q197&gt;=P197,"Sim","Não"),IF(Q197&lt;=P197,"Sim","Não")))</f>
        <v/>
      </c>
      <c r="T197" s="3"/>
      <c r="U197" s="3"/>
      <c r="V197" s="4" t="str">
        <f aca="false">IF(OR(T197="",U197=""),"",IFERROR(IF($K197="%",U197-T197,U197/T197-1),""))</f>
        <v/>
      </c>
      <c r="W197" s="5" t="str">
        <f aca="false">IF(OR(T197="",U197=""),"",IF($F197="Maior Melhor",IF(U197&gt;=T197,"Sim","Não"),IF(U197&lt;=T197,"Sim","Não")))</f>
        <v/>
      </c>
      <c r="X197" s="3"/>
      <c r="Y197" s="3"/>
      <c r="Z197" s="4" t="str">
        <f aca="false">IF(OR(X197="",Y197=""),"",IFERROR(IF($K197="%",Y197-X197,Y197/X197-1),""))</f>
        <v/>
      </c>
      <c r="AA197" s="5" t="str">
        <f aca="false">IF(OR(X197="",Y197=""),"",IF($F197="Maior Melhor",IF(Y197&gt;=X197,"Sim","Não"),IF(Y197&lt;=X197,"Sim","Não")))</f>
        <v/>
      </c>
      <c r="AB197" s="3"/>
      <c r="AC197" s="3"/>
      <c r="AD197" s="4" t="str">
        <f aca="false">IF(OR(AB197="",AC197=""),"",IFERROR(IF($K197="%",AC197-AB197,AC197/AB197-1),""))</f>
        <v/>
      </c>
      <c r="AE197" s="5" t="str">
        <f aca="false">IF(OR(AB197="",AC197=""),"",IF($F197="Maior Melhor",IF(AC197&gt;=AB197,"Sim","Não"),IF(AC197&lt;=AB197,"Sim","Não")))</f>
        <v/>
      </c>
      <c r="AF197" s="3" t="n">
        <v>0.81</v>
      </c>
      <c r="AG197" s="3" t="n">
        <v>0.8742</v>
      </c>
      <c r="AH197" s="4" t="n">
        <f aca="false">IF(OR(AF197="",AG197=""),"",IFERROR(IF($K197="%",AG197-AF197,AG197/AF197-1),""))</f>
        <v>0.0641999999999999</v>
      </c>
      <c r="AI197" s="5" t="str">
        <f aca="false">IF(OR(AF197="",AG197=""),"",IF($F197="Maior Melhor",IF(AG197&gt;=AF197,"Sim","Não"),IF(AG197&lt;=AF197,"Sim","Não")))</f>
        <v>Sim</v>
      </c>
      <c r="AJ197" s="3" t="n">
        <v>0.81</v>
      </c>
      <c r="AK197" s="3" t="n">
        <v>0.6436</v>
      </c>
      <c r="AL197" s="4" t="n">
        <f aca="false">IF(OR(AJ197="",AK197=""),"",IFERROR(IF($K197="%",AK197-AJ197,AK197/AJ197-1),""))</f>
        <v>-0.1664</v>
      </c>
      <c r="AM197" s="5" t="str">
        <f aca="false">IF(OR(AJ197="",AK197=""),"",IF($F197="Maior Melhor",IF(AK197&gt;=AJ197,"Sim","Não"),IF(AK197&lt;=AJ197,"Sim","Não")))</f>
        <v>Não</v>
      </c>
      <c r="AN197" s="3" t="n">
        <v>0.81</v>
      </c>
      <c r="AO197" s="3" t="n">
        <v>0.91</v>
      </c>
      <c r="AP197" s="4" t="n">
        <f aca="false">IF(OR(AN197="",AO197=""),"",IFERROR(IF($K197="%",AO197-AN197,AO197/AN197-1),""))</f>
        <v>0.1</v>
      </c>
      <c r="AQ197" s="5" t="str">
        <f aca="false">IF(OR(AN197="",AO197=""),"",IF($F197="Maior Melhor",IF(AO197&gt;=AN197,"Sim","Não"),IF(AO197&lt;=AN197,"Sim","Não")))</f>
        <v>Sim</v>
      </c>
      <c r="AR197" s="3" t="n">
        <v>0.81</v>
      </c>
      <c r="AS197" s="3" t="n">
        <v>0.91</v>
      </c>
      <c r="AT197" s="4" t="n">
        <f aca="false">IF(OR(AR197="",AS197=""),"",IFERROR(IF($K197="%",AS197-AR197,AS197/AR197-1),""))</f>
        <v>0.1</v>
      </c>
      <c r="AU197" s="5" t="str">
        <f aca="false">IF(OR(AR197="",AS197=""),"",IF($F197="Maior Melhor",IF(AS197&gt;=AR197,"Sim","Não"),IF(AS197&lt;=AR197,"Sim","Não")))</f>
        <v>Sim</v>
      </c>
      <c r="AV197" s="3" t="n">
        <v>0.81</v>
      </c>
      <c r="AW197" s="3" t="n">
        <v>0.82</v>
      </c>
      <c r="AX197" s="4" t="n">
        <f aca="false">IF(OR(AV197="",AW197=""),"",IFERROR(IF($K197="%",AW197-AV197,AW197/AV197-1),""))</f>
        <v>0.0099999999999999</v>
      </c>
      <c r="AY197" s="5" t="str">
        <f aca="false">IF(OR(AV197="",AW197=""),"",IF($F197="Maior Melhor",IF(AW197&gt;=AV197,"Sim","Não"),IF(AW197&lt;=AV197,"Sim","Não")))</f>
        <v>Sim</v>
      </c>
      <c r="AZ197" s="3" t="n">
        <v>0.81</v>
      </c>
      <c r="BA197" s="3" t="n">
        <v>0.82</v>
      </c>
      <c r="BB197" s="4" t="n">
        <f aca="false">IF(OR(AZ197="",BA197=""),"",IFERROR(IF($K197="%",BA197-AZ197,BA197/AZ197-1),""))</f>
        <v>0.0099999999999999</v>
      </c>
      <c r="BC197" s="5" t="str">
        <f aca="false">IF(OR(AZ197="",BA197=""),"",IF($F197="Maior Melhor",IF(BA197&gt;=AZ197,"Sim","Não"),IF(BA197&lt;=AZ197,"Sim","Não")))</f>
        <v>Sim</v>
      </c>
      <c r="BD197" s="3" t="n">
        <v>0.81</v>
      </c>
      <c r="BE197" s="3" t="n">
        <v>0.8</v>
      </c>
      <c r="BF197" s="4" t="n">
        <f aca="false">IF(OR(BD197="",BE197=""),"",IFERROR(IF($K197="%",BE197-BD197,BE197/BD197-1),""))</f>
        <v>-0.01</v>
      </c>
      <c r="BG197" s="5" t="str">
        <f aca="false">IF(OR(BD197="",BE197=""),"",IF($F197="Maior Melhor",IF(BE197&gt;=BD197,"Sim","Não"),IF(BE197&lt;=BD197,"Sim","Não")))</f>
        <v>Não</v>
      </c>
      <c r="BH197" s="3" t="n">
        <v>0.81</v>
      </c>
      <c r="BI197" s="3" t="n">
        <v>0.8</v>
      </c>
      <c r="BJ197" s="4" t="n">
        <f aca="false">IF(OR(BH197="",BI197=""),"",IFERROR(IF($K197="%",BI197-BH197,BI197/BH197-1),""))</f>
        <v>-0.01</v>
      </c>
      <c r="BK197" s="5" t="str">
        <f aca="false">IF(OR(BH197="",BI197=""),"",IF($F197="Maior Melhor",IF(BI197&gt;=BH197,"Sim","Não"),IF(BI197&lt;=BH197,"Sim","Não")))</f>
        <v>Não</v>
      </c>
      <c r="BL197" s="6"/>
      <c r="BM197" s="6"/>
      <c r="BN197" s="4" t="str">
        <f aca="false">IF(OR(BL197="",BM197=""),"",IFERROR(IF($K197="%",BM197-BL197,BM197/BL197-1),""))</f>
        <v/>
      </c>
      <c r="BO197" s="5" t="str">
        <f aca="false">IF(OR(BL197="",BM197=""),"",IF($F197="Maior Melhor",IF(BM197&gt;=BL197,"Sim","Não"),IF(BM197&lt;=BL197,"Sim","Não")))</f>
        <v/>
      </c>
      <c r="BP197" s="6"/>
      <c r="BQ197" s="6"/>
      <c r="BR197" s="4" t="str">
        <f aca="false">IF(OR(BP197="",BQ197=""),"",IFERROR(IF($K197="%",BQ197-BP197,BQ197/BP197-1),""))</f>
        <v/>
      </c>
      <c r="BS197" s="5" t="str">
        <f aca="false">IF(OR(BP197="",BQ197=""),"",IF($F197="Maior Melhor",IF(BQ197&gt;=BP197,"Sim","Não"),IF(BQ197&lt;=BP197,"Sim","Não")))</f>
        <v/>
      </c>
      <c r="BT197" s="6"/>
      <c r="BU197" s="6"/>
      <c r="BV197" s="4" t="str">
        <f aca="false">IF(OR(BT197="",BU197=""),"",IFERROR(IF($K197="%",BU197-BT197,BU197/BT197-1),""))</f>
        <v/>
      </c>
      <c r="BW197" s="5" t="str">
        <f aca="false">IF(OR(BT197="",BU197=""),"",IF($F197="Maior Melhor",IF(BU197&gt;=BT197,"Sim","Não"),IF(BU197&lt;=BT197,"Sim","Não")))</f>
        <v/>
      </c>
      <c r="BX197" s="6"/>
      <c r="BY197" s="6"/>
      <c r="BZ197" s="4" t="str">
        <f aca="false">IF(OR(BX197="",BY197=""),"",IFERROR(IF($K197="%",BY197-BX197,BY197/BX197-1),""))</f>
        <v/>
      </c>
      <c r="CA197" s="5" t="str">
        <f aca="false">IF(OR(BX197="",BY197=""),"",IF($F197="Maior Melhor",IF(BY197&gt;=BX197,"Sim","Não"),IF(BY197&lt;=BX197,"Sim","Não")))</f>
        <v/>
      </c>
      <c r="CB197" s="6"/>
      <c r="CC197" s="6"/>
      <c r="CD197" s="4" t="str">
        <f aca="false">IF(OR(CB197="",CC197=""),"",IFERROR(IF($K197="%",CC197-CB197,CC197/CB197-1),""))</f>
        <v/>
      </c>
      <c r="CE197" s="5" t="str">
        <f aca="false">IF(OR(CB197="",CC197=""),"",IF($F197="Maior Melhor",IF(CC197&gt;=CB197,"Sim","Não"),IF(CC197&lt;=CB197,"Sim","Não")))</f>
        <v/>
      </c>
      <c r="CF197" s="6"/>
      <c r="CG197" s="6"/>
      <c r="CH197" s="4" t="str">
        <f aca="false">IF(OR(CF197="",CG197=""),"",IFERROR(IF($K197="%",CG197-CF197,CG197/CF197-1),""))</f>
        <v/>
      </c>
      <c r="CI197" s="5" t="str">
        <f aca="false">IF(OR(CF197="",CG197=""),"",IF($F197="Maior Melhor",IF(CG197&gt;=CF197,"Sim","Não"),IF(CG197&lt;=CF197,"Sim","Não")))</f>
        <v/>
      </c>
      <c r="CJ197" s="6"/>
      <c r="CK197" s="6"/>
      <c r="CL197" s="4" t="str">
        <f aca="false">IF(OR(CJ197="",CK197=""),"",IFERROR(IF($K197="%",CK197-CJ197,CK197/CJ197-1),""))</f>
        <v/>
      </c>
      <c r="CM197" s="5" t="str">
        <f aca="false">IF(OR(CJ197="",CK197=""),"",IF($F197="Maior Melhor",IF(CK197&gt;=CJ197,"Sim","Não"),IF(CK197&lt;=CJ197,"Sim","Não")))</f>
        <v/>
      </c>
      <c r="CN197" s="6"/>
      <c r="CO197" s="6"/>
      <c r="CP197" s="4" t="str">
        <f aca="false">IF(OR(CN197="",CO197=""),"",IFERROR(IF($K197="%",CO197-CN197,CO197/CN197-1),""))</f>
        <v/>
      </c>
      <c r="CQ197" s="5" t="str">
        <f aca="false">IF(OR(CN197="",CO197=""),"",IF($F197="Maior Melhor",IF(CO197&gt;=CN197,"Sim","Não"),IF(CO197&lt;=CN197,"Sim","Não")))</f>
        <v/>
      </c>
      <c r="CR197" s="2" t="s">
        <v>143</v>
      </c>
    </row>
    <row r="198" customFormat="false" ht="15" hidden="false" customHeight="false" outlineLevel="0" collapsed="false">
      <c r="A198" s="2" t="s">
        <v>96</v>
      </c>
      <c r="B198" s="2" t="s">
        <v>97</v>
      </c>
      <c r="C198" s="2" t="s">
        <v>130</v>
      </c>
      <c r="D198" s="2" t="s">
        <v>176</v>
      </c>
      <c r="E198" s="2" t="str">
        <f aca="false">C198&amp;D198</f>
        <v>UTD SEABRAEGE</v>
      </c>
      <c r="F198" s="2" t="s">
        <v>100</v>
      </c>
      <c r="G198" s="2" t="s">
        <v>177</v>
      </c>
      <c r="H198" s="2" t="s">
        <v>102</v>
      </c>
      <c r="I198" s="2" t="s">
        <v>103</v>
      </c>
      <c r="J198" s="2" t="n">
        <v>1</v>
      </c>
      <c r="K198" s="2" t="s">
        <v>104</v>
      </c>
      <c r="L198" s="3"/>
      <c r="M198" s="3"/>
      <c r="N198" s="4" t="str">
        <f aca="false">IF(OR(L198="",M198=""),"",IFERROR(IF($K198="%",M198-L198,M198/L198-1),""))</f>
        <v/>
      </c>
      <c r="O198" s="5" t="str">
        <f aca="false">IF(OR(L198="",M198=""),"",IF($F198="Maior Melhor",IF(M198&gt;=L198,"Sim","Não"),IF(M198&lt;=L198,"Sim","Não")))</f>
        <v/>
      </c>
      <c r="P198" s="3"/>
      <c r="Q198" s="3"/>
      <c r="R198" s="4" t="str">
        <f aca="false">IF(OR(P198="",Q198=""),"",IFERROR(IF($K198="%",Q198-P198,Q198/P198-1),""))</f>
        <v/>
      </c>
      <c r="S198" s="5" t="str">
        <f aca="false">IF(OR(P198="",Q198=""),"",IF($F198="Maior Melhor",IF(Q198&gt;=P198,"Sim","Não"),IF(Q198&lt;=P198,"Sim","Não")))</f>
        <v/>
      </c>
      <c r="T198" s="3"/>
      <c r="U198" s="3"/>
      <c r="V198" s="4" t="str">
        <f aca="false">IF(OR(T198="",U198=""),"",IFERROR(IF($K198="%",U198-T198,U198/T198-1),""))</f>
        <v/>
      </c>
      <c r="W198" s="5" t="str">
        <f aca="false">IF(OR(T198="",U198=""),"",IF($F198="Maior Melhor",IF(U198&gt;=T198,"Sim","Não"),IF(U198&lt;=T198,"Sim","Não")))</f>
        <v/>
      </c>
      <c r="X198" s="3"/>
      <c r="Y198" s="3"/>
      <c r="Z198" s="4" t="str">
        <f aca="false">IF(OR(X198="",Y198=""),"",IFERROR(IF($K198="%",Y198-X198,Y198/X198-1),""))</f>
        <v/>
      </c>
      <c r="AA198" s="5" t="str">
        <f aca="false">IF(OR(X198="",Y198=""),"",IF($F198="Maior Melhor",IF(Y198&gt;=X198,"Sim","Não"),IF(Y198&lt;=X198,"Sim","Não")))</f>
        <v/>
      </c>
      <c r="AB198" s="3"/>
      <c r="AC198" s="3"/>
      <c r="AD198" s="4" t="str">
        <f aca="false">IF(OR(AB198="",AC198=""),"",IFERROR(IF($K198="%",AC198-AB198,AC198/AB198-1),""))</f>
        <v/>
      </c>
      <c r="AE198" s="5" t="str">
        <f aca="false">IF(OR(AB198="",AC198=""),"",IF($F198="Maior Melhor",IF(AC198&gt;=AB198,"Sim","Não"),IF(AC198&lt;=AB198,"Sim","Não")))</f>
        <v/>
      </c>
      <c r="AF198" s="3" t="n">
        <v>0.81</v>
      </c>
      <c r="AG198" s="3" t="n">
        <v>0.7055</v>
      </c>
      <c r="AH198" s="4" t="n">
        <f aca="false">IF(OR(AF198="",AG198=""),"",IFERROR(IF($K198="%",AG198-AF198,AG198/AF198-1),""))</f>
        <v>-0.1045</v>
      </c>
      <c r="AI198" s="5" t="str">
        <f aca="false">IF(OR(AF198="",AG198=""),"",IF($F198="Maior Melhor",IF(AG198&gt;=AF198,"Sim","Não"),IF(AG198&lt;=AF198,"Sim","Não")))</f>
        <v>Não</v>
      </c>
      <c r="AJ198" s="3" t="n">
        <v>0.81</v>
      </c>
      <c r="AK198" s="3" t="n">
        <v>0.6127</v>
      </c>
      <c r="AL198" s="4" t="n">
        <f aca="false">IF(OR(AJ198="",AK198=""),"",IFERROR(IF($K198="%",AK198-AJ198,AK198/AJ198-1),""))</f>
        <v>-0.1973</v>
      </c>
      <c r="AM198" s="5" t="str">
        <f aca="false">IF(OR(AJ198="",AK198=""),"",IF($F198="Maior Melhor",IF(AK198&gt;=AJ198,"Sim","Não"),IF(AK198&lt;=AJ198,"Sim","Não")))</f>
        <v>Não</v>
      </c>
      <c r="AN198" s="3" t="n">
        <v>0.81</v>
      </c>
      <c r="AO198" s="3" t="n">
        <v>0.71</v>
      </c>
      <c r="AP198" s="4" t="n">
        <f aca="false">IF(OR(AN198="",AO198=""),"",IFERROR(IF($K198="%",AO198-AN198,AO198/AN198-1),""))</f>
        <v>-0.1</v>
      </c>
      <c r="AQ198" s="5" t="str">
        <f aca="false">IF(OR(AN198="",AO198=""),"",IF($F198="Maior Melhor",IF(AO198&gt;=AN198,"Sim","Não"),IF(AO198&lt;=AN198,"Sim","Não")))</f>
        <v>Não</v>
      </c>
      <c r="AR198" s="3" t="n">
        <v>0.81</v>
      </c>
      <c r="AS198" s="3" t="n">
        <v>0.71</v>
      </c>
      <c r="AT198" s="4" t="n">
        <f aca="false">IF(OR(AR198="",AS198=""),"",IFERROR(IF($K198="%",AS198-AR198,AS198/AR198-1),""))</f>
        <v>-0.1</v>
      </c>
      <c r="AU198" s="5" t="str">
        <f aca="false">IF(OR(AR198="",AS198=""),"",IF($F198="Maior Melhor",IF(AS198&gt;=AR198,"Sim","Não"),IF(AS198&lt;=AR198,"Sim","Não")))</f>
        <v>Não</v>
      </c>
      <c r="AV198" s="3" t="n">
        <v>0.81</v>
      </c>
      <c r="AW198" s="3" t="n">
        <v>0.77</v>
      </c>
      <c r="AX198" s="4" t="n">
        <f aca="false">IF(OR(AV198="",AW198=""),"",IFERROR(IF($K198="%",AW198-AV198,AW198/AV198-1),""))</f>
        <v>-0.04</v>
      </c>
      <c r="AY198" s="5" t="str">
        <f aca="false">IF(OR(AV198="",AW198=""),"",IF($F198="Maior Melhor",IF(AW198&gt;=AV198,"Sim","Não"),IF(AW198&lt;=AV198,"Sim","Não")))</f>
        <v>Não</v>
      </c>
      <c r="AZ198" s="3" t="n">
        <v>0.81</v>
      </c>
      <c r="BA198" s="3" t="n">
        <v>0.77</v>
      </c>
      <c r="BB198" s="4" t="n">
        <f aca="false">IF(OR(AZ198="",BA198=""),"",IFERROR(IF($K198="%",BA198-AZ198,BA198/AZ198-1),""))</f>
        <v>-0.04</v>
      </c>
      <c r="BC198" s="5" t="str">
        <f aca="false">IF(OR(AZ198="",BA198=""),"",IF($F198="Maior Melhor",IF(BA198&gt;=AZ198,"Sim","Não"),IF(BA198&lt;=AZ198,"Sim","Não")))</f>
        <v>Não</v>
      </c>
      <c r="BD198" s="3" t="n">
        <v>0.81</v>
      </c>
      <c r="BE198" s="3" t="n">
        <v>0.81</v>
      </c>
      <c r="BF198" s="4" t="n">
        <f aca="false">IF(OR(BD198="",BE198=""),"",IFERROR(IF($K198="%",BE198-BD198,BE198/BD198-1),""))</f>
        <v>0</v>
      </c>
      <c r="BG198" s="5" t="str">
        <f aca="false">IF(OR(BD198="",BE198=""),"",IF($F198="Maior Melhor",IF(BE198&gt;=BD198,"Sim","Não"),IF(BE198&lt;=BD198,"Sim","Não")))</f>
        <v>Sim</v>
      </c>
      <c r="BH198" s="3" t="n">
        <v>0.81</v>
      </c>
      <c r="BI198" s="3" t="n">
        <v>0.81</v>
      </c>
      <c r="BJ198" s="4" t="n">
        <f aca="false">IF(OR(BH198="",BI198=""),"",IFERROR(IF($K198="%",BI198-BH198,BI198/BH198-1),""))</f>
        <v>0</v>
      </c>
      <c r="BK198" s="5" t="str">
        <f aca="false">IF(OR(BH198="",BI198=""),"",IF($F198="Maior Melhor",IF(BI198&gt;=BH198,"Sim","Não"),IF(BI198&lt;=BH198,"Sim","Não")))</f>
        <v>Sim</v>
      </c>
      <c r="BL198" s="6"/>
      <c r="BM198" s="6"/>
      <c r="BN198" s="4" t="str">
        <f aca="false">IF(OR(BL198="",BM198=""),"",IFERROR(IF($K198="%",BM198-BL198,BM198/BL198-1),""))</f>
        <v/>
      </c>
      <c r="BO198" s="5" t="str">
        <f aca="false">IF(OR(BL198="",BM198=""),"",IF($F198="Maior Melhor",IF(BM198&gt;=BL198,"Sim","Não"),IF(BM198&lt;=BL198,"Sim","Não")))</f>
        <v/>
      </c>
      <c r="BP198" s="6"/>
      <c r="BQ198" s="6"/>
      <c r="BR198" s="4" t="str">
        <f aca="false">IF(OR(BP198="",BQ198=""),"",IFERROR(IF($K198="%",BQ198-BP198,BQ198/BP198-1),""))</f>
        <v/>
      </c>
      <c r="BS198" s="5" t="str">
        <f aca="false">IF(OR(BP198="",BQ198=""),"",IF($F198="Maior Melhor",IF(BQ198&gt;=BP198,"Sim","Não"),IF(BQ198&lt;=BP198,"Sim","Não")))</f>
        <v/>
      </c>
      <c r="BT198" s="6"/>
      <c r="BU198" s="6"/>
      <c r="BV198" s="4" t="str">
        <f aca="false">IF(OR(BT198="",BU198=""),"",IFERROR(IF($K198="%",BU198-BT198,BU198/BT198-1),""))</f>
        <v/>
      </c>
      <c r="BW198" s="5" t="str">
        <f aca="false">IF(OR(BT198="",BU198=""),"",IF($F198="Maior Melhor",IF(BU198&gt;=BT198,"Sim","Não"),IF(BU198&lt;=BT198,"Sim","Não")))</f>
        <v/>
      </c>
      <c r="BX198" s="6"/>
      <c r="BY198" s="6"/>
      <c r="BZ198" s="4" t="str">
        <f aca="false">IF(OR(BX198="",BY198=""),"",IFERROR(IF($K198="%",BY198-BX198,BY198/BX198-1),""))</f>
        <v/>
      </c>
      <c r="CA198" s="5" t="str">
        <f aca="false">IF(OR(BX198="",BY198=""),"",IF($F198="Maior Melhor",IF(BY198&gt;=BX198,"Sim","Não"),IF(BY198&lt;=BX198,"Sim","Não")))</f>
        <v/>
      </c>
      <c r="CB198" s="6"/>
      <c r="CC198" s="6"/>
      <c r="CD198" s="4" t="str">
        <f aca="false">IF(OR(CB198="",CC198=""),"",IFERROR(IF($K198="%",CC198-CB198,CC198/CB198-1),""))</f>
        <v/>
      </c>
      <c r="CE198" s="5" t="str">
        <f aca="false">IF(OR(CB198="",CC198=""),"",IF($F198="Maior Melhor",IF(CC198&gt;=CB198,"Sim","Não"),IF(CC198&lt;=CB198,"Sim","Não")))</f>
        <v/>
      </c>
      <c r="CF198" s="6"/>
      <c r="CG198" s="6"/>
      <c r="CH198" s="4" t="str">
        <f aca="false">IF(OR(CF198="",CG198=""),"",IFERROR(IF($K198="%",CG198-CF198,CG198/CF198-1),""))</f>
        <v/>
      </c>
      <c r="CI198" s="5" t="str">
        <f aca="false">IF(OR(CF198="",CG198=""),"",IF($F198="Maior Melhor",IF(CG198&gt;=CF198,"Sim","Não"),IF(CG198&lt;=CF198,"Sim","Não")))</f>
        <v/>
      </c>
      <c r="CJ198" s="6"/>
      <c r="CK198" s="6"/>
      <c r="CL198" s="4" t="str">
        <f aca="false">IF(OR(CJ198="",CK198=""),"",IFERROR(IF($K198="%",CK198-CJ198,CK198/CJ198-1),""))</f>
        <v/>
      </c>
      <c r="CM198" s="5" t="str">
        <f aca="false">IF(OR(CJ198="",CK198=""),"",IF($F198="Maior Melhor",IF(CK198&gt;=CJ198,"Sim","Não"),IF(CK198&lt;=CJ198,"Sim","Não")))</f>
        <v/>
      </c>
      <c r="CN198" s="6"/>
      <c r="CO198" s="6"/>
      <c r="CP198" s="4" t="str">
        <f aca="false">IF(OR(CN198="",CO198=""),"",IFERROR(IF($K198="%",CO198-CN198,CO198/CN198-1),""))</f>
        <v/>
      </c>
      <c r="CQ198" s="5" t="str">
        <f aca="false">IF(OR(CN198="",CO198=""),"",IF($F198="Maior Melhor",IF(CO198&gt;=CN198,"Sim","Não"),IF(CO198&lt;=CN198,"Sim","Não")))</f>
        <v/>
      </c>
      <c r="CR198" s="2" t="s">
        <v>105</v>
      </c>
    </row>
    <row r="199" customFormat="false" ht="15" hidden="false" customHeight="false" outlineLevel="0" collapsed="false">
      <c r="A199" s="2" t="s">
        <v>96</v>
      </c>
      <c r="B199" s="2" t="s">
        <v>108</v>
      </c>
      <c r="C199" s="2" t="s">
        <v>131</v>
      </c>
      <c r="D199" s="2" t="s">
        <v>176</v>
      </c>
      <c r="E199" s="2" t="str">
        <f aca="false">C199&amp;D199</f>
        <v>UTD VITORIA DA CONQUISTAEGE</v>
      </c>
      <c r="F199" s="2" t="s">
        <v>100</v>
      </c>
      <c r="G199" s="2" t="s">
        <v>177</v>
      </c>
      <c r="H199" s="2" t="s">
        <v>102</v>
      </c>
      <c r="I199" s="2" t="s">
        <v>103</v>
      </c>
      <c r="J199" s="2" t="n">
        <v>1</v>
      </c>
      <c r="K199" s="2" t="s">
        <v>104</v>
      </c>
      <c r="L199" s="3"/>
      <c r="M199" s="3"/>
      <c r="N199" s="4" t="str">
        <f aca="false">IF(OR(L199="",M199=""),"",IFERROR(IF($K199="%",M199-L199,M199/L199-1),""))</f>
        <v/>
      </c>
      <c r="O199" s="5" t="str">
        <f aca="false">IF(OR(L199="",M199=""),"",IF($F199="Maior Melhor",IF(M199&gt;=L199,"Sim","Não"),IF(M199&lt;=L199,"Sim","Não")))</f>
        <v/>
      </c>
      <c r="P199" s="3"/>
      <c r="Q199" s="3"/>
      <c r="R199" s="4" t="str">
        <f aca="false">IF(OR(P199="",Q199=""),"",IFERROR(IF($K199="%",Q199-P199,Q199/P199-1),""))</f>
        <v/>
      </c>
      <c r="S199" s="5" t="str">
        <f aca="false">IF(OR(P199="",Q199=""),"",IF($F199="Maior Melhor",IF(Q199&gt;=P199,"Sim","Não"),IF(Q199&lt;=P199,"Sim","Não")))</f>
        <v/>
      </c>
      <c r="T199" s="3"/>
      <c r="U199" s="3"/>
      <c r="V199" s="4" t="str">
        <f aca="false">IF(OR(T199="",U199=""),"",IFERROR(IF($K199="%",U199-T199,U199/T199-1),""))</f>
        <v/>
      </c>
      <c r="W199" s="5" t="str">
        <f aca="false">IF(OR(T199="",U199=""),"",IF($F199="Maior Melhor",IF(U199&gt;=T199,"Sim","Não"),IF(U199&lt;=T199,"Sim","Não")))</f>
        <v/>
      </c>
      <c r="X199" s="3"/>
      <c r="Y199" s="3"/>
      <c r="Z199" s="4" t="str">
        <f aca="false">IF(OR(X199="",Y199=""),"",IFERROR(IF($K199="%",Y199-X199,Y199/X199-1),""))</f>
        <v/>
      </c>
      <c r="AA199" s="5" t="str">
        <f aca="false">IF(OR(X199="",Y199=""),"",IF($F199="Maior Melhor",IF(Y199&gt;=X199,"Sim","Não"),IF(Y199&lt;=X199,"Sim","Não")))</f>
        <v/>
      </c>
      <c r="AB199" s="3"/>
      <c r="AC199" s="3"/>
      <c r="AD199" s="4" t="str">
        <f aca="false">IF(OR(AB199="",AC199=""),"",IFERROR(IF($K199="%",AC199-AB199,AC199/AB199-1),""))</f>
        <v/>
      </c>
      <c r="AE199" s="5" t="str">
        <f aca="false">IF(OR(AB199="",AC199=""),"",IF($F199="Maior Melhor",IF(AC199&gt;=AB199,"Sim","Não"),IF(AC199&lt;=AB199,"Sim","Não")))</f>
        <v/>
      </c>
      <c r="AF199" s="3" t="n">
        <v>0.81</v>
      </c>
      <c r="AG199" s="3" t="n">
        <v>0.5924</v>
      </c>
      <c r="AH199" s="4" t="n">
        <f aca="false">IF(OR(AF199="",AG199=""),"",IFERROR(IF($K199="%",AG199-AF199,AG199/AF199-1),""))</f>
        <v>-0.2176</v>
      </c>
      <c r="AI199" s="5" t="str">
        <f aca="false">IF(OR(AF199="",AG199=""),"",IF($F199="Maior Melhor",IF(AG199&gt;=AF199,"Sim","Não"),IF(AG199&lt;=AF199,"Sim","Não")))</f>
        <v>Não</v>
      </c>
      <c r="AJ199" s="3" t="n">
        <v>0.81</v>
      </c>
      <c r="AK199" s="3" t="n">
        <v>0.5394</v>
      </c>
      <c r="AL199" s="4" t="n">
        <f aca="false">IF(OR(AJ199="",AK199=""),"",IFERROR(IF($K199="%",AK199-AJ199,AK199/AJ199-1),""))</f>
        <v>-0.2706</v>
      </c>
      <c r="AM199" s="5" t="str">
        <f aca="false">IF(OR(AJ199="",AK199=""),"",IF($F199="Maior Melhor",IF(AK199&gt;=AJ199,"Sim","Não"),IF(AK199&lt;=AJ199,"Sim","Não")))</f>
        <v>Não</v>
      </c>
      <c r="AN199" s="3" t="n">
        <v>0.81</v>
      </c>
      <c r="AO199" s="3" t="n">
        <v>0.66</v>
      </c>
      <c r="AP199" s="4" t="n">
        <f aca="false">IF(OR(AN199="",AO199=""),"",IFERROR(IF($K199="%",AO199-AN199,AO199/AN199-1),""))</f>
        <v>-0.15</v>
      </c>
      <c r="AQ199" s="5" t="str">
        <f aca="false">IF(OR(AN199="",AO199=""),"",IF($F199="Maior Melhor",IF(AO199&gt;=AN199,"Sim","Não"),IF(AO199&lt;=AN199,"Sim","Não")))</f>
        <v>Não</v>
      </c>
      <c r="AR199" s="3" t="n">
        <v>0.81</v>
      </c>
      <c r="AS199" s="3" t="n">
        <v>0.66</v>
      </c>
      <c r="AT199" s="4" t="n">
        <f aca="false">IF(OR(AR199="",AS199=""),"",IFERROR(IF($K199="%",AS199-AR199,AS199/AR199-1),""))</f>
        <v>-0.15</v>
      </c>
      <c r="AU199" s="5" t="str">
        <f aca="false">IF(OR(AR199="",AS199=""),"",IF($F199="Maior Melhor",IF(AS199&gt;=AR199,"Sim","Não"),IF(AS199&lt;=AR199,"Sim","Não")))</f>
        <v>Não</v>
      </c>
      <c r="AV199" s="3" t="n">
        <v>0.81</v>
      </c>
      <c r="AW199" s="3" t="n">
        <v>0.65</v>
      </c>
      <c r="AX199" s="4" t="n">
        <f aca="false">IF(OR(AV199="",AW199=""),"",IFERROR(IF($K199="%",AW199-AV199,AW199/AV199-1),""))</f>
        <v>-0.16</v>
      </c>
      <c r="AY199" s="5" t="str">
        <f aca="false">IF(OR(AV199="",AW199=""),"",IF($F199="Maior Melhor",IF(AW199&gt;=AV199,"Sim","Não"),IF(AW199&lt;=AV199,"Sim","Não")))</f>
        <v>Não</v>
      </c>
      <c r="AZ199" s="3" t="n">
        <v>0.81</v>
      </c>
      <c r="BA199" s="3" t="n">
        <v>0.65</v>
      </c>
      <c r="BB199" s="4" t="n">
        <f aca="false">IF(OR(AZ199="",BA199=""),"",IFERROR(IF($K199="%",BA199-AZ199,BA199/AZ199-1),""))</f>
        <v>-0.16</v>
      </c>
      <c r="BC199" s="5" t="str">
        <f aca="false">IF(OR(AZ199="",BA199=""),"",IF($F199="Maior Melhor",IF(BA199&gt;=AZ199,"Sim","Não"),IF(BA199&lt;=AZ199,"Sim","Não")))</f>
        <v>Não</v>
      </c>
      <c r="BD199" s="3" t="n">
        <v>0.81</v>
      </c>
      <c r="BE199" s="3" t="n">
        <v>0.65</v>
      </c>
      <c r="BF199" s="4" t="n">
        <f aca="false">IF(OR(BD199="",BE199=""),"",IFERROR(IF($K199="%",BE199-BD199,BE199/BD199-1),""))</f>
        <v>-0.16</v>
      </c>
      <c r="BG199" s="5" t="str">
        <f aca="false">IF(OR(BD199="",BE199=""),"",IF($F199="Maior Melhor",IF(BE199&gt;=BD199,"Sim","Não"),IF(BE199&lt;=BD199,"Sim","Não")))</f>
        <v>Não</v>
      </c>
      <c r="BH199" s="3" t="n">
        <v>0.81</v>
      </c>
      <c r="BI199" s="3" t="n">
        <v>0.65</v>
      </c>
      <c r="BJ199" s="4" t="n">
        <f aca="false">IF(OR(BH199="",BI199=""),"",IFERROR(IF($K199="%",BI199-BH199,BI199/BH199-1),""))</f>
        <v>-0.16</v>
      </c>
      <c r="BK199" s="5" t="str">
        <f aca="false">IF(OR(BH199="",BI199=""),"",IF($F199="Maior Melhor",IF(BI199&gt;=BH199,"Sim","Não"),IF(BI199&lt;=BH199,"Sim","Não")))</f>
        <v>Não</v>
      </c>
      <c r="BL199" s="6"/>
      <c r="BM199" s="6"/>
      <c r="BN199" s="4" t="str">
        <f aca="false">IF(OR(BL199="",BM199=""),"",IFERROR(IF($K199="%",BM199-BL199,BM199/BL199-1),""))</f>
        <v/>
      </c>
      <c r="BO199" s="5" t="str">
        <f aca="false">IF(OR(BL199="",BM199=""),"",IF($F199="Maior Melhor",IF(BM199&gt;=BL199,"Sim","Não"),IF(BM199&lt;=BL199,"Sim","Não")))</f>
        <v/>
      </c>
      <c r="BP199" s="6"/>
      <c r="BQ199" s="6"/>
      <c r="BR199" s="4" t="str">
        <f aca="false">IF(OR(BP199="",BQ199=""),"",IFERROR(IF($K199="%",BQ199-BP199,BQ199/BP199-1),""))</f>
        <v/>
      </c>
      <c r="BS199" s="5" t="str">
        <f aca="false">IF(OR(BP199="",BQ199=""),"",IF($F199="Maior Melhor",IF(BQ199&gt;=BP199,"Sim","Não"),IF(BQ199&lt;=BP199,"Sim","Não")))</f>
        <v/>
      </c>
      <c r="BT199" s="6"/>
      <c r="BU199" s="6"/>
      <c r="BV199" s="4" t="str">
        <f aca="false">IF(OR(BT199="",BU199=""),"",IFERROR(IF($K199="%",BU199-BT199,BU199/BT199-1),""))</f>
        <v/>
      </c>
      <c r="BW199" s="5" t="str">
        <f aca="false">IF(OR(BT199="",BU199=""),"",IF($F199="Maior Melhor",IF(BU199&gt;=BT199,"Sim","Não"),IF(BU199&lt;=BT199,"Sim","Não")))</f>
        <v/>
      </c>
      <c r="BX199" s="6"/>
      <c r="BY199" s="6"/>
      <c r="BZ199" s="4" t="str">
        <f aca="false">IF(OR(BX199="",BY199=""),"",IFERROR(IF($K199="%",BY199-BX199,BY199/BX199-1),""))</f>
        <v/>
      </c>
      <c r="CA199" s="5" t="str">
        <f aca="false">IF(OR(BX199="",BY199=""),"",IF($F199="Maior Melhor",IF(BY199&gt;=BX199,"Sim","Não"),IF(BY199&lt;=BX199,"Sim","Não")))</f>
        <v/>
      </c>
      <c r="CB199" s="6"/>
      <c r="CC199" s="6"/>
      <c r="CD199" s="4" t="str">
        <f aca="false">IF(OR(CB199="",CC199=""),"",IFERROR(IF($K199="%",CC199-CB199,CC199/CB199-1),""))</f>
        <v/>
      </c>
      <c r="CE199" s="5" t="str">
        <f aca="false">IF(OR(CB199="",CC199=""),"",IF($F199="Maior Melhor",IF(CC199&gt;=CB199,"Sim","Não"),IF(CC199&lt;=CB199,"Sim","Não")))</f>
        <v/>
      </c>
      <c r="CF199" s="6"/>
      <c r="CG199" s="6"/>
      <c r="CH199" s="4" t="str">
        <f aca="false">IF(OR(CF199="",CG199=""),"",IFERROR(IF($K199="%",CG199-CF199,CG199/CF199-1),""))</f>
        <v/>
      </c>
      <c r="CI199" s="5" t="str">
        <f aca="false">IF(OR(CF199="",CG199=""),"",IF($F199="Maior Melhor",IF(CG199&gt;=CF199,"Sim","Não"),IF(CG199&lt;=CF199,"Sim","Não")))</f>
        <v/>
      </c>
      <c r="CJ199" s="6"/>
      <c r="CK199" s="6"/>
      <c r="CL199" s="4" t="str">
        <f aca="false">IF(OR(CJ199="",CK199=""),"",IFERROR(IF($K199="%",CK199-CJ199,CK199/CJ199-1),""))</f>
        <v/>
      </c>
      <c r="CM199" s="5" t="str">
        <f aca="false">IF(OR(CJ199="",CK199=""),"",IF($F199="Maior Melhor",IF(CK199&gt;=CJ199,"Sim","Não"),IF(CK199&lt;=CJ199,"Sim","Não")))</f>
        <v/>
      </c>
      <c r="CN199" s="6"/>
      <c r="CO199" s="6"/>
      <c r="CP199" s="4" t="str">
        <f aca="false">IF(OR(CN199="",CO199=""),"",IFERROR(IF($K199="%",CO199-CN199,CO199/CN199-1),""))</f>
        <v/>
      </c>
      <c r="CQ199" s="5" t="str">
        <f aca="false">IF(OR(CN199="",CO199=""),"",IF($F199="Maior Melhor",IF(CO199&gt;=CN199,"Sim","Não"),IF(CO199&lt;=CN199,"Sim","Não")))</f>
        <v/>
      </c>
      <c r="CR199" s="2" t="s">
        <v>105</v>
      </c>
    </row>
    <row r="200" customFormat="false" ht="15" hidden="false" customHeight="false" outlineLevel="0" collapsed="false">
      <c r="A200" s="2" t="s">
        <v>96</v>
      </c>
      <c r="B200" s="2" t="s">
        <v>97</v>
      </c>
      <c r="C200" s="2" t="s">
        <v>98</v>
      </c>
      <c r="D200" s="2" t="s">
        <v>179</v>
      </c>
      <c r="E200" s="2" t="str">
        <f aca="false">C200&amp;D200</f>
        <v>Gerência Centro OesteImprodutividade de notas comercias reguladas (Conexão)</v>
      </c>
      <c r="F200" s="2" t="s">
        <v>167</v>
      </c>
      <c r="G200" s="2" t="s">
        <v>180</v>
      </c>
      <c r="H200" s="2" t="s">
        <v>102</v>
      </c>
      <c r="I200" s="2" t="s">
        <v>169</v>
      </c>
      <c r="J200" s="2" t="n">
        <v>1</v>
      </c>
      <c r="K200" s="2" t="s">
        <v>104</v>
      </c>
      <c r="L200" s="3" t="n">
        <v>0.2852</v>
      </c>
      <c r="M200" s="3" t="n">
        <v>0.2485</v>
      </c>
      <c r="N200" s="4" t="n">
        <f aca="false">IF(OR(L200="",M200=""),"",IFERROR(IF($K200="%",M200-L200,M200/L200-1),""))</f>
        <v>-0.0367</v>
      </c>
      <c r="O200" s="5" t="str">
        <f aca="false">IF(OR(L200="",M200=""),"",IF($F200="Maior Melhor",IF(M200&gt;=L200,"Sim","Não"),IF(M200&lt;=L200,"Sim","Não")))</f>
        <v>Sim</v>
      </c>
      <c r="P200" s="3" t="n">
        <v>0.2852</v>
      </c>
      <c r="Q200" s="3" t="n">
        <v>0.2123</v>
      </c>
      <c r="R200" s="4" t="n">
        <f aca="false">IF(OR(P200="",Q200=""),"",IFERROR(IF($K200="%",Q200-P200,Q200/P200-1),""))</f>
        <v>-0.0729</v>
      </c>
      <c r="S200" s="5" t="str">
        <f aca="false">IF(OR(P200="",Q200=""),"",IF($F200="Maior Melhor",IF(Q200&gt;=P200,"Sim","Não"),IF(Q200&lt;=P200,"Sim","Não")))</f>
        <v>Sim</v>
      </c>
      <c r="T200" s="3" t="n">
        <v>0.2852</v>
      </c>
      <c r="U200" s="3" t="n">
        <v>0.2209</v>
      </c>
      <c r="V200" s="4" t="n">
        <f aca="false">IF(OR(T200="",U200=""),"",IFERROR(IF($K200="%",U200-T200,U200/T200-1),""))</f>
        <v>-0.0643</v>
      </c>
      <c r="W200" s="5" t="str">
        <f aca="false">IF(OR(T200="",U200=""),"",IF($F200="Maior Melhor",IF(U200&gt;=T200,"Sim","Não"),IF(U200&lt;=T200,"Sim","Não")))</f>
        <v>Sim</v>
      </c>
      <c r="X200" s="3" t="n">
        <v>0.2852</v>
      </c>
      <c r="Y200" s="3" t="n">
        <v>0.1616</v>
      </c>
      <c r="Z200" s="4" t="n">
        <f aca="false">IF(OR(X200="",Y200=""),"",IFERROR(IF($K200="%",Y200-X200,Y200/X200-1),""))</f>
        <v>-0.1236</v>
      </c>
      <c r="AA200" s="5" t="str">
        <f aca="false">IF(OR(X200="",Y200=""),"",IF($F200="Maior Melhor",IF(Y200&gt;=X200,"Sim","Não"),IF(Y200&lt;=X200,"Sim","Não")))</f>
        <v>Sim</v>
      </c>
      <c r="AB200" s="3" t="n">
        <v>0.2852</v>
      </c>
      <c r="AC200" s="3" t="n">
        <v>0.2151</v>
      </c>
      <c r="AD200" s="4" t="n">
        <f aca="false">IF(OR(AB200="",AC200=""),"",IFERROR(IF($K200="%",AC200-AB200,AC200/AB200-1),""))</f>
        <v>-0.0701</v>
      </c>
      <c r="AE200" s="5" t="str">
        <f aca="false">IF(OR(AB200="",AC200=""),"",IF($F200="Maior Melhor",IF(AC200&gt;=AB200,"Sim","Não"),IF(AC200&lt;=AB200,"Sim","Não")))</f>
        <v>Sim</v>
      </c>
      <c r="AF200" s="3" t="n">
        <v>0.285218</v>
      </c>
      <c r="AG200" s="3" t="n">
        <v>0.171717172</v>
      </c>
      <c r="AH200" s="4" t="n">
        <f aca="false">IF(OR(AF200="",AG200=""),"",IFERROR(IF($K200="%",AG200-AF200,AG200/AF200-1),""))</f>
        <v>-0.113500828</v>
      </c>
      <c r="AI200" s="5" t="str">
        <f aca="false">IF(OR(AF200="",AG200=""),"",IF($F200="Maior Melhor",IF(AG200&gt;=AF200,"Sim","Não"),IF(AG200&lt;=AF200,"Sim","Não")))</f>
        <v>Sim</v>
      </c>
      <c r="AJ200" s="3" t="n">
        <v>0.285218</v>
      </c>
      <c r="AK200" s="3" t="n">
        <v>0.208319845</v>
      </c>
      <c r="AL200" s="4" t="n">
        <f aca="false">IF(OR(AJ200="",AK200=""),"",IFERROR(IF($K200="%",AK200-AJ200,AK200/AJ200-1),""))</f>
        <v>-0.076898155</v>
      </c>
      <c r="AM200" s="5" t="str">
        <f aca="false">IF(OR(AJ200="",AK200=""),"",IF($F200="Maior Melhor",IF(AK200&gt;=AJ200,"Sim","Não"),IF(AK200&lt;=AJ200,"Sim","Não")))</f>
        <v>Sim</v>
      </c>
      <c r="AN200" s="3" t="n">
        <v>0.285218</v>
      </c>
      <c r="AO200" s="3" t="n">
        <v>0.199807877</v>
      </c>
      <c r="AP200" s="4" t="n">
        <f aca="false">IF(OR(AN200="",AO200=""),"",IFERROR(IF($K200="%",AO200-AN200,AO200/AN200-1),""))</f>
        <v>-0.085410123</v>
      </c>
      <c r="AQ200" s="5" t="str">
        <f aca="false">IF(OR(AN200="",AO200=""),"",IF($F200="Maior Melhor",IF(AO200&gt;=AN200,"Sim","Não"),IF(AO200&lt;=AN200,"Sim","Não")))</f>
        <v>Sim</v>
      </c>
      <c r="AR200" s="3" t="n">
        <v>0.285218</v>
      </c>
      <c r="AS200" s="3" t="n">
        <v>0.207658431</v>
      </c>
      <c r="AT200" s="4" t="n">
        <f aca="false">IF(OR(AR200="",AS200=""),"",IFERROR(IF($K200="%",AS200-AR200,AS200/AR200-1),""))</f>
        <v>-0.077559569</v>
      </c>
      <c r="AU200" s="5" t="str">
        <f aca="false">IF(OR(AR200="",AS200=""),"",IF($F200="Maior Melhor",IF(AS200&gt;=AR200,"Sim","Não"),IF(AS200&lt;=AR200,"Sim","Não")))</f>
        <v>Sim</v>
      </c>
      <c r="AV200" s="3" t="n">
        <v>0.3</v>
      </c>
      <c r="AW200" s="3" t="n">
        <v>0.254518072</v>
      </c>
      <c r="AX200" s="4" t="n">
        <f aca="false">IF(OR(AV200="",AW200=""),"",IFERROR(IF($K200="%",AW200-AV200,AW200/AV200-1),""))</f>
        <v>-0.045481928</v>
      </c>
      <c r="AY200" s="5" t="str">
        <f aca="false">IF(OR(AV200="",AW200=""),"",IF($F200="Maior Melhor",IF(AW200&gt;=AV200,"Sim","Não"),IF(AW200&lt;=AV200,"Sim","Não")))</f>
        <v>Sim</v>
      </c>
      <c r="AZ200" s="3" t="n">
        <v>0.3</v>
      </c>
      <c r="BA200" s="3" t="n">
        <v>0.254518072</v>
      </c>
      <c r="BB200" s="4" t="n">
        <f aca="false">IF(OR(AZ200="",BA200=""),"",IFERROR(IF($K200="%",BA200-AZ200,BA200/AZ200-1),""))</f>
        <v>-0.045481928</v>
      </c>
      <c r="BC200" s="5" t="str">
        <f aca="false">IF(OR(AZ200="",BA200=""),"",IF($F200="Maior Melhor",IF(BA200&gt;=AZ200,"Sim","Não"),IF(BA200&lt;=AZ200,"Sim","Não")))</f>
        <v>Sim</v>
      </c>
      <c r="BD200" s="3" t="n">
        <v>0.285</v>
      </c>
      <c r="BE200" s="3" t="n">
        <v>0.262</v>
      </c>
      <c r="BF200" s="4" t="n">
        <f aca="false">IF(OR(BD200="",BE200=""),"",IFERROR(IF($K200="%",BE200-BD200,BE200/BD200-1),""))</f>
        <v>-0.023</v>
      </c>
      <c r="BG200" s="5" t="str">
        <f aca="false">IF(OR(BD200="",BE200=""),"",IF($F200="Maior Melhor",IF(BE200&gt;=BD200,"Sim","Não"),IF(BE200&lt;=BD200,"Sim","Não")))</f>
        <v>Sim</v>
      </c>
      <c r="BH200" s="3" t="n">
        <v>0.285</v>
      </c>
      <c r="BI200" s="3" t="n">
        <v>0.225</v>
      </c>
      <c r="BJ200" s="4" t="n">
        <f aca="false">IF(OR(BH200="",BI200=""),"",IFERROR(IF($K200="%",BI200-BH200,BI200/BH200-1),""))</f>
        <v>-0.06</v>
      </c>
      <c r="BK200" s="5" t="str">
        <f aca="false">IF(OR(BH200="",BI200=""),"",IF($F200="Maior Melhor",IF(BI200&gt;=BH200,"Sim","Não"),IF(BI200&lt;=BH200,"Sim","Não")))</f>
        <v>Sim</v>
      </c>
      <c r="BL200" s="6"/>
      <c r="BM200" s="6"/>
      <c r="BN200" s="4" t="str">
        <f aca="false">IF(OR(BL200="",BM200=""),"",IFERROR(IF($K200="%",BM200-BL200,BM200/BL200-1),""))</f>
        <v/>
      </c>
      <c r="BO200" s="5" t="str">
        <f aca="false">IF(OR(BL200="",BM200=""),"",IF($F200="Maior Melhor",IF(BM200&gt;=BL200,"Sim","Não"),IF(BM200&lt;=BL200,"Sim","Não")))</f>
        <v/>
      </c>
      <c r="BP200" s="6"/>
      <c r="BQ200" s="6"/>
      <c r="BR200" s="4" t="str">
        <f aca="false">IF(OR(BP200="",BQ200=""),"",IFERROR(IF($K200="%",BQ200-BP200,BQ200/BP200-1),""))</f>
        <v/>
      </c>
      <c r="BS200" s="5" t="str">
        <f aca="false">IF(OR(BP200="",BQ200=""),"",IF($F200="Maior Melhor",IF(BQ200&gt;=BP200,"Sim","Não"),IF(BQ200&lt;=BP200,"Sim","Não")))</f>
        <v/>
      </c>
      <c r="BT200" s="6"/>
      <c r="BU200" s="6"/>
      <c r="BV200" s="4" t="str">
        <f aca="false">IF(OR(BT200="",BU200=""),"",IFERROR(IF($K200="%",BU200-BT200,BU200/BT200-1),""))</f>
        <v/>
      </c>
      <c r="BW200" s="5" t="str">
        <f aca="false">IF(OR(BT200="",BU200=""),"",IF($F200="Maior Melhor",IF(BU200&gt;=BT200,"Sim","Não"),IF(BU200&lt;=BT200,"Sim","Não")))</f>
        <v/>
      </c>
      <c r="BX200" s="6"/>
      <c r="BY200" s="6"/>
      <c r="BZ200" s="4" t="str">
        <f aca="false">IF(OR(BX200="",BY200=""),"",IFERROR(IF($K200="%",BY200-BX200,BY200/BX200-1),""))</f>
        <v/>
      </c>
      <c r="CA200" s="5" t="str">
        <f aca="false">IF(OR(BX200="",BY200=""),"",IF($F200="Maior Melhor",IF(BY200&gt;=BX200,"Sim","Não"),IF(BY200&lt;=BX200,"Sim","Não")))</f>
        <v/>
      </c>
      <c r="CB200" s="6"/>
      <c r="CC200" s="6"/>
      <c r="CD200" s="4" t="str">
        <f aca="false">IF(OR(CB200="",CC200=""),"",IFERROR(IF($K200="%",CC200-CB200,CC200/CB200-1),""))</f>
        <v/>
      </c>
      <c r="CE200" s="5" t="str">
        <f aca="false">IF(OR(CB200="",CC200=""),"",IF($F200="Maior Melhor",IF(CC200&gt;=CB200,"Sim","Não"),IF(CC200&lt;=CB200,"Sim","Não")))</f>
        <v/>
      </c>
      <c r="CF200" s="6"/>
      <c r="CG200" s="6"/>
      <c r="CH200" s="4" t="str">
        <f aca="false">IF(OR(CF200="",CG200=""),"",IFERROR(IF($K200="%",CG200-CF200,CG200/CF200-1),""))</f>
        <v/>
      </c>
      <c r="CI200" s="5" t="str">
        <f aca="false">IF(OR(CF200="",CG200=""),"",IF($F200="Maior Melhor",IF(CG200&gt;=CF200,"Sim","Não"),IF(CG200&lt;=CF200,"Sim","Não")))</f>
        <v/>
      </c>
      <c r="CJ200" s="6"/>
      <c r="CK200" s="6"/>
      <c r="CL200" s="4" t="str">
        <f aca="false">IF(OR(CJ200="",CK200=""),"",IFERROR(IF($K200="%",CK200-CJ200,CK200/CJ200-1),""))</f>
        <v/>
      </c>
      <c r="CM200" s="5" t="str">
        <f aca="false">IF(OR(CJ200="",CK200=""),"",IF($F200="Maior Melhor",IF(CK200&gt;=CJ200,"Sim","Não"),IF(CK200&lt;=CJ200,"Sim","Não")))</f>
        <v/>
      </c>
      <c r="CN200" s="6"/>
      <c r="CO200" s="6"/>
      <c r="CP200" s="4" t="str">
        <f aca="false">IF(OR(CN200="",CO200=""),"",IFERROR(IF($K200="%",CO200-CN200,CO200/CN200-1),""))</f>
        <v/>
      </c>
      <c r="CQ200" s="5" t="str">
        <f aca="false">IF(OR(CN200="",CO200=""),"",IF($F200="Maior Melhor",IF(CO200&gt;=CN200,"Sim","Não"),IF(CO200&lt;=CN200,"Sim","Não")))</f>
        <v/>
      </c>
      <c r="CR200" s="2" t="s">
        <v>105</v>
      </c>
    </row>
    <row r="201" customFormat="false" ht="15" hidden="false" customHeight="false" outlineLevel="0" collapsed="false">
      <c r="A201" s="2" t="s">
        <v>96</v>
      </c>
      <c r="B201" s="2" t="s">
        <v>106</v>
      </c>
      <c r="C201" s="2" t="s">
        <v>107</v>
      </c>
      <c r="D201" s="2" t="s">
        <v>179</v>
      </c>
      <c r="E201" s="2" t="str">
        <f aca="false">C201&amp;D201</f>
        <v>Gerência OesteImprodutividade de notas comercias reguladas (Conexão)</v>
      </c>
      <c r="F201" s="2" t="s">
        <v>167</v>
      </c>
      <c r="G201" s="2" t="s">
        <v>180</v>
      </c>
      <c r="H201" s="2" t="s">
        <v>102</v>
      </c>
      <c r="I201" s="2" t="s">
        <v>169</v>
      </c>
      <c r="J201" s="2" t="n">
        <v>1</v>
      </c>
      <c r="K201" s="2" t="s">
        <v>104</v>
      </c>
      <c r="L201" s="3" t="n">
        <v>0.2983</v>
      </c>
      <c r="M201" s="3" t="n">
        <v>0.2413</v>
      </c>
      <c r="N201" s="4" t="n">
        <f aca="false">IF(OR(L201="",M201=""),"",IFERROR(IF($K201="%",M201-L201,M201/L201-1),""))</f>
        <v>-0.057</v>
      </c>
      <c r="O201" s="5" t="str">
        <f aca="false">IF(OR(L201="",M201=""),"",IF($F201="Maior Melhor",IF(M201&gt;=L201,"Sim","Não"),IF(M201&lt;=L201,"Sim","Não")))</f>
        <v>Sim</v>
      </c>
      <c r="P201" s="3" t="n">
        <v>0.2983</v>
      </c>
      <c r="Q201" s="3" t="n">
        <v>0.2646</v>
      </c>
      <c r="R201" s="4" t="n">
        <f aca="false">IF(OR(P201="",Q201=""),"",IFERROR(IF($K201="%",Q201-P201,Q201/P201-1),""))</f>
        <v>-0.0337</v>
      </c>
      <c r="S201" s="5" t="str">
        <f aca="false">IF(OR(P201="",Q201=""),"",IF($F201="Maior Melhor",IF(Q201&gt;=P201,"Sim","Não"),IF(Q201&lt;=P201,"Sim","Não")))</f>
        <v>Sim</v>
      </c>
      <c r="T201" s="3" t="n">
        <v>0.2983</v>
      </c>
      <c r="U201" s="3" t="n">
        <v>0.2544</v>
      </c>
      <c r="V201" s="4" t="n">
        <f aca="false">IF(OR(T201="",U201=""),"",IFERROR(IF($K201="%",U201-T201,U201/T201-1),""))</f>
        <v>-0.0439</v>
      </c>
      <c r="W201" s="5" t="str">
        <f aca="false">IF(OR(T201="",U201=""),"",IF($F201="Maior Melhor",IF(U201&gt;=T201,"Sim","Não"),IF(U201&lt;=T201,"Sim","Não")))</f>
        <v>Sim</v>
      </c>
      <c r="X201" s="3" t="n">
        <v>0.2983</v>
      </c>
      <c r="Y201" s="3" t="n">
        <v>0.2515</v>
      </c>
      <c r="Z201" s="4" t="n">
        <f aca="false">IF(OR(X201="",Y201=""),"",IFERROR(IF($K201="%",Y201-X201,Y201/X201-1),""))</f>
        <v>-0.0468</v>
      </c>
      <c r="AA201" s="5" t="str">
        <f aca="false">IF(OR(X201="",Y201=""),"",IF($F201="Maior Melhor",IF(Y201&gt;=X201,"Sim","Não"),IF(Y201&lt;=X201,"Sim","Não")))</f>
        <v>Sim</v>
      </c>
      <c r="AB201" s="3" t="n">
        <v>0.2983</v>
      </c>
      <c r="AC201" s="3" t="n">
        <v>0.2528</v>
      </c>
      <c r="AD201" s="4" t="n">
        <f aca="false">IF(OR(AB201="",AC201=""),"",IFERROR(IF($K201="%",AC201-AB201,AC201/AB201-1),""))</f>
        <v>-0.0455</v>
      </c>
      <c r="AE201" s="5" t="str">
        <f aca="false">IF(OR(AB201="",AC201=""),"",IF($F201="Maior Melhor",IF(AC201&gt;=AB201,"Sim","Não"),IF(AC201&lt;=AB201,"Sim","Não")))</f>
        <v>Sim</v>
      </c>
      <c r="AF201" s="3" t="n">
        <v>0.298344</v>
      </c>
      <c r="AG201" s="3" t="n">
        <v>0.196185286</v>
      </c>
      <c r="AH201" s="4" t="n">
        <f aca="false">IF(OR(AF201="",AG201=""),"",IFERROR(IF($K201="%",AG201-AF201,AG201/AF201-1),""))</f>
        <v>-0.102158714</v>
      </c>
      <c r="AI201" s="5" t="str">
        <f aca="false">IF(OR(AF201="",AG201=""),"",IF($F201="Maior Melhor",IF(AG201&gt;=AF201,"Sim","Não"),IF(AG201&lt;=AF201,"Sim","Não")))</f>
        <v>Sim</v>
      </c>
      <c r="AJ201" s="3" t="n">
        <v>0.298344</v>
      </c>
      <c r="AK201" s="3" t="n">
        <v>0.249006378</v>
      </c>
      <c r="AL201" s="4" t="n">
        <f aca="false">IF(OR(AJ201="",AK201=""),"",IFERROR(IF($K201="%",AK201-AJ201,AK201/AJ201-1),""))</f>
        <v>-0.049337622</v>
      </c>
      <c r="AM201" s="5" t="str">
        <f aca="false">IF(OR(AJ201="",AK201=""),"",IF($F201="Maior Melhor",IF(AK201&gt;=AJ201,"Sim","Não"),IF(AK201&lt;=AJ201,"Sim","Não")))</f>
        <v>Sim</v>
      </c>
      <c r="AN201" s="3" t="n">
        <v>0.298344</v>
      </c>
      <c r="AO201" s="3" t="n">
        <v>0.192401961</v>
      </c>
      <c r="AP201" s="4" t="n">
        <f aca="false">IF(OR(AN201="",AO201=""),"",IFERROR(IF($K201="%",AO201-AN201,AO201/AN201-1),""))</f>
        <v>-0.105942039</v>
      </c>
      <c r="AQ201" s="5" t="str">
        <f aca="false">IF(OR(AN201="",AO201=""),"",IF($F201="Maior Melhor",IF(AO201&gt;=AN201,"Sim","Não"),IF(AO201&lt;=AN201,"Sim","Não")))</f>
        <v>Sim</v>
      </c>
      <c r="AR201" s="3" t="n">
        <v>0.298344</v>
      </c>
      <c r="AS201" s="3" t="n">
        <v>0.245036528</v>
      </c>
      <c r="AT201" s="4" t="n">
        <f aca="false">IF(OR(AR201="",AS201=""),"",IFERROR(IF($K201="%",AS201-AR201,AS201/AR201-1),""))</f>
        <v>-0.053307472</v>
      </c>
      <c r="AU201" s="5" t="str">
        <f aca="false">IF(OR(AR201="",AS201=""),"",IF($F201="Maior Melhor",IF(AS201&gt;=AR201,"Sim","Não"),IF(AS201&lt;=AR201,"Sim","Não")))</f>
        <v>Sim</v>
      </c>
      <c r="AV201" s="3" t="n">
        <v>0.3</v>
      </c>
      <c r="AW201" s="3" t="n">
        <v>0.214538112</v>
      </c>
      <c r="AX201" s="4" t="n">
        <f aca="false">IF(OR(AV201="",AW201=""),"",IFERROR(IF($K201="%",AW201-AV201,AW201/AV201-1),""))</f>
        <v>-0.085461888</v>
      </c>
      <c r="AY201" s="5" t="str">
        <f aca="false">IF(OR(AV201="",AW201=""),"",IF($F201="Maior Melhor",IF(AW201&gt;=AV201,"Sim","Não"),IF(AW201&lt;=AV201,"Sim","Não")))</f>
        <v>Sim</v>
      </c>
      <c r="AZ201" s="3" t="n">
        <v>0.3</v>
      </c>
      <c r="BA201" s="3" t="n">
        <v>0.214538112</v>
      </c>
      <c r="BB201" s="4" t="n">
        <f aca="false">IF(OR(AZ201="",BA201=""),"",IFERROR(IF($K201="%",BA201-AZ201,BA201/AZ201-1),""))</f>
        <v>-0.085461888</v>
      </c>
      <c r="BC201" s="5" t="str">
        <f aca="false">IF(OR(AZ201="",BA201=""),"",IF($F201="Maior Melhor",IF(BA201&gt;=AZ201,"Sim","Não"),IF(BA201&lt;=AZ201,"Sim","Não")))</f>
        <v>Sim</v>
      </c>
      <c r="BD201" s="3" t="n">
        <v>0.298</v>
      </c>
      <c r="BE201" s="3" t="n">
        <v>0.242</v>
      </c>
      <c r="BF201" s="4" t="n">
        <f aca="false">IF(OR(BD201="",BE201=""),"",IFERROR(IF($K201="%",BE201-BD201,BE201/BD201-1),""))</f>
        <v>-0.056</v>
      </c>
      <c r="BG201" s="5" t="str">
        <f aca="false">IF(OR(BD201="",BE201=""),"",IF($F201="Maior Melhor",IF(BE201&gt;=BD201,"Sim","Não"),IF(BE201&lt;=BD201,"Sim","Não")))</f>
        <v>Sim</v>
      </c>
      <c r="BH201" s="3" t="n">
        <v>0.298</v>
      </c>
      <c r="BI201" s="3" t="n">
        <v>0.241</v>
      </c>
      <c r="BJ201" s="4" t="n">
        <f aca="false">IF(OR(BH201="",BI201=""),"",IFERROR(IF($K201="%",BI201-BH201,BI201/BH201-1),""))</f>
        <v>-0.057</v>
      </c>
      <c r="BK201" s="5" t="str">
        <f aca="false">IF(OR(BH201="",BI201=""),"",IF($F201="Maior Melhor",IF(BI201&gt;=BH201,"Sim","Não"),IF(BI201&lt;=BH201,"Sim","Não")))</f>
        <v>Sim</v>
      </c>
      <c r="BL201" s="6"/>
      <c r="BM201" s="6"/>
      <c r="BN201" s="4" t="str">
        <f aca="false">IF(OR(BL201="",BM201=""),"",IFERROR(IF($K201="%",BM201-BL201,BM201/BL201-1),""))</f>
        <v/>
      </c>
      <c r="BO201" s="5" t="str">
        <f aca="false">IF(OR(BL201="",BM201=""),"",IF($F201="Maior Melhor",IF(BM201&gt;=BL201,"Sim","Não"),IF(BM201&lt;=BL201,"Sim","Não")))</f>
        <v/>
      </c>
      <c r="BP201" s="6"/>
      <c r="BQ201" s="6"/>
      <c r="BR201" s="4" t="str">
        <f aca="false">IF(OR(BP201="",BQ201=""),"",IFERROR(IF($K201="%",BQ201-BP201,BQ201/BP201-1),""))</f>
        <v/>
      </c>
      <c r="BS201" s="5" t="str">
        <f aca="false">IF(OR(BP201="",BQ201=""),"",IF($F201="Maior Melhor",IF(BQ201&gt;=BP201,"Sim","Não"),IF(BQ201&lt;=BP201,"Sim","Não")))</f>
        <v/>
      </c>
      <c r="BT201" s="6"/>
      <c r="BU201" s="6"/>
      <c r="BV201" s="4" t="str">
        <f aca="false">IF(OR(BT201="",BU201=""),"",IFERROR(IF($K201="%",BU201-BT201,BU201/BT201-1),""))</f>
        <v/>
      </c>
      <c r="BW201" s="5" t="str">
        <f aca="false">IF(OR(BT201="",BU201=""),"",IF($F201="Maior Melhor",IF(BU201&gt;=BT201,"Sim","Não"),IF(BU201&lt;=BT201,"Sim","Não")))</f>
        <v/>
      </c>
      <c r="BX201" s="6"/>
      <c r="BY201" s="6"/>
      <c r="BZ201" s="4" t="str">
        <f aca="false">IF(OR(BX201="",BY201=""),"",IFERROR(IF($K201="%",BY201-BX201,BY201/BX201-1),""))</f>
        <v/>
      </c>
      <c r="CA201" s="5" t="str">
        <f aca="false">IF(OR(BX201="",BY201=""),"",IF($F201="Maior Melhor",IF(BY201&gt;=BX201,"Sim","Não"),IF(BY201&lt;=BX201,"Sim","Não")))</f>
        <v/>
      </c>
      <c r="CB201" s="6"/>
      <c r="CC201" s="6"/>
      <c r="CD201" s="4" t="str">
        <f aca="false">IF(OR(CB201="",CC201=""),"",IFERROR(IF($K201="%",CC201-CB201,CC201/CB201-1),""))</f>
        <v/>
      </c>
      <c r="CE201" s="5" t="str">
        <f aca="false">IF(OR(CB201="",CC201=""),"",IF($F201="Maior Melhor",IF(CC201&gt;=CB201,"Sim","Não"),IF(CC201&lt;=CB201,"Sim","Não")))</f>
        <v/>
      </c>
      <c r="CF201" s="6"/>
      <c r="CG201" s="6"/>
      <c r="CH201" s="4" t="str">
        <f aca="false">IF(OR(CF201="",CG201=""),"",IFERROR(IF($K201="%",CG201-CF201,CG201/CF201-1),""))</f>
        <v/>
      </c>
      <c r="CI201" s="5" t="str">
        <f aca="false">IF(OR(CF201="",CG201=""),"",IF($F201="Maior Melhor",IF(CG201&gt;=CF201,"Sim","Não"),IF(CG201&lt;=CF201,"Sim","Não")))</f>
        <v/>
      </c>
      <c r="CJ201" s="6"/>
      <c r="CK201" s="6"/>
      <c r="CL201" s="4" t="str">
        <f aca="false">IF(OR(CJ201="",CK201=""),"",IFERROR(IF($K201="%",CK201-CJ201,CK201/CJ201-1),""))</f>
        <v/>
      </c>
      <c r="CM201" s="5" t="str">
        <f aca="false">IF(OR(CJ201="",CK201=""),"",IF($F201="Maior Melhor",IF(CK201&gt;=CJ201,"Sim","Não"),IF(CK201&lt;=CJ201,"Sim","Não")))</f>
        <v/>
      </c>
      <c r="CN201" s="6"/>
      <c r="CO201" s="6"/>
      <c r="CP201" s="4" t="str">
        <f aca="false">IF(OR(CN201="",CO201=""),"",IFERROR(IF($K201="%",CO201-CN201,CO201/CN201-1),""))</f>
        <v/>
      </c>
      <c r="CQ201" s="5" t="str">
        <f aca="false">IF(OR(CN201="",CO201=""),"",IF($F201="Maior Melhor",IF(CO201&gt;=CN201,"Sim","Não"),IF(CO201&lt;=CN201,"Sim","Não")))</f>
        <v/>
      </c>
      <c r="CR201" s="2" t="s">
        <v>105</v>
      </c>
    </row>
    <row r="202" customFormat="false" ht="15" hidden="false" customHeight="false" outlineLevel="0" collapsed="false">
      <c r="A202" s="2" t="s">
        <v>96</v>
      </c>
      <c r="B202" s="2" t="s">
        <v>108</v>
      </c>
      <c r="C202" s="2" t="s">
        <v>109</v>
      </c>
      <c r="D202" s="2" t="s">
        <v>179</v>
      </c>
      <c r="E202" s="2" t="str">
        <f aca="false">C202&amp;D202</f>
        <v>Gerência SudoesteImprodutividade de notas comercias reguladas (Conexão)</v>
      </c>
      <c r="F202" s="2" t="s">
        <v>167</v>
      </c>
      <c r="G202" s="2" t="s">
        <v>180</v>
      </c>
      <c r="H202" s="2" t="s">
        <v>102</v>
      </c>
      <c r="I202" s="2" t="s">
        <v>169</v>
      </c>
      <c r="J202" s="2" t="n">
        <v>1</v>
      </c>
      <c r="K202" s="2" t="s">
        <v>104</v>
      </c>
      <c r="L202" s="3" t="n">
        <v>0.2991</v>
      </c>
      <c r="M202" s="3" t="n">
        <v>0.2716</v>
      </c>
      <c r="N202" s="4" t="n">
        <f aca="false">IF(OR(L202="",M202=""),"",IFERROR(IF($K202="%",M202-L202,M202/L202-1),""))</f>
        <v>-0.0275</v>
      </c>
      <c r="O202" s="5" t="str">
        <f aca="false">IF(OR(L202="",M202=""),"",IF($F202="Maior Melhor",IF(M202&gt;=L202,"Sim","Não"),IF(M202&lt;=L202,"Sim","Não")))</f>
        <v>Sim</v>
      </c>
      <c r="P202" s="3" t="n">
        <v>0.2991</v>
      </c>
      <c r="Q202" s="3" t="n">
        <v>0.2762</v>
      </c>
      <c r="R202" s="4" t="n">
        <f aca="false">IF(OR(P202="",Q202=""),"",IFERROR(IF($K202="%",Q202-P202,Q202/P202-1),""))</f>
        <v>-0.0229</v>
      </c>
      <c r="S202" s="5" t="str">
        <f aca="false">IF(OR(P202="",Q202=""),"",IF($F202="Maior Melhor",IF(Q202&gt;=P202,"Sim","Não"),IF(Q202&lt;=P202,"Sim","Não")))</f>
        <v>Sim</v>
      </c>
      <c r="T202" s="3" t="n">
        <v>0.2991</v>
      </c>
      <c r="U202" s="3" t="n">
        <v>0.2764</v>
      </c>
      <c r="V202" s="4" t="n">
        <f aca="false">IF(OR(T202="",U202=""),"",IFERROR(IF($K202="%",U202-T202,U202/T202-1),""))</f>
        <v>-0.0227</v>
      </c>
      <c r="W202" s="5" t="str">
        <f aca="false">IF(OR(T202="",U202=""),"",IF($F202="Maior Melhor",IF(U202&gt;=T202,"Sim","Não"),IF(U202&lt;=T202,"Sim","Não")))</f>
        <v>Sim</v>
      </c>
      <c r="X202" s="3" t="n">
        <v>0.2991</v>
      </c>
      <c r="Y202" s="3" t="n">
        <v>0.2267</v>
      </c>
      <c r="Z202" s="4" t="n">
        <f aca="false">IF(OR(X202="",Y202=""),"",IFERROR(IF($K202="%",Y202-X202,Y202/X202-1),""))</f>
        <v>-0.0724</v>
      </c>
      <c r="AA202" s="5" t="str">
        <f aca="false">IF(OR(X202="",Y202=""),"",IF($F202="Maior Melhor",IF(Y202&gt;=X202,"Sim","Não"),IF(Y202&lt;=X202,"Sim","Não")))</f>
        <v>Sim</v>
      </c>
      <c r="AB202" s="3" t="n">
        <v>0.2991</v>
      </c>
      <c r="AC202" s="3" t="n">
        <v>0.2664</v>
      </c>
      <c r="AD202" s="4" t="n">
        <f aca="false">IF(OR(AB202="",AC202=""),"",IFERROR(IF($K202="%",AC202-AB202,AC202/AB202-1),""))</f>
        <v>-0.0327</v>
      </c>
      <c r="AE202" s="5" t="str">
        <f aca="false">IF(OR(AB202="",AC202=""),"",IF($F202="Maior Melhor",IF(AC202&gt;=AB202,"Sim","Não"),IF(AC202&lt;=AB202,"Sim","Não")))</f>
        <v>Sim</v>
      </c>
      <c r="AF202" s="3" t="n">
        <v>0.2990875</v>
      </c>
      <c r="AG202" s="3" t="n">
        <v>0.218685121</v>
      </c>
      <c r="AH202" s="4" t="n">
        <f aca="false">IF(OR(AF202="",AG202=""),"",IFERROR(IF($K202="%",AG202-AF202,AG202/AF202-1),""))</f>
        <v>-0.080402379</v>
      </c>
      <c r="AI202" s="5" t="str">
        <f aca="false">IF(OR(AF202="",AG202=""),"",IF($F202="Maior Melhor",IF(AG202&gt;=AF202,"Sim","Não"),IF(AG202&lt;=AF202,"Sim","Não")))</f>
        <v>Sim</v>
      </c>
      <c r="AJ202" s="3" t="n">
        <v>0.2990875</v>
      </c>
      <c r="AK202" s="3" t="n">
        <v>0.260321334</v>
      </c>
      <c r="AL202" s="4" t="n">
        <f aca="false">IF(OR(AJ202="",AK202=""),"",IFERROR(IF($K202="%",AK202-AJ202,AK202/AJ202-1),""))</f>
        <v>-0.038766166</v>
      </c>
      <c r="AM202" s="5" t="str">
        <f aca="false">IF(OR(AJ202="",AK202=""),"",IF($F202="Maior Melhor",IF(AK202&gt;=AJ202,"Sim","Não"),IF(AK202&lt;=AJ202,"Sim","Não")))</f>
        <v>Sim</v>
      </c>
      <c r="AN202" s="3" t="n">
        <v>0.2990875</v>
      </c>
      <c r="AO202" s="3" t="n">
        <v>0.183760684</v>
      </c>
      <c r="AP202" s="4" t="n">
        <f aca="false">IF(OR(AN202="",AO202=""),"",IFERROR(IF($K202="%",AO202-AN202,AO202/AN202-1),""))</f>
        <v>-0.115326816</v>
      </c>
      <c r="AQ202" s="5" t="str">
        <f aca="false">IF(OR(AN202="",AO202=""),"",IF($F202="Maior Melhor",IF(AO202&gt;=AN202,"Sim","Não"),IF(AO202&lt;=AN202,"Sim","Não")))</f>
        <v>Sim</v>
      </c>
      <c r="AR202" s="3" t="n">
        <v>0.2990875</v>
      </c>
      <c r="AS202" s="3" t="n">
        <v>0.254695057</v>
      </c>
      <c r="AT202" s="4" t="n">
        <f aca="false">IF(OR(AR202="",AS202=""),"",IFERROR(IF($K202="%",AS202-AR202,AS202/AR202-1),""))</f>
        <v>-0.044392443</v>
      </c>
      <c r="AU202" s="5" t="str">
        <f aca="false">IF(OR(AR202="",AS202=""),"",IF($F202="Maior Melhor",IF(AS202&gt;=AR202,"Sim","Não"),IF(AS202&lt;=AR202,"Sim","Não")))</f>
        <v>Sim</v>
      </c>
      <c r="AV202" s="3" t="n">
        <v>0.3</v>
      </c>
      <c r="AW202" s="3" t="n">
        <v>0.226569097</v>
      </c>
      <c r="AX202" s="4" t="n">
        <f aca="false">IF(OR(AV202="",AW202=""),"",IFERROR(IF($K202="%",AW202-AV202,AW202/AV202-1),""))</f>
        <v>-0.073430903</v>
      </c>
      <c r="AY202" s="5" t="str">
        <f aca="false">IF(OR(AV202="",AW202=""),"",IF($F202="Maior Melhor",IF(AW202&gt;=AV202,"Sim","Não"),IF(AW202&lt;=AV202,"Sim","Não")))</f>
        <v>Sim</v>
      </c>
      <c r="AZ202" s="3" t="n">
        <v>0.3</v>
      </c>
      <c r="BA202" s="3" t="n">
        <v>0.226569097</v>
      </c>
      <c r="BB202" s="4" t="n">
        <f aca="false">IF(OR(AZ202="",BA202=""),"",IFERROR(IF($K202="%",BA202-AZ202,BA202/AZ202-1),""))</f>
        <v>-0.073430903</v>
      </c>
      <c r="BC202" s="5" t="str">
        <f aca="false">IF(OR(AZ202="",BA202=""),"",IF($F202="Maior Melhor",IF(BA202&gt;=AZ202,"Sim","Não"),IF(BA202&lt;=AZ202,"Sim","Não")))</f>
        <v>Sim</v>
      </c>
      <c r="BD202" s="3" t="n">
        <v>0.299</v>
      </c>
      <c r="BE202" s="3" t="n">
        <v>0.262</v>
      </c>
      <c r="BF202" s="4" t="n">
        <f aca="false">IF(OR(BD202="",BE202=""),"",IFERROR(IF($K202="%",BE202-BD202,BE202/BD202-1),""))</f>
        <v>-0.037</v>
      </c>
      <c r="BG202" s="5" t="str">
        <f aca="false">IF(OR(BD202="",BE202=""),"",IF($F202="Maior Melhor",IF(BE202&gt;=BD202,"Sim","Não"),IF(BE202&lt;=BD202,"Sim","Não")))</f>
        <v>Sim</v>
      </c>
      <c r="BH202" s="3" t="n">
        <v>0.299</v>
      </c>
      <c r="BI202" s="3" t="n">
        <v>0.251</v>
      </c>
      <c r="BJ202" s="4" t="n">
        <f aca="false">IF(OR(BH202="",BI202=""),"",IFERROR(IF($K202="%",BI202-BH202,BI202/BH202-1),""))</f>
        <v>-0.048</v>
      </c>
      <c r="BK202" s="5" t="str">
        <f aca="false">IF(OR(BH202="",BI202=""),"",IF($F202="Maior Melhor",IF(BI202&gt;=BH202,"Sim","Não"),IF(BI202&lt;=BH202,"Sim","Não")))</f>
        <v>Sim</v>
      </c>
      <c r="BL202" s="6"/>
      <c r="BM202" s="6"/>
      <c r="BN202" s="4" t="str">
        <f aca="false">IF(OR(BL202="",BM202=""),"",IFERROR(IF($K202="%",BM202-BL202,BM202/BL202-1),""))</f>
        <v/>
      </c>
      <c r="BO202" s="5" t="str">
        <f aca="false">IF(OR(BL202="",BM202=""),"",IF($F202="Maior Melhor",IF(BM202&gt;=BL202,"Sim","Não"),IF(BM202&lt;=BL202,"Sim","Não")))</f>
        <v/>
      </c>
      <c r="BP202" s="6"/>
      <c r="BQ202" s="6"/>
      <c r="BR202" s="4" t="str">
        <f aca="false">IF(OR(BP202="",BQ202=""),"",IFERROR(IF($K202="%",BQ202-BP202,BQ202/BP202-1),""))</f>
        <v/>
      </c>
      <c r="BS202" s="5" t="str">
        <f aca="false">IF(OR(BP202="",BQ202=""),"",IF($F202="Maior Melhor",IF(BQ202&gt;=BP202,"Sim","Não"),IF(BQ202&lt;=BP202,"Sim","Não")))</f>
        <v/>
      </c>
      <c r="BT202" s="6"/>
      <c r="BU202" s="6"/>
      <c r="BV202" s="4" t="str">
        <f aca="false">IF(OR(BT202="",BU202=""),"",IFERROR(IF($K202="%",BU202-BT202,BU202/BT202-1),""))</f>
        <v/>
      </c>
      <c r="BW202" s="5" t="str">
        <f aca="false">IF(OR(BT202="",BU202=""),"",IF($F202="Maior Melhor",IF(BU202&gt;=BT202,"Sim","Não"),IF(BU202&lt;=BT202,"Sim","Não")))</f>
        <v/>
      </c>
      <c r="BX202" s="6"/>
      <c r="BY202" s="6"/>
      <c r="BZ202" s="4" t="str">
        <f aca="false">IF(OR(BX202="",BY202=""),"",IFERROR(IF($K202="%",BY202-BX202,BY202/BX202-1),""))</f>
        <v/>
      </c>
      <c r="CA202" s="5" t="str">
        <f aca="false">IF(OR(BX202="",BY202=""),"",IF($F202="Maior Melhor",IF(BY202&gt;=BX202,"Sim","Não"),IF(BY202&lt;=BX202,"Sim","Não")))</f>
        <v/>
      </c>
      <c r="CB202" s="6"/>
      <c r="CC202" s="6"/>
      <c r="CD202" s="4" t="str">
        <f aca="false">IF(OR(CB202="",CC202=""),"",IFERROR(IF($K202="%",CC202-CB202,CC202/CB202-1),""))</f>
        <v/>
      </c>
      <c r="CE202" s="5" t="str">
        <f aca="false">IF(OR(CB202="",CC202=""),"",IF($F202="Maior Melhor",IF(CC202&gt;=CB202,"Sim","Não"),IF(CC202&lt;=CB202,"Sim","Não")))</f>
        <v/>
      </c>
      <c r="CF202" s="6"/>
      <c r="CG202" s="6"/>
      <c r="CH202" s="4" t="str">
        <f aca="false">IF(OR(CF202="",CG202=""),"",IFERROR(IF($K202="%",CG202-CF202,CG202/CF202-1),""))</f>
        <v/>
      </c>
      <c r="CI202" s="5" t="str">
        <f aca="false">IF(OR(CF202="",CG202=""),"",IF($F202="Maior Melhor",IF(CG202&gt;=CF202,"Sim","Não"),IF(CG202&lt;=CF202,"Sim","Não")))</f>
        <v/>
      </c>
      <c r="CJ202" s="6"/>
      <c r="CK202" s="6"/>
      <c r="CL202" s="4" t="str">
        <f aca="false">IF(OR(CJ202="",CK202=""),"",IFERROR(IF($K202="%",CK202-CJ202,CK202/CJ202-1),""))</f>
        <v/>
      </c>
      <c r="CM202" s="5" t="str">
        <f aca="false">IF(OR(CJ202="",CK202=""),"",IF($F202="Maior Melhor",IF(CK202&gt;=CJ202,"Sim","Não"),IF(CK202&lt;=CJ202,"Sim","Não")))</f>
        <v/>
      </c>
      <c r="CN202" s="6"/>
      <c r="CO202" s="6"/>
      <c r="CP202" s="4" t="str">
        <f aca="false">IF(OR(CN202="",CO202=""),"",IFERROR(IF($K202="%",CO202-CN202,CO202/CN202-1),""))</f>
        <v/>
      </c>
      <c r="CQ202" s="5" t="str">
        <f aca="false">IF(OR(CN202="",CO202=""),"",IF($F202="Maior Melhor",IF(CO202&gt;=CN202,"Sim","Não"),IF(CO202&lt;=CN202,"Sim","Não")))</f>
        <v/>
      </c>
      <c r="CR202" s="2" t="s">
        <v>105</v>
      </c>
    </row>
    <row r="203" customFormat="false" ht="15" hidden="false" customHeight="false" outlineLevel="0" collapsed="false">
      <c r="A203" s="2" t="s">
        <v>96</v>
      </c>
      <c r="B203" s="2" t="s">
        <v>110</v>
      </c>
      <c r="C203" s="2" t="s">
        <v>110</v>
      </c>
      <c r="D203" s="2" t="s">
        <v>179</v>
      </c>
      <c r="E203" s="2" t="str">
        <f aca="false">C203&amp;D203</f>
        <v>Sup OesteImprodutividade de notas comercias reguladas (Conexão)</v>
      </c>
      <c r="F203" s="2" t="s">
        <v>167</v>
      </c>
      <c r="G203" s="2" t="s">
        <v>180</v>
      </c>
      <c r="H203" s="2" t="s">
        <v>102</v>
      </c>
      <c r="I203" s="2" t="s">
        <v>169</v>
      </c>
      <c r="J203" s="2" t="n">
        <v>1</v>
      </c>
      <c r="K203" s="2" t="s">
        <v>104</v>
      </c>
      <c r="L203" s="3" t="n">
        <v>0.2939</v>
      </c>
      <c r="M203" s="3" t="n">
        <v>0.255</v>
      </c>
      <c r="N203" s="4" t="n">
        <f aca="false">IF(OR(L203="",M203=""),"",IFERROR(IF($K203="%",M203-L203,M203/L203-1),""))</f>
        <v>-0.0389</v>
      </c>
      <c r="O203" s="5" t="str">
        <f aca="false">IF(OR(L203="",M203=""),"",IF($F203="Maior Melhor",IF(M203&gt;=L203,"Sim","Não"),IF(M203&lt;=L203,"Sim","Não")))</f>
        <v>Sim</v>
      </c>
      <c r="P203" s="3" t="n">
        <v>0.2939</v>
      </c>
      <c r="Q203" s="3" t="n">
        <v>0.252</v>
      </c>
      <c r="R203" s="4" t="n">
        <f aca="false">IF(OR(P203="",Q203=""),"",IFERROR(IF($K203="%",Q203-P203,Q203/P203-1),""))</f>
        <v>-0.0419</v>
      </c>
      <c r="S203" s="5" t="str">
        <f aca="false">IF(OR(P203="",Q203=""),"",IF($F203="Maior Melhor",IF(Q203&gt;=P203,"Sim","Não"),IF(Q203&lt;=P203,"Sim","Não")))</f>
        <v>Sim</v>
      </c>
      <c r="T203" s="3" t="n">
        <v>0.2939</v>
      </c>
      <c r="U203" s="3" t="n">
        <v>0.252</v>
      </c>
      <c r="V203" s="4" t="n">
        <f aca="false">IF(OR(T203="",U203=""),"",IFERROR(IF($K203="%",U203-T203,U203/T203-1),""))</f>
        <v>-0.0419</v>
      </c>
      <c r="W203" s="5" t="str">
        <f aca="false">IF(OR(T203="",U203=""),"",IF($F203="Maior Melhor",IF(U203&gt;=T203,"Sim","Não"),IF(U203&lt;=T203,"Sim","Não")))</f>
        <v>Sim</v>
      </c>
      <c r="X203" s="3" t="n">
        <v>0.2939</v>
      </c>
      <c r="Y203" s="3" t="n">
        <v>0.213</v>
      </c>
      <c r="Z203" s="4" t="n">
        <f aca="false">IF(OR(X203="",Y203=""),"",IFERROR(IF($K203="%",Y203-X203,Y203/X203-1),""))</f>
        <v>-0.0809</v>
      </c>
      <c r="AA203" s="5" t="str">
        <f aca="false">IF(OR(X203="",Y203=""),"",IF($F203="Maior Melhor",IF(Y203&gt;=X203,"Sim","Não"),IF(Y203&lt;=X203,"Sim","Não")))</f>
        <v>Sim</v>
      </c>
      <c r="AB203" s="3" t="n">
        <v>0.2939</v>
      </c>
      <c r="AC203" s="3" t="n">
        <v>0.246</v>
      </c>
      <c r="AD203" s="4" t="n">
        <f aca="false">IF(OR(AB203="",AC203=""),"",IFERROR(IF($K203="%",AC203-AB203,AC203/AB203-1),""))</f>
        <v>-0.0479</v>
      </c>
      <c r="AE203" s="5" t="str">
        <f aca="false">IF(OR(AB203="",AC203=""),"",IF($F203="Maior Melhor",IF(AC203&gt;=AB203,"Sim","Não"),IF(AC203&lt;=AB203,"Sim","Não")))</f>
        <v>Sim</v>
      </c>
      <c r="AF203" s="3" t="n">
        <v>0.293868571</v>
      </c>
      <c r="AG203" s="3" t="n">
        <v>0.197980416</v>
      </c>
      <c r="AH203" s="4" t="n">
        <f aca="false">IF(OR(AF203="",AG203=""),"",IFERROR(IF($K203="%",AG203-AF203,AG203/AF203-1),""))</f>
        <v>-0.095888155</v>
      </c>
      <c r="AI203" s="5" t="str">
        <f aca="false">IF(OR(AF203="",AG203=""),"",IF($F203="Maior Melhor",IF(AG203&gt;=AF203,"Sim","Não"),IF(AG203&lt;=AF203,"Sim","Não")))</f>
        <v>Sim</v>
      </c>
      <c r="AJ203" s="3" t="n">
        <v>0.293868571</v>
      </c>
      <c r="AK203" s="3" t="n">
        <v>0.240151875</v>
      </c>
      <c r="AL203" s="4" t="n">
        <f aca="false">IF(OR(AJ203="",AK203=""),"",IFERROR(IF($K203="%",AK203-AJ203,AK203/AJ203-1),""))</f>
        <v>-0.053716696</v>
      </c>
      <c r="AM203" s="5" t="str">
        <f aca="false">IF(OR(AJ203="",AK203=""),"",IF($F203="Maior Melhor",IF(AK203&gt;=AJ203,"Sim","Não"),IF(AK203&lt;=AJ203,"Sim","Não")))</f>
        <v>Sim</v>
      </c>
      <c r="AN203" s="3" t="n">
        <v>0.293868571</v>
      </c>
      <c r="AO203" s="3" t="n">
        <v>0.191608854</v>
      </c>
      <c r="AP203" s="4" t="n">
        <f aca="false">IF(OR(AN203="",AO203=""),"",IFERROR(IF($K203="%",AO203-AN203,AO203/AN203-1),""))</f>
        <v>-0.102259717</v>
      </c>
      <c r="AQ203" s="5" t="str">
        <f aca="false">IF(OR(AN203="",AO203=""),"",IF($F203="Maior Melhor",IF(AO203&gt;=AN203,"Sim","Não"),IF(AO203&lt;=AN203,"Sim","Não")))</f>
        <v>Sim</v>
      </c>
      <c r="AR203" s="3" t="n">
        <v>0.293868571</v>
      </c>
      <c r="AS203" s="3" t="n">
        <v>0.236563866</v>
      </c>
      <c r="AT203" s="4" t="n">
        <f aca="false">IF(OR(AR203="",AS203=""),"",IFERROR(IF($K203="%",AS203-AR203,AS203/AR203-1),""))</f>
        <v>-0.057304705</v>
      </c>
      <c r="AU203" s="5" t="str">
        <f aca="false">IF(OR(AR203="",AS203=""),"",IF($F203="Maior Melhor",IF(AS203&gt;=AR203,"Sim","Não"),IF(AS203&lt;=AR203,"Sim","Não")))</f>
        <v>Sim</v>
      </c>
      <c r="AV203" s="3" t="n">
        <v>0.3</v>
      </c>
      <c r="AW203" s="3" t="n">
        <v>0.234357353</v>
      </c>
      <c r="AX203" s="4" t="n">
        <f aca="false">IF(OR(AV203="",AW203=""),"",IFERROR(IF($K203="%",AW203-AV203,AW203/AV203-1),""))</f>
        <v>-0.065642647</v>
      </c>
      <c r="AY203" s="5" t="str">
        <f aca="false">IF(OR(AV203="",AW203=""),"",IF($F203="Maior Melhor",IF(AW203&gt;=AV203,"Sim","Não"),IF(AW203&lt;=AV203,"Sim","Não")))</f>
        <v>Sim</v>
      </c>
      <c r="AZ203" s="3" t="n">
        <v>0.3</v>
      </c>
      <c r="BA203" s="3" t="n">
        <v>0.234357353</v>
      </c>
      <c r="BB203" s="4" t="n">
        <f aca="false">IF(OR(AZ203="",BA203=""),"",IFERROR(IF($K203="%",BA203-AZ203,BA203/AZ203-1),""))</f>
        <v>-0.065642647</v>
      </c>
      <c r="BC203" s="5" t="str">
        <f aca="false">IF(OR(AZ203="",BA203=""),"",IF($F203="Maior Melhor",IF(BA203&gt;=AZ203,"Sim","Não"),IF(BA203&lt;=AZ203,"Sim","Não")))</f>
        <v>Sim</v>
      </c>
      <c r="BD203" s="3" t="n">
        <v>0.294</v>
      </c>
      <c r="BE203" s="3" t="n">
        <v>0.257</v>
      </c>
      <c r="BF203" s="4" t="n">
        <f aca="false">IF(OR(BD203="",BE203=""),"",IFERROR(IF($K203="%",BE203-BD203,BE203/BD203-1),""))</f>
        <v>-0.037</v>
      </c>
      <c r="BG203" s="5" t="str">
        <f aca="false">IF(OR(BD203="",BE203=""),"",IF($F203="Maior Melhor",IF(BE203&gt;=BD203,"Sim","Não"),IF(BE203&lt;=BD203,"Sim","Não")))</f>
        <v>Sim</v>
      </c>
      <c r="BH203" s="3" t="n">
        <v>0.294</v>
      </c>
      <c r="BI203" s="3" t="n">
        <v>0.239</v>
      </c>
      <c r="BJ203" s="4" t="n">
        <f aca="false">IF(OR(BH203="",BI203=""),"",IFERROR(IF($K203="%",BI203-BH203,BI203/BH203-1),""))</f>
        <v>-0.055</v>
      </c>
      <c r="BK203" s="5" t="str">
        <f aca="false">IF(OR(BH203="",BI203=""),"",IF($F203="Maior Melhor",IF(BI203&gt;=BH203,"Sim","Não"),IF(BI203&lt;=BH203,"Sim","Não")))</f>
        <v>Sim</v>
      </c>
      <c r="BL203" s="6"/>
      <c r="BM203" s="6"/>
      <c r="BN203" s="4" t="str">
        <f aca="false">IF(OR(BL203="",BM203=""),"",IFERROR(IF($K203="%",BM203-BL203,BM203/BL203-1),""))</f>
        <v/>
      </c>
      <c r="BO203" s="5" t="str">
        <f aca="false">IF(OR(BL203="",BM203=""),"",IF($F203="Maior Melhor",IF(BM203&gt;=BL203,"Sim","Não"),IF(BM203&lt;=BL203,"Sim","Não")))</f>
        <v/>
      </c>
      <c r="BP203" s="6"/>
      <c r="BQ203" s="6"/>
      <c r="BR203" s="4" t="str">
        <f aca="false">IF(OR(BP203="",BQ203=""),"",IFERROR(IF($K203="%",BQ203-BP203,BQ203/BP203-1),""))</f>
        <v/>
      </c>
      <c r="BS203" s="5" t="str">
        <f aca="false">IF(OR(BP203="",BQ203=""),"",IF($F203="Maior Melhor",IF(BQ203&gt;=BP203,"Sim","Não"),IF(BQ203&lt;=BP203,"Sim","Não")))</f>
        <v/>
      </c>
      <c r="BT203" s="6"/>
      <c r="BU203" s="6"/>
      <c r="BV203" s="4" t="str">
        <f aca="false">IF(OR(BT203="",BU203=""),"",IFERROR(IF($K203="%",BU203-BT203,BU203/BT203-1),""))</f>
        <v/>
      </c>
      <c r="BW203" s="5" t="str">
        <f aca="false">IF(OR(BT203="",BU203=""),"",IF($F203="Maior Melhor",IF(BU203&gt;=BT203,"Sim","Não"),IF(BU203&lt;=BT203,"Sim","Não")))</f>
        <v/>
      </c>
      <c r="BX203" s="6"/>
      <c r="BY203" s="6"/>
      <c r="BZ203" s="4" t="str">
        <f aca="false">IF(OR(BX203="",BY203=""),"",IFERROR(IF($K203="%",BY203-BX203,BY203/BX203-1),""))</f>
        <v/>
      </c>
      <c r="CA203" s="5" t="str">
        <f aca="false">IF(OR(BX203="",BY203=""),"",IF($F203="Maior Melhor",IF(BY203&gt;=BX203,"Sim","Não"),IF(BY203&lt;=BX203,"Sim","Não")))</f>
        <v/>
      </c>
      <c r="CB203" s="6"/>
      <c r="CC203" s="6"/>
      <c r="CD203" s="4" t="str">
        <f aca="false">IF(OR(CB203="",CC203=""),"",IFERROR(IF($K203="%",CC203-CB203,CC203/CB203-1),""))</f>
        <v/>
      </c>
      <c r="CE203" s="5" t="str">
        <f aca="false">IF(OR(CB203="",CC203=""),"",IF($F203="Maior Melhor",IF(CC203&gt;=CB203,"Sim","Não"),IF(CC203&lt;=CB203,"Sim","Não")))</f>
        <v/>
      </c>
      <c r="CF203" s="6"/>
      <c r="CG203" s="6"/>
      <c r="CH203" s="4" t="str">
        <f aca="false">IF(OR(CF203="",CG203=""),"",IFERROR(IF($K203="%",CG203-CF203,CG203/CF203-1),""))</f>
        <v/>
      </c>
      <c r="CI203" s="5" t="str">
        <f aca="false">IF(OR(CF203="",CG203=""),"",IF($F203="Maior Melhor",IF(CG203&gt;=CF203,"Sim","Não"),IF(CG203&lt;=CF203,"Sim","Não")))</f>
        <v/>
      </c>
      <c r="CJ203" s="6"/>
      <c r="CK203" s="6"/>
      <c r="CL203" s="4" t="str">
        <f aca="false">IF(OR(CJ203="",CK203=""),"",IFERROR(IF($K203="%",CK203-CJ203,CK203/CJ203-1),""))</f>
        <v/>
      </c>
      <c r="CM203" s="5" t="str">
        <f aca="false">IF(OR(CJ203="",CK203=""),"",IF($F203="Maior Melhor",IF(CK203&gt;=CJ203,"Sim","Não"),IF(CK203&lt;=CJ203,"Sim","Não")))</f>
        <v/>
      </c>
      <c r="CN203" s="6"/>
      <c r="CO203" s="6"/>
      <c r="CP203" s="4" t="str">
        <f aca="false">IF(OR(CN203="",CO203=""),"",IFERROR(IF($K203="%",CO203-CN203,CO203/CN203-1),""))</f>
        <v/>
      </c>
      <c r="CQ203" s="5" t="str">
        <f aca="false">IF(OR(CN203="",CO203=""),"",IF($F203="Maior Melhor",IF(CO203&gt;=CN203,"Sim","Não"),IF(CO203&lt;=CN203,"Sim","Não")))</f>
        <v/>
      </c>
      <c r="CR203" s="2" t="s">
        <v>105</v>
      </c>
    </row>
    <row r="204" customFormat="false" ht="15" hidden="false" customHeight="false" outlineLevel="0" collapsed="false">
      <c r="A204" s="2" t="s">
        <v>96</v>
      </c>
      <c r="B204" s="2" t="s">
        <v>106</v>
      </c>
      <c r="C204" s="2" t="s">
        <v>111</v>
      </c>
      <c r="D204" s="2" t="s">
        <v>179</v>
      </c>
      <c r="E204" s="2" t="str">
        <f aca="false">C204&amp;D204</f>
        <v>UTD BARREIRASImprodutividade de notas comercias reguladas (Conexão)</v>
      </c>
      <c r="F204" s="2" t="s">
        <v>167</v>
      </c>
      <c r="G204" s="2" t="s">
        <v>180</v>
      </c>
      <c r="H204" s="2" t="s">
        <v>102</v>
      </c>
      <c r="I204" s="2" t="s">
        <v>169</v>
      </c>
      <c r="J204" s="2" t="n">
        <v>1</v>
      </c>
      <c r="K204" s="2" t="s">
        <v>104</v>
      </c>
      <c r="L204" s="3" t="n">
        <v>0.2827</v>
      </c>
      <c r="M204" s="3" t="n">
        <v>0.2181</v>
      </c>
      <c r="N204" s="4" t="n">
        <f aca="false">IF(OR(L204="",M204=""),"",IFERROR(IF($K204="%",M204-L204,M204/L204-1),""))</f>
        <v>-0.0646</v>
      </c>
      <c r="O204" s="5" t="str">
        <f aca="false">IF(OR(L204="",M204=""),"",IF($F204="Maior Melhor",IF(M204&gt;=L204,"Sim","Não"),IF(M204&lt;=L204,"Sim","Não")))</f>
        <v>Sim</v>
      </c>
      <c r="P204" s="3" t="n">
        <v>0.2827</v>
      </c>
      <c r="Q204" s="3" t="n">
        <v>0.2919</v>
      </c>
      <c r="R204" s="4" t="n">
        <f aca="false">IF(OR(P204="",Q204=""),"",IFERROR(IF($K204="%",Q204-P204,Q204/P204-1),""))</f>
        <v>0.00919999999999999</v>
      </c>
      <c r="S204" s="5" t="str">
        <f aca="false">IF(OR(P204="",Q204=""),"",IF($F204="Maior Melhor",IF(Q204&gt;=P204,"Sim","Não"),IF(Q204&lt;=P204,"Sim","Não")))</f>
        <v>Não</v>
      </c>
      <c r="T204" s="3" t="n">
        <v>0.2827</v>
      </c>
      <c r="U204" s="3" t="n">
        <v>0.2817</v>
      </c>
      <c r="V204" s="4" t="n">
        <f aca="false">IF(OR(T204="",U204=""),"",IFERROR(IF($K204="%",U204-T204,U204/T204-1),""))</f>
        <v>-0.001</v>
      </c>
      <c r="W204" s="5" t="str">
        <f aca="false">IF(OR(T204="",U204=""),"",IF($F204="Maior Melhor",IF(U204&gt;=T204,"Sim","Não"),IF(U204&lt;=T204,"Sim","Não")))</f>
        <v>Sim</v>
      </c>
      <c r="X204" s="3" t="n">
        <v>0.2827</v>
      </c>
      <c r="Y204" s="3" t="n">
        <v>0.2424</v>
      </c>
      <c r="Z204" s="4" t="n">
        <f aca="false">IF(OR(X204="",Y204=""),"",IFERROR(IF($K204="%",Y204-X204,Y204/X204-1),""))</f>
        <v>-0.0403</v>
      </c>
      <c r="AA204" s="5" t="str">
        <f aca="false">IF(OR(X204="",Y204=""),"",IF($F204="Maior Melhor",IF(Y204&gt;=X204,"Sim","Não"),IF(Y204&lt;=X204,"Sim","Não")))</f>
        <v>Sim</v>
      </c>
      <c r="AB204" s="3" t="n">
        <v>0.2827</v>
      </c>
      <c r="AC204" s="3" t="n">
        <v>0.256</v>
      </c>
      <c r="AD204" s="4" t="n">
        <f aca="false">IF(OR(AB204="",AC204=""),"",IFERROR(IF($K204="%",AC204-AB204,AC204/AB204-1),""))</f>
        <v>-0.0267</v>
      </c>
      <c r="AE204" s="5" t="str">
        <f aca="false">IF(OR(AB204="",AC204=""),"",IF($F204="Maior Melhor",IF(AC204&gt;=AB204,"Sim","Não"),IF(AC204&lt;=AB204,"Sim","Não")))</f>
        <v>Sim</v>
      </c>
      <c r="AF204" s="3" t="n">
        <v>0.28272</v>
      </c>
      <c r="AG204" s="3" t="n">
        <v>0.171314741</v>
      </c>
      <c r="AH204" s="4" t="n">
        <f aca="false">IF(OR(AF204="",AG204=""),"",IFERROR(IF($K204="%",AG204-AF204,AG204/AF204-1),""))</f>
        <v>-0.111405259</v>
      </c>
      <c r="AI204" s="5" t="str">
        <f aca="false">IF(OR(AF204="",AG204=""),"",IF($F204="Maior Melhor",IF(AG204&gt;=AF204,"Sim","Não"),IF(AG204&lt;=AF204,"Sim","Não")))</f>
        <v>Sim</v>
      </c>
      <c r="AJ204" s="3" t="n">
        <v>0.28272</v>
      </c>
      <c r="AK204" s="3" t="n">
        <v>0.25008088</v>
      </c>
      <c r="AL204" s="4" t="n">
        <f aca="false">IF(OR(AJ204="",AK204=""),"",IFERROR(IF($K204="%",AK204-AJ204,AK204/AJ204-1),""))</f>
        <v>-0.03263912</v>
      </c>
      <c r="AM204" s="5" t="str">
        <f aca="false">IF(OR(AJ204="",AK204=""),"",IF($F204="Maior Melhor",IF(AK204&gt;=AJ204,"Sim","Não"),IF(AK204&lt;=AJ204,"Sim","Não")))</f>
        <v>Sim</v>
      </c>
      <c r="AN204" s="3" t="n">
        <v>0.28272</v>
      </c>
      <c r="AO204" s="3" t="n">
        <v>0.138075314</v>
      </c>
      <c r="AP204" s="4" t="n">
        <f aca="false">IF(OR(AN204="",AO204=""),"",IFERROR(IF($K204="%",AO204-AN204,AO204/AN204-1),""))</f>
        <v>-0.144644686</v>
      </c>
      <c r="AQ204" s="5" t="str">
        <f aca="false">IF(OR(AN204="",AO204=""),"",IF($F204="Maior Melhor",IF(AO204&gt;=AN204,"Sim","Não"),IF(AO204&lt;=AN204,"Sim","Não")))</f>
        <v>Sim</v>
      </c>
      <c r="AR204" s="3" t="n">
        <v>0.28272</v>
      </c>
      <c r="AS204" s="3" t="n">
        <v>0.242042042</v>
      </c>
      <c r="AT204" s="4" t="n">
        <f aca="false">IF(OR(AR204="",AS204=""),"",IFERROR(IF($K204="%",AS204-AR204,AS204/AR204-1),""))</f>
        <v>-0.040677958</v>
      </c>
      <c r="AU204" s="5" t="str">
        <f aca="false">IF(OR(AR204="",AS204=""),"",IF($F204="Maior Melhor",IF(AS204&gt;=AR204,"Sim","Não"),IF(AS204&lt;=AR204,"Sim","Não")))</f>
        <v>Sim</v>
      </c>
      <c r="AV204" s="3" t="n">
        <v>0.3</v>
      </c>
      <c r="AW204" s="3" t="n">
        <v>0.180974478</v>
      </c>
      <c r="AX204" s="4" t="n">
        <f aca="false">IF(OR(AV204="",AW204=""),"",IFERROR(IF($K204="%",AW204-AV204,AW204/AV204-1),""))</f>
        <v>-0.119025522</v>
      </c>
      <c r="AY204" s="5" t="str">
        <f aca="false">IF(OR(AV204="",AW204=""),"",IF($F204="Maior Melhor",IF(AW204&gt;=AV204,"Sim","Não"),IF(AW204&lt;=AV204,"Sim","Não")))</f>
        <v>Sim</v>
      </c>
      <c r="AZ204" s="3" t="n">
        <v>0.3</v>
      </c>
      <c r="BA204" s="3" t="n">
        <v>0.180974478</v>
      </c>
      <c r="BB204" s="4" t="n">
        <f aca="false">IF(OR(AZ204="",BA204=""),"",IFERROR(IF($K204="%",BA204-AZ204,BA204/AZ204-1),""))</f>
        <v>-0.119025522</v>
      </c>
      <c r="BC204" s="5" t="str">
        <f aca="false">IF(OR(AZ204="",BA204=""),"",IF($F204="Maior Melhor",IF(BA204&gt;=AZ204,"Sim","Não"),IF(BA204&lt;=AZ204,"Sim","Não")))</f>
        <v>Sim</v>
      </c>
      <c r="BD204" s="3" t="n">
        <v>0.283</v>
      </c>
      <c r="BE204" s="3" t="n">
        <v>0.254</v>
      </c>
      <c r="BF204" s="4" t="n">
        <f aca="false">IF(OR(BD204="",BE204=""),"",IFERROR(IF($K204="%",BE204-BD204,BE204/BD204-1),""))</f>
        <v>-0.029</v>
      </c>
      <c r="BG204" s="5" t="str">
        <f aca="false">IF(OR(BD204="",BE204=""),"",IF($F204="Maior Melhor",IF(BE204&gt;=BD204,"Sim","Não"),IF(BE204&lt;=BD204,"Sim","Não")))</f>
        <v>Sim</v>
      </c>
      <c r="BH204" s="3" t="n">
        <v>0.283</v>
      </c>
      <c r="BI204" s="3" t="n">
        <v>0.237</v>
      </c>
      <c r="BJ204" s="4" t="n">
        <f aca="false">IF(OR(BH204="",BI204=""),"",IFERROR(IF($K204="%",BI204-BH204,BI204/BH204-1),""))</f>
        <v>-0.046</v>
      </c>
      <c r="BK204" s="5" t="str">
        <f aca="false">IF(OR(BH204="",BI204=""),"",IF($F204="Maior Melhor",IF(BI204&gt;=BH204,"Sim","Não"),IF(BI204&lt;=BH204,"Sim","Não")))</f>
        <v>Sim</v>
      </c>
      <c r="BL204" s="6"/>
      <c r="BM204" s="6"/>
      <c r="BN204" s="4" t="str">
        <f aca="false">IF(OR(BL204="",BM204=""),"",IFERROR(IF($K204="%",BM204-BL204,BM204/BL204-1),""))</f>
        <v/>
      </c>
      <c r="BO204" s="5" t="str">
        <f aca="false">IF(OR(BL204="",BM204=""),"",IF($F204="Maior Melhor",IF(BM204&gt;=BL204,"Sim","Não"),IF(BM204&lt;=BL204,"Sim","Não")))</f>
        <v/>
      </c>
      <c r="BP204" s="6"/>
      <c r="BQ204" s="6"/>
      <c r="BR204" s="4" t="str">
        <f aca="false">IF(OR(BP204="",BQ204=""),"",IFERROR(IF($K204="%",BQ204-BP204,BQ204/BP204-1),""))</f>
        <v/>
      </c>
      <c r="BS204" s="5" t="str">
        <f aca="false">IF(OR(BP204="",BQ204=""),"",IF($F204="Maior Melhor",IF(BQ204&gt;=BP204,"Sim","Não"),IF(BQ204&lt;=BP204,"Sim","Não")))</f>
        <v/>
      </c>
      <c r="BT204" s="6"/>
      <c r="BU204" s="6"/>
      <c r="BV204" s="4" t="str">
        <f aca="false">IF(OR(BT204="",BU204=""),"",IFERROR(IF($K204="%",BU204-BT204,BU204/BT204-1),""))</f>
        <v/>
      </c>
      <c r="BW204" s="5" t="str">
        <f aca="false">IF(OR(BT204="",BU204=""),"",IF($F204="Maior Melhor",IF(BU204&gt;=BT204,"Sim","Não"),IF(BU204&lt;=BT204,"Sim","Não")))</f>
        <v/>
      </c>
      <c r="BX204" s="6"/>
      <c r="BY204" s="6"/>
      <c r="BZ204" s="4" t="str">
        <f aca="false">IF(OR(BX204="",BY204=""),"",IFERROR(IF($K204="%",BY204-BX204,BY204/BX204-1),""))</f>
        <v/>
      </c>
      <c r="CA204" s="5" t="str">
        <f aca="false">IF(OR(BX204="",BY204=""),"",IF($F204="Maior Melhor",IF(BY204&gt;=BX204,"Sim","Não"),IF(BY204&lt;=BX204,"Sim","Não")))</f>
        <v/>
      </c>
      <c r="CB204" s="6"/>
      <c r="CC204" s="6"/>
      <c r="CD204" s="4" t="str">
        <f aca="false">IF(OR(CB204="",CC204=""),"",IFERROR(IF($K204="%",CC204-CB204,CC204/CB204-1),""))</f>
        <v/>
      </c>
      <c r="CE204" s="5" t="str">
        <f aca="false">IF(OR(CB204="",CC204=""),"",IF($F204="Maior Melhor",IF(CC204&gt;=CB204,"Sim","Não"),IF(CC204&lt;=CB204,"Sim","Não")))</f>
        <v/>
      </c>
      <c r="CF204" s="6"/>
      <c r="CG204" s="6"/>
      <c r="CH204" s="4" t="str">
        <f aca="false">IF(OR(CF204="",CG204=""),"",IFERROR(IF($K204="%",CG204-CF204,CG204/CF204-1),""))</f>
        <v/>
      </c>
      <c r="CI204" s="5" t="str">
        <f aca="false">IF(OR(CF204="",CG204=""),"",IF($F204="Maior Melhor",IF(CG204&gt;=CF204,"Sim","Não"),IF(CG204&lt;=CF204,"Sim","Não")))</f>
        <v/>
      </c>
      <c r="CJ204" s="6"/>
      <c r="CK204" s="6"/>
      <c r="CL204" s="4" t="str">
        <f aca="false">IF(OR(CJ204="",CK204=""),"",IFERROR(IF($K204="%",CK204-CJ204,CK204/CJ204-1),""))</f>
        <v/>
      </c>
      <c r="CM204" s="5" t="str">
        <f aca="false">IF(OR(CJ204="",CK204=""),"",IF($F204="Maior Melhor",IF(CK204&gt;=CJ204,"Sim","Não"),IF(CK204&lt;=CJ204,"Sim","Não")))</f>
        <v/>
      </c>
      <c r="CN204" s="6"/>
      <c r="CO204" s="6"/>
      <c r="CP204" s="4" t="str">
        <f aca="false">IF(OR(CN204="",CO204=""),"",IFERROR(IF($K204="%",CO204-CN204,CO204/CN204-1),""))</f>
        <v/>
      </c>
      <c r="CQ204" s="5" t="str">
        <f aca="false">IF(OR(CN204="",CO204=""),"",IF($F204="Maior Melhor",IF(CO204&gt;=CN204,"Sim","Não"),IF(CO204&lt;=CN204,"Sim","Não")))</f>
        <v/>
      </c>
      <c r="CR204" s="2" t="s">
        <v>112</v>
      </c>
    </row>
    <row r="205" customFormat="false" ht="15" hidden="false" customHeight="false" outlineLevel="0" collapsed="false">
      <c r="A205" s="2" t="s">
        <v>96</v>
      </c>
      <c r="B205" s="2" t="s">
        <v>106</v>
      </c>
      <c r="C205" s="2" t="s">
        <v>113</v>
      </c>
      <c r="D205" s="2" t="s">
        <v>179</v>
      </c>
      <c r="E205" s="2" t="str">
        <f aca="false">C205&amp;D205</f>
        <v>UTD BOM JESUS DA LAPAImprodutividade de notas comercias reguladas (Conexão)</v>
      </c>
      <c r="F205" s="2" t="s">
        <v>167</v>
      </c>
      <c r="G205" s="2" t="s">
        <v>180</v>
      </c>
      <c r="H205" s="2" t="s">
        <v>102</v>
      </c>
      <c r="I205" s="2" t="s">
        <v>169</v>
      </c>
      <c r="J205" s="2" t="n">
        <v>1</v>
      </c>
      <c r="K205" s="2" t="s">
        <v>104</v>
      </c>
      <c r="L205" s="3" t="n">
        <v>0.3222</v>
      </c>
      <c r="M205" s="3" t="n">
        <v>0.2257</v>
      </c>
      <c r="N205" s="4" t="n">
        <f aca="false">IF(OR(L205="",M205=""),"",IFERROR(IF($K205="%",M205-L205,M205/L205-1),""))</f>
        <v>-0.0965</v>
      </c>
      <c r="O205" s="5" t="str">
        <f aca="false">IF(OR(L205="",M205=""),"",IF($F205="Maior Melhor",IF(M205&gt;=L205,"Sim","Não"),IF(M205&lt;=L205,"Sim","Não")))</f>
        <v>Sim</v>
      </c>
      <c r="P205" s="3" t="n">
        <v>0.3222</v>
      </c>
      <c r="Q205" s="3" t="n">
        <v>0.2071</v>
      </c>
      <c r="R205" s="4" t="n">
        <f aca="false">IF(OR(P205="",Q205=""),"",IFERROR(IF($K205="%",Q205-P205,Q205/P205-1),""))</f>
        <v>-0.1151</v>
      </c>
      <c r="S205" s="5" t="str">
        <f aca="false">IF(OR(P205="",Q205=""),"",IF($F205="Maior Melhor",IF(Q205&gt;=P205,"Sim","Não"),IF(Q205&lt;=P205,"Sim","Não")))</f>
        <v>Sim</v>
      </c>
      <c r="T205" s="3" t="n">
        <v>0.3222</v>
      </c>
      <c r="U205" s="3" t="n">
        <v>0.2434</v>
      </c>
      <c r="V205" s="4" t="n">
        <f aca="false">IF(OR(T205="",U205=""),"",IFERROR(IF($K205="%",U205-T205,U205/T205-1),""))</f>
        <v>-0.0788</v>
      </c>
      <c r="W205" s="5" t="str">
        <f aca="false">IF(OR(T205="",U205=""),"",IF($F205="Maior Melhor",IF(U205&gt;=T205,"Sim","Não"),IF(U205&lt;=T205,"Sim","Não")))</f>
        <v>Sim</v>
      </c>
      <c r="X205" s="3" t="n">
        <v>0.3222</v>
      </c>
      <c r="Y205" s="3" t="n">
        <v>0.2557</v>
      </c>
      <c r="Z205" s="4" t="n">
        <f aca="false">IF(OR(X205="",Y205=""),"",IFERROR(IF($K205="%",Y205-X205,Y205/X205-1),""))</f>
        <v>-0.0665</v>
      </c>
      <c r="AA205" s="5" t="str">
        <f aca="false">IF(OR(X205="",Y205=""),"",IF($F205="Maior Melhor",IF(Y205&gt;=X205,"Sim","Não"),IF(Y205&lt;=X205,"Sim","Não")))</f>
        <v>Sim</v>
      </c>
      <c r="AB205" s="3" t="n">
        <v>0.3222</v>
      </c>
      <c r="AC205" s="3" t="n">
        <v>0.2322</v>
      </c>
      <c r="AD205" s="4" t="n">
        <f aca="false">IF(OR(AB205="",AC205=""),"",IFERROR(IF($K205="%",AC205-AB205,AC205/AB205-1),""))</f>
        <v>-0.09</v>
      </c>
      <c r="AE205" s="5" t="str">
        <f aca="false">IF(OR(AB205="",AC205=""),"",IF($F205="Maior Melhor",IF(AC205&gt;=AB205,"Sim","Não"),IF(AC205&lt;=AB205,"Sim","Não")))</f>
        <v>Sim</v>
      </c>
      <c r="AF205" s="3" t="n">
        <v>0.3222</v>
      </c>
      <c r="AG205" s="3" t="n">
        <v>0.171779141</v>
      </c>
      <c r="AH205" s="4" t="n">
        <f aca="false">IF(OR(AF205="",AG205=""),"",IFERROR(IF($K205="%",AG205-AF205,AG205/AF205-1),""))</f>
        <v>-0.150420859</v>
      </c>
      <c r="AI205" s="5" t="str">
        <f aca="false">IF(OR(AF205="",AG205=""),"",IF($F205="Maior Melhor",IF(AG205&gt;=AF205,"Sim","Não"),IF(AG205&lt;=AF205,"Sim","Não")))</f>
        <v>Sim</v>
      </c>
      <c r="AJ205" s="3" t="n">
        <v>0.3222</v>
      </c>
      <c r="AK205" s="3" t="n">
        <v>0.22720326</v>
      </c>
      <c r="AL205" s="4" t="n">
        <f aca="false">IF(OR(AJ205="",AK205=""),"",IFERROR(IF($K205="%",AK205-AJ205,AK205/AJ205-1),""))</f>
        <v>-0.09499674</v>
      </c>
      <c r="AM205" s="5" t="str">
        <f aca="false">IF(OR(AJ205="",AK205=""),"",IF($F205="Maior Melhor",IF(AK205&gt;=AJ205,"Sim","Não"),IF(AK205&lt;=AJ205,"Sim","Não")))</f>
        <v>Sim</v>
      </c>
      <c r="AN205" s="3" t="n">
        <v>0.3222</v>
      </c>
      <c r="AO205" s="3" t="n">
        <v>0.221518987</v>
      </c>
      <c r="AP205" s="4" t="n">
        <f aca="false">IF(OR(AN205="",AO205=""),"",IFERROR(IF($K205="%",AO205-AN205,AO205/AN205-1),""))</f>
        <v>-0.100681013</v>
      </c>
      <c r="AQ205" s="5" t="str">
        <f aca="false">IF(OR(AN205="",AO205=""),"",IF($F205="Maior Melhor",IF(AO205&gt;=AN205,"Sim","Não"),IF(AO205&lt;=AN205,"Sim","Não")))</f>
        <v>Sim</v>
      </c>
      <c r="AR205" s="3" t="n">
        <v>0.3222</v>
      </c>
      <c r="AS205" s="3" t="n">
        <v>0.226779821</v>
      </c>
      <c r="AT205" s="4" t="n">
        <f aca="false">IF(OR(AR205="",AS205=""),"",IFERROR(IF($K205="%",AS205-AR205,AS205/AR205-1),""))</f>
        <v>-0.095420179</v>
      </c>
      <c r="AU205" s="5" t="str">
        <f aca="false">IF(OR(AR205="",AS205=""),"",IF($F205="Maior Melhor",IF(AS205&gt;=AR205,"Sim","Não"),IF(AS205&lt;=AR205,"Sim","Não")))</f>
        <v>Sim</v>
      </c>
      <c r="AV205" s="3" t="n">
        <v>0.3</v>
      </c>
      <c r="AW205" s="3" t="n">
        <v>0.203358209</v>
      </c>
      <c r="AX205" s="4" t="n">
        <f aca="false">IF(OR(AV205="",AW205=""),"",IFERROR(IF($K205="%",AW205-AV205,AW205/AV205-1),""))</f>
        <v>-0.096641791</v>
      </c>
      <c r="AY205" s="5" t="str">
        <f aca="false">IF(OR(AV205="",AW205=""),"",IF($F205="Maior Melhor",IF(AW205&gt;=AV205,"Sim","Não"),IF(AW205&lt;=AV205,"Sim","Não")))</f>
        <v>Sim</v>
      </c>
      <c r="AZ205" s="3" t="n">
        <v>0.3</v>
      </c>
      <c r="BA205" s="3" t="n">
        <v>0.203358209</v>
      </c>
      <c r="BB205" s="4" t="n">
        <f aca="false">IF(OR(AZ205="",BA205=""),"",IFERROR(IF($K205="%",BA205-AZ205,BA205/AZ205-1),""))</f>
        <v>-0.096641791</v>
      </c>
      <c r="BC205" s="5" t="str">
        <f aca="false">IF(OR(AZ205="",BA205=""),"",IF($F205="Maior Melhor",IF(BA205&gt;=AZ205,"Sim","Não"),IF(BA205&lt;=AZ205,"Sim","Não")))</f>
        <v>Sim</v>
      </c>
      <c r="BD205" s="3" t="n">
        <v>0.322</v>
      </c>
      <c r="BE205" s="3" t="n">
        <v>0.22</v>
      </c>
      <c r="BF205" s="4" t="n">
        <f aca="false">IF(OR(BD205="",BE205=""),"",IFERROR(IF($K205="%",BE205-BD205,BE205/BD205-1),""))</f>
        <v>-0.102</v>
      </c>
      <c r="BG205" s="5" t="str">
        <f aca="false">IF(OR(BD205="",BE205=""),"",IF($F205="Maior Melhor",IF(BE205&gt;=BD205,"Sim","Não"),IF(BE205&lt;=BD205,"Sim","Não")))</f>
        <v>Sim</v>
      </c>
      <c r="BH205" s="3" t="n">
        <v>0.322</v>
      </c>
      <c r="BI205" s="3" t="n">
        <v>0.222</v>
      </c>
      <c r="BJ205" s="4" t="n">
        <f aca="false">IF(OR(BH205="",BI205=""),"",IFERROR(IF($K205="%",BI205-BH205,BI205/BH205-1),""))</f>
        <v>-0.1</v>
      </c>
      <c r="BK205" s="5" t="str">
        <f aca="false">IF(OR(BH205="",BI205=""),"",IF($F205="Maior Melhor",IF(BI205&gt;=BH205,"Sim","Não"),IF(BI205&lt;=BH205,"Sim","Não")))</f>
        <v>Sim</v>
      </c>
      <c r="BL205" s="6"/>
      <c r="BM205" s="6"/>
      <c r="BN205" s="4" t="str">
        <f aca="false">IF(OR(BL205="",BM205=""),"",IFERROR(IF($K205="%",BM205-BL205,BM205/BL205-1),""))</f>
        <v/>
      </c>
      <c r="BO205" s="5" t="str">
        <f aca="false">IF(OR(BL205="",BM205=""),"",IF($F205="Maior Melhor",IF(BM205&gt;=BL205,"Sim","Não"),IF(BM205&lt;=BL205,"Sim","Não")))</f>
        <v/>
      </c>
      <c r="BP205" s="6"/>
      <c r="BQ205" s="6"/>
      <c r="BR205" s="4" t="str">
        <f aca="false">IF(OR(BP205="",BQ205=""),"",IFERROR(IF($K205="%",BQ205-BP205,BQ205/BP205-1),""))</f>
        <v/>
      </c>
      <c r="BS205" s="5" t="str">
        <f aca="false">IF(OR(BP205="",BQ205=""),"",IF($F205="Maior Melhor",IF(BQ205&gt;=BP205,"Sim","Não"),IF(BQ205&lt;=BP205,"Sim","Não")))</f>
        <v/>
      </c>
      <c r="BT205" s="6"/>
      <c r="BU205" s="6"/>
      <c r="BV205" s="4" t="str">
        <f aca="false">IF(OR(BT205="",BU205=""),"",IFERROR(IF($K205="%",BU205-BT205,BU205/BT205-1),""))</f>
        <v/>
      </c>
      <c r="BW205" s="5" t="str">
        <f aca="false">IF(OR(BT205="",BU205=""),"",IF($F205="Maior Melhor",IF(BU205&gt;=BT205,"Sim","Não"),IF(BU205&lt;=BT205,"Sim","Não")))</f>
        <v/>
      </c>
      <c r="BX205" s="6"/>
      <c r="BY205" s="6"/>
      <c r="BZ205" s="4" t="str">
        <f aca="false">IF(OR(BX205="",BY205=""),"",IFERROR(IF($K205="%",BY205-BX205,BY205/BX205-1),""))</f>
        <v/>
      </c>
      <c r="CA205" s="5" t="str">
        <f aca="false">IF(OR(BX205="",BY205=""),"",IF($F205="Maior Melhor",IF(BY205&gt;=BX205,"Sim","Não"),IF(BY205&lt;=BX205,"Sim","Não")))</f>
        <v/>
      </c>
      <c r="CB205" s="6"/>
      <c r="CC205" s="6"/>
      <c r="CD205" s="4" t="str">
        <f aca="false">IF(OR(CB205="",CC205=""),"",IFERROR(IF($K205="%",CC205-CB205,CC205/CB205-1),""))</f>
        <v/>
      </c>
      <c r="CE205" s="5" t="str">
        <f aca="false">IF(OR(CB205="",CC205=""),"",IF($F205="Maior Melhor",IF(CC205&gt;=CB205,"Sim","Não"),IF(CC205&lt;=CB205,"Sim","Não")))</f>
        <v/>
      </c>
      <c r="CF205" s="6"/>
      <c r="CG205" s="6"/>
      <c r="CH205" s="4" t="str">
        <f aca="false">IF(OR(CF205="",CG205=""),"",IFERROR(IF($K205="%",CG205-CF205,CG205/CF205-1),""))</f>
        <v/>
      </c>
      <c r="CI205" s="5" t="str">
        <f aca="false">IF(OR(CF205="",CG205=""),"",IF($F205="Maior Melhor",IF(CG205&gt;=CF205,"Sim","Não"),IF(CG205&lt;=CF205,"Sim","Não")))</f>
        <v/>
      </c>
      <c r="CJ205" s="6"/>
      <c r="CK205" s="6"/>
      <c r="CL205" s="4" t="str">
        <f aca="false">IF(OR(CJ205="",CK205=""),"",IFERROR(IF($K205="%",CK205-CJ205,CK205/CJ205-1),""))</f>
        <v/>
      </c>
      <c r="CM205" s="5" t="str">
        <f aca="false">IF(OR(CJ205="",CK205=""),"",IF($F205="Maior Melhor",IF(CK205&gt;=CJ205,"Sim","Não"),IF(CK205&lt;=CJ205,"Sim","Não")))</f>
        <v/>
      </c>
      <c r="CN205" s="6"/>
      <c r="CO205" s="6"/>
      <c r="CP205" s="4" t="str">
        <f aca="false">IF(OR(CN205="",CO205=""),"",IFERROR(IF($K205="%",CO205-CN205,CO205/CN205-1),""))</f>
        <v/>
      </c>
      <c r="CQ205" s="5" t="str">
        <f aca="false">IF(OR(CN205="",CO205=""),"",IF($F205="Maior Melhor",IF(CO205&gt;=CN205,"Sim","Não"),IF(CO205&lt;=CN205,"Sim","Não")))</f>
        <v/>
      </c>
      <c r="CR205" s="2" t="s">
        <v>114</v>
      </c>
    </row>
    <row r="206" customFormat="false" ht="15" hidden="false" customHeight="false" outlineLevel="0" collapsed="false">
      <c r="A206" s="2" t="s">
        <v>96</v>
      </c>
      <c r="B206" s="2" t="s">
        <v>108</v>
      </c>
      <c r="C206" s="2" t="s">
        <v>115</v>
      </c>
      <c r="D206" s="2" t="s">
        <v>179</v>
      </c>
      <c r="E206" s="2" t="str">
        <f aca="false">C206&amp;D206</f>
        <v>UTD BRUMADOImprodutividade de notas comercias reguladas (Conexão)</v>
      </c>
      <c r="F206" s="2" t="s">
        <v>167</v>
      </c>
      <c r="G206" s="2" t="s">
        <v>180</v>
      </c>
      <c r="H206" s="2" t="s">
        <v>102</v>
      </c>
      <c r="I206" s="2" t="s">
        <v>169</v>
      </c>
      <c r="J206" s="2" t="n">
        <v>1</v>
      </c>
      <c r="K206" s="2" t="s">
        <v>104</v>
      </c>
      <c r="L206" s="3" t="n">
        <v>0.2565</v>
      </c>
      <c r="M206" s="3" t="n">
        <v>0.2882</v>
      </c>
      <c r="N206" s="4" t="n">
        <f aca="false">IF(OR(L206="",M206=""),"",IFERROR(IF($K206="%",M206-L206,M206/L206-1),""))</f>
        <v>0.0317</v>
      </c>
      <c r="O206" s="5" t="str">
        <f aca="false">IF(OR(L206="",M206=""),"",IF($F206="Maior Melhor",IF(M206&gt;=L206,"Sim","Não"),IF(M206&lt;=L206,"Sim","Não")))</f>
        <v>Não</v>
      </c>
      <c r="P206" s="3" t="n">
        <v>0.2565</v>
      </c>
      <c r="Q206" s="3" t="n">
        <v>0.2727</v>
      </c>
      <c r="R206" s="4" t="n">
        <f aca="false">IF(OR(P206="",Q206=""),"",IFERROR(IF($K206="%",Q206-P206,Q206/P206-1),""))</f>
        <v>0.0162</v>
      </c>
      <c r="S206" s="5" t="str">
        <f aca="false">IF(OR(P206="",Q206=""),"",IF($F206="Maior Melhor",IF(Q206&gt;=P206,"Sim","Não"),IF(Q206&lt;=P206,"Sim","Não")))</f>
        <v>Não</v>
      </c>
      <c r="T206" s="3" t="n">
        <v>0.2565</v>
      </c>
      <c r="U206" s="3" t="n">
        <v>0.2474</v>
      </c>
      <c r="V206" s="4" t="n">
        <f aca="false">IF(OR(T206="",U206=""),"",IFERROR(IF($K206="%",U206-T206,U206/T206-1),""))</f>
        <v>-0.0091</v>
      </c>
      <c r="W206" s="5" t="str">
        <f aca="false">IF(OR(T206="",U206=""),"",IF($F206="Maior Melhor",IF(U206&gt;=T206,"Sim","Não"),IF(U206&lt;=T206,"Sim","Não")))</f>
        <v>Sim</v>
      </c>
      <c r="X206" s="3" t="n">
        <v>0.2565</v>
      </c>
      <c r="Y206" s="3" t="n">
        <v>0.1753</v>
      </c>
      <c r="Z206" s="4" t="n">
        <f aca="false">IF(OR(X206="",Y206=""),"",IFERROR(IF($K206="%",Y206-X206,Y206/X206-1),""))</f>
        <v>-0.0812</v>
      </c>
      <c r="AA206" s="5" t="str">
        <f aca="false">IF(OR(X206="",Y206=""),"",IF($F206="Maior Melhor",IF(Y206&gt;=X206,"Sim","Não"),IF(Y206&lt;=X206,"Sim","Não")))</f>
        <v>Sim</v>
      </c>
      <c r="AB206" s="3" t="n">
        <v>0.2565</v>
      </c>
      <c r="AC206" s="3" t="n">
        <v>0.2569</v>
      </c>
      <c r="AD206" s="4" t="n">
        <f aca="false">IF(OR(AB206="",AC206=""),"",IFERROR(IF($K206="%",AC206-AB206,AC206/AB206-1),""))</f>
        <v>0.000400000000000011</v>
      </c>
      <c r="AE206" s="5" t="str">
        <f aca="false">IF(OR(AB206="",AC206=""),"",IF($F206="Maior Melhor",IF(AC206&gt;=AB206,"Sim","Não"),IF(AC206&lt;=AB206,"Sim","Não")))</f>
        <v>Não</v>
      </c>
      <c r="AF206" s="3" t="n">
        <v>0.2565</v>
      </c>
      <c r="AG206" s="3" t="n">
        <v>0.171686747</v>
      </c>
      <c r="AH206" s="4" t="n">
        <f aca="false">IF(OR(AF206="",AG206=""),"",IFERROR(IF($K206="%",AG206-AF206,AG206/AF206-1),""))</f>
        <v>-0.084813253</v>
      </c>
      <c r="AI206" s="5" t="str">
        <f aca="false">IF(OR(AF206="",AG206=""),"",IF($F206="Maior Melhor",IF(AG206&gt;=AF206,"Sim","Não"),IF(AG206&lt;=AF206,"Sim","Não")))</f>
        <v>Sim</v>
      </c>
      <c r="AJ206" s="3" t="n">
        <v>0.2565</v>
      </c>
      <c r="AK206" s="3" t="n">
        <v>0.245017585</v>
      </c>
      <c r="AL206" s="4" t="n">
        <f aca="false">IF(OR(AJ206="",AK206=""),"",IFERROR(IF($K206="%",AK206-AJ206,AK206/AJ206-1),""))</f>
        <v>-0.011482415</v>
      </c>
      <c r="AM206" s="5" t="str">
        <f aca="false">IF(OR(AJ206="",AK206=""),"",IF($F206="Maior Melhor",IF(AK206&gt;=AJ206,"Sim","Não"),IF(AK206&lt;=AJ206,"Sim","Não")))</f>
        <v>Sim</v>
      </c>
      <c r="AN206" s="3" t="n">
        <v>0.2565</v>
      </c>
      <c r="AO206" s="3" t="n">
        <v>0.150724638</v>
      </c>
      <c r="AP206" s="4" t="n">
        <f aca="false">IF(OR(AN206="",AO206=""),"",IFERROR(IF($K206="%",AO206-AN206,AO206/AN206-1),""))</f>
        <v>-0.105775362</v>
      </c>
      <c r="AQ206" s="5" t="str">
        <f aca="false">IF(OR(AN206="",AO206=""),"",IF($F206="Maior Melhor",IF(AO206&gt;=AN206,"Sim","Não"),IF(AO206&lt;=AN206,"Sim","Não")))</f>
        <v>Sim</v>
      </c>
      <c r="AR206" s="3" t="n">
        <v>0.2565</v>
      </c>
      <c r="AS206" s="3" t="n">
        <v>0.233815427</v>
      </c>
      <c r="AT206" s="4" t="n">
        <f aca="false">IF(OR(AR206="",AS206=""),"",IFERROR(IF($K206="%",AS206-AR206,AS206/AR206-1),""))</f>
        <v>-0.022684573</v>
      </c>
      <c r="AU206" s="5" t="str">
        <f aca="false">IF(OR(AR206="",AS206=""),"",IF($F206="Maior Melhor",IF(AS206&gt;=AR206,"Sim","Não"),IF(AS206&lt;=AR206,"Sim","Não")))</f>
        <v>Sim</v>
      </c>
      <c r="AV206" s="3" t="n">
        <v>0.3</v>
      </c>
      <c r="AW206" s="3" t="n">
        <v>0.123239437</v>
      </c>
      <c r="AX206" s="4" t="n">
        <f aca="false">IF(OR(AV206="",AW206=""),"",IFERROR(IF($K206="%",AW206-AV206,AW206/AV206-1),""))</f>
        <v>-0.176760563</v>
      </c>
      <c r="AY206" s="5" t="str">
        <f aca="false">IF(OR(AV206="",AW206=""),"",IF($F206="Maior Melhor",IF(AW206&gt;=AV206,"Sim","Não"),IF(AW206&lt;=AV206,"Sim","Não")))</f>
        <v>Sim</v>
      </c>
      <c r="AZ206" s="3" t="n">
        <v>0.3</v>
      </c>
      <c r="BA206" s="3" t="n">
        <v>0.123239437</v>
      </c>
      <c r="BB206" s="4" t="n">
        <f aca="false">IF(OR(AZ206="",BA206=""),"",IFERROR(IF($K206="%",BA206-AZ206,BA206/AZ206-1),""))</f>
        <v>-0.176760563</v>
      </c>
      <c r="BC206" s="5" t="str">
        <f aca="false">IF(OR(AZ206="",BA206=""),"",IF($F206="Maior Melhor",IF(BA206&gt;=AZ206,"Sim","Não"),IF(BA206&lt;=AZ206,"Sim","Não")))</f>
        <v>Sim</v>
      </c>
      <c r="BD206" s="3" t="n">
        <v>0.257</v>
      </c>
      <c r="BE206" s="3" t="n">
        <v>0.189</v>
      </c>
      <c r="BF206" s="4" t="n">
        <f aca="false">IF(OR(BD206="",BE206=""),"",IFERROR(IF($K206="%",BE206-BD206,BE206/BD206-1),""))</f>
        <v>-0.068</v>
      </c>
      <c r="BG206" s="5" t="str">
        <f aca="false">IF(OR(BD206="",BE206=""),"",IF($F206="Maior Melhor",IF(BE206&gt;=BD206,"Sim","Não"),IF(BE206&lt;=BD206,"Sim","Não")))</f>
        <v>Sim</v>
      </c>
      <c r="BH206" s="3" t="n">
        <v>0.257</v>
      </c>
      <c r="BI206" s="3" t="n">
        <v>0.205</v>
      </c>
      <c r="BJ206" s="4" t="n">
        <f aca="false">IF(OR(BH206="",BI206=""),"",IFERROR(IF($K206="%",BI206-BH206,BI206/BH206-1),""))</f>
        <v>-0.052</v>
      </c>
      <c r="BK206" s="5" t="str">
        <f aca="false">IF(OR(BH206="",BI206=""),"",IF($F206="Maior Melhor",IF(BI206&gt;=BH206,"Sim","Não"),IF(BI206&lt;=BH206,"Sim","Não")))</f>
        <v>Sim</v>
      </c>
      <c r="BL206" s="6"/>
      <c r="BM206" s="6"/>
      <c r="BN206" s="4" t="str">
        <f aca="false">IF(OR(BL206="",BM206=""),"",IFERROR(IF($K206="%",BM206-BL206,BM206/BL206-1),""))</f>
        <v/>
      </c>
      <c r="BO206" s="5" t="str">
        <f aca="false">IF(OR(BL206="",BM206=""),"",IF($F206="Maior Melhor",IF(BM206&gt;=BL206,"Sim","Não"),IF(BM206&lt;=BL206,"Sim","Não")))</f>
        <v/>
      </c>
      <c r="BP206" s="6"/>
      <c r="BQ206" s="6"/>
      <c r="BR206" s="4" t="str">
        <f aca="false">IF(OR(BP206="",BQ206=""),"",IFERROR(IF($K206="%",BQ206-BP206,BQ206/BP206-1),""))</f>
        <v/>
      </c>
      <c r="BS206" s="5" t="str">
        <f aca="false">IF(OR(BP206="",BQ206=""),"",IF($F206="Maior Melhor",IF(BQ206&gt;=BP206,"Sim","Não"),IF(BQ206&lt;=BP206,"Sim","Não")))</f>
        <v/>
      </c>
      <c r="BT206" s="6"/>
      <c r="BU206" s="6"/>
      <c r="BV206" s="4" t="str">
        <f aca="false">IF(OR(BT206="",BU206=""),"",IFERROR(IF($K206="%",BU206-BT206,BU206/BT206-1),""))</f>
        <v/>
      </c>
      <c r="BW206" s="5" t="str">
        <f aca="false">IF(OR(BT206="",BU206=""),"",IF($F206="Maior Melhor",IF(BU206&gt;=BT206,"Sim","Não"),IF(BU206&lt;=BT206,"Sim","Não")))</f>
        <v/>
      </c>
      <c r="BX206" s="6"/>
      <c r="BY206" s="6"/>
      <c r="BZ206" s="4" t="str">
        <f aca="false">IF(OR(BX206="",BY206=""),"",IFERROR(IF($K206="%",BY206-BX206,BY206/BX206-1),""))</f>
        <v/>
      </c>
      <c r="CA206" s="5" t="str">
        <f aca="false">IF(OR(BX206="",BY206=""),"",IF($F206="Maior Melhor",IF(BY206&gt;=BX206,"Sim","Não"),IF(BY206&lt;=BX206,"Sim","Não")))</f>
        <v/>
      </c>
      <c r="CB206" s="6"/>
      <c r="CC206" s="6"/>
      <c r="CD206" s="4" t="str">
        <f aca="false">IF(OR(CB206="",CC206=""),"",IFERROR(IF($K206="%",CC206-CB206,CC206/CB206-1),""))</f>
        <v/>
      </c>
      <c r="CE206" s="5" t="str">
        <f aca="false">IF(OR(CB206="",CC206=""),"",IF($F206="Maior Melhor",IF(CC206&gt;=CB206,"Sim","Não"),IF(CC206&lt;=CB206,"Sim","Não")))</f>
        <v/>
      </c>
      <c r="CF206" s="6"/>
      <c r="CG206" s="6"/>
      <c r="CH206" s="4" t="str">
        <f aca="false">IF(OR(CF206="",CG206=""),"",IFERROR(IF($K206="%",CG206-CF206,CG206/CF206-1),""))</f>
        <v/>
      </c>
      <c r="CI206" s="5" t="str">
        <f aca="false">IF(OR(CF206="",CG206=""),"",IF($F206="Maior Melhor",IF(CG206&gt;=CF206,"Sim","Não"),IF(CG206&lt;=CF206,"Sim","Não")))</f>
        <v/>
      </c>
      <c r="CJ206" s="6"/>
      <c r="CK206" s="6"/>
      <c r="CL206" s="4" t="str">
        <f aca="false">IF(OR(CJ206="",CK206=""),"",IFERROR(IF($K206="%",CK206-CJ206,CK206/CJ206-1),""))</f>
        <v/>
      </c>
      <c r="CM206" s="5" t="str">
        <f aca="false">IF(OR(CJ206="",CK206=""),"",IF($F206="Maior Melhor",IF(CK206&gt;=CJ206,"Sim","Não"),IF(CK206&lt;=CJ206,"Sim","Não")))</f>
        <v/>
      </c>
      <c r="CN206" s="6"/>
      <c r="CO206" s="6"/>
      <c r="CP206" s="4" t="str">
        <f aca="false">IF(OR(CN206="",CO206=""),"",IFERROR(IF($K206="%",CO206-CN206,CO206/CN206-1),""))</f>
        <v/>
      </c>
      <c r="CQ206" s="5" t="str">
        <f aca="false">IF(OR(CN206="",CO206=""),"",IF($F206="Maior Melhor",IF(CO206&gt;=CN206,"Sim","Não"),IF(CO206&lt;=CN206,"Sim","Não")))</f>
        <v/>
      </c>
      <c r="CR206" s="2" t="s">
        <v>105</v>
      </c>
    </row>
    <row r="207" customFormat="false" ht="15" hidden="false" customHeight="false" outlineLevel="0" collapsed="false">
      <c r="A207" s="2" t="s">
        <v>96</v>
      </c>
      <c r="B207" s="2" t="s">
        <v>108</v>
      </c>
      <c r="C207" s="2" t="s">
        <v>117</v>
      </c>
      <c r="D207" s="2" t="s">
        <v>179</v>
      </c>
      <c r="E207" s="2" t="str">
        <f aca="false">C207&amp;D207</f>
        <v>UTD GUANAMBIImprodutividade de notas comercias reguladas (Conexão)</v>
      </c>
      <c r="F207" s="2" t="s">
        <v>167</v>
      </c>
      <c r="G207" s="2" t="s">
        <v>180</v>
      </c>
      <c r="H207" s="2" t="s">
        <v>102</v>
      </c>
      <c r="I207" s="2" t="s">
        <v>169</v>
      </c>
      <c r="J207" s="2" t="n">
        <v>1</v>
      </c>
      <c r="K207" s="2" t="s">
        <v>104</v>
      </c>
      <c r="L207" s="3" t="n">
        <v>0.34</v>
      </c>
      <c r="M207" s="3" t="n">
        <v>0.2455</v>
      </c>
      <c r="N207" s="4" t="n">
        <f aca="false">IF(OR(L207="",M207=""),"",IFERROR(IF($K207="%",M207-L207,M207/L207-1),""))</f>
        <v>-0.0945</v>
      </c>
      <c r="O207" s="5" t="str">
        <f aca="false">IF(OR(L207="",M207=""),"",IF($F207="Maior Melhor",IF(M207&gt;=L207,"Sim","Não"),IF(M207&lt;=L207,"Sim","Não")))</f>
        <v>Sim</v>
      </c>
      <c r="P207" s="3" t="n">
        <v>0.34</v>
      </c>
      <c r="Q207" s="3" t="n">
        <v>0.2504</v>
      </c>
      <c r="R207" s="4" t="n">
        <f aca="false">IF(OR(P207="",Q207=""),"",IFERROR(IF($K207="%",Q207-P207,Q207/P207-1),""))</f>
        <v>-0.0896</v>
      </c>
      <c r="S207" s="5" t="str">
        <f aca="false">IF(OR(P207="",Q207=""),"",IF($F207="Maior Melhor",IF(Q207&gt;=P207,"Sim","Não"),IF(Q207&lt;=P207,"Sim","Não")))</f>
        <v>Sim</v>
      </c>
      <c r="T207" s="3" t="n">
        <v>0.34</v>
      </c>
      <c r="U207" s="3" t="n">
        <v>0.2808</v>
      </c>
      <c r="V207" s="4" t="n">
        <f aca="false">IF(OR(T207="",U207=""),"",IFERROR(IF($K207="%",U207-T207,U207/T207-1),""))</f>
        <v>-0.0592</v>
      </c>
      <c r="W207" s="5" t="str">
        <f aca="false">IF(OR(T207="",U207=""),"",IF($F207="Maior Melhor",IF(U207&gt;=T207,"Sim","Não"),IF(U207&lt;=T207,"Sim","Não")))</f>
        <v>Sim</v>
      </c>
      <c r="X207" s="3" t="n">
        <v>0.34</v>
      </c>
      <c r="Y207" s="3" t="n">
        <v>0.2704</v>
      </c>
      <c r="Z207" s="4" t="n">
        <f aca="false">IF(OR(X207="",Y207=""),"",IFERROR(IF($K207="%",Y207-X207,Y207/X207-1),""))</f>
        <v>-0.0696000000000001</v>
      </c>
      <c r="AA207" s="5" t="str">
        <f aca="false">IF(OR(X207="",Y207=""),"",IF($F207="Maior Melhor",IF(Y207&gt;=X207,"Sim","Não"),IF(Y207&lt;=X207,"Sim","Não")))</f>
        <v>Sim</v>
      </c>
      <c r="AB207" s="3" t="n">
        <v>0.34</v>
      </c>
      <c r="AC207" s="3" t="n">
        <v>0.2617</v>
      </c>
      <c r="AD207" s="4" t="n">
        <f aca="false">IF(OR(AB207="",AC207=""),"",IFERROR(IF($K207="%",AC207-AB207,AC207/AB207-1),""))</f>
        <v>-0.0783</v>
      </c>
      <c r="AE207" s="5" t="str">
        <f aca="false">IF(OR(AB207="",AC207=""),"",IF($F207="Maior Melhor",IF(AC207&gt;=AB207,"Sim","Não"),IF(AC207&lt;=AB207,"Sim","Não")))</f>
        <v>Sim</v>
      </c>
      <c r="AF207" s="3" t="n">
        <v>0.34</v>
      </c>
      <c r="AG207" s="3" t="n">
        <v>0.286842105</v>
      </c>
      <c r="AH207" s="4" t="n">
        <f aca="false">IF(OR(AF207="",AG207=""),"",IFERROR(IF($K207="%",AG207-AF207,AG207/AF207-1),""))</f>
        <v>-0.053157895</v>
      </c>
      <c r="AI207" s="5" t="str">
        <f aca="false">IF(OR(AF207="",AG207=""),"",IF($F207="Maior Melhor",IF(AG207&gt;=AF207,"Sim","Não"),IF(AG207&lt;=AF207,"Sim","Não")))</f>
        <v>Sim</v>
      </c>
      <c r="AJ207" s="3" t="n">
        <v>0.34</v>
      </c>
      <c r="AK207" s="3" t="n">
        <v>0.265942178</v>
      </c>
      <c r="AL207" s="4" t="n">
        <f aca="false">IF(OR(AJ207="",AK207=""),"",IFERROR(IF($K207="%",AK207-AJ207,AK207/AJ207-1),""))</f>
        <v>-0.0740578220000001</v>
      </c>
      <c r="AM207" s="5" t="str">
        <f aca="false">IF(OR(AJ207="",AK207=""),"",IF($F207="Maior Melhor",IF(AK207&gt;=AJ207,"Sim","Não"),IF(AK207&lt;=AJ207,"Sim","Não")))</f>
        <v>Sim</v>
      </c>
      <c r="AN207" s="3" t="n">
        <v>0.34</v>
      </c>
      <c r="AO207" s="3" t="n">
        <v>0.19391635</v>
      </c>
      <c r="AP207" s="4" t="n">
        <f aca="false">IF(OR(AN207="",AO207=""),"",IFERROR(IF($K207="%",AO207-AN207,AO207/AN207-1),""))</f>
        <v>-0.14608365</v>
      </c>
      <c r="AQ207" s="5" t="str">
        <f aca="false">IF(OR(AN207="",AO207=""),"",IF($F207="Maior Melhor",IF(AO207&gt;=AN207,"Sim","Não"),IF(AO207&lt;=AN207,"Sim","Não")))</f>
        <v>Sim</v>
      </c>
      <c r="AR207" s="3" t="n">
        <v>0.34</v>
      </c>
      <c r="AS207" s="3" t="n">
        <v>0.262256809</v>
      </c>
      <c r="AT207" s="4" t="n">
        <f aca="false">IF(OR(AR207="",AS207=""),"",IFERROR(IF($K207="%",AS207-AR207,AS207/AR207-1),""))</f>
        <v>-0.077743191</v>
      </c>
      <c r="AU207" s="5" t="str">
        <f aca="false">IF(OR(AR207="",AS207=""),"",IF($F207="Maior Melhor",IF(AS207&gt;=AR207,"Sim","Não"),IF(AS207&lt;=AR207,"Sim","Não")))</f>
        <v>Sim</v>
      </c>
      <c r="AV207" s="3" t="n">
        <v>0.3</v>
      </c>
      <c r="AW207" s="3" t="n">
        <v>0.31773667</v>
      </c>
      <c r="AX207" s="4" t="n">
        <f aca="false">IF(OR(AV207="",AW207=""),"",IFERROR(IF($K207="%",AW207-AV207,AW207/AV207-1),""))</f>
        <v>0.01773667</v>
      </c>
      <c r="AY207" s="5" t="str">
        <f aca="false">IF(OR(AV207="",AW207=""),"",IF($F207="Maior Melhor",IF(AW207&gt;=AV207,"Sim","Não"),IF(AW207&lt;=AV207,"Sim","Não")))</f>
        <v>Não</v>
      </c>
      <c r="AZ207" s="3" t="n">
        <v>0.3</v>
      </c>
      <c r="BA207" s="3" t="n">
        <v>0.31773667</v>
      </c>
      <c r="BB207" s="4" t="n">
        <f aca="false">IF(OR(AZ207="",BA207=""),"",IFERROR(IF($K207="%",BA207-AZ207,BA207/AZ207-1),""))</f>
        <v>0.01773667</v>
      </c>
      <c r="BC207" s="5" t="str">
        <f aca="false">IF(OR(AZ207="",BA207=""),"",IF($F207="Maior Melhor",IF(BA207&gt;=AZ207,"Sim","Não"),IF(BA207&lt;=AZ207,"Sim","Não")))</f>
        <v>Não</v>
      </c>
      <c r="BD207" s="3" t="n">
        <v>0.34</v>
      </c>
      <c r="BE207" s="3" t="n">
        <v>0.326</v>
      </c>
      <c r="BF207" s="4" t="n">
        <f aca="false">IF(OR(BD207="",BE207=""),"",IFERROR(IF($K207="%",BE207-BD207,BE207/BD207-1),""))</f>
        <v>-0.014</v>
      </c>
      <c r="BG207" s="5" t="str">
        <f aca="false">IF(OR(BD207="",BE207=""),"",IF($F207="Maior Melhor",IF(BE207&gt;=BD207,"Sim","Não"),IF(BE207&lt;=BD207,"Sim","Não")))</f>
        <v>Sim</v>
      </c>
      <c r="BH207" s="3" t="n">
        <v>0.34</v>
      </c>
      <c r="BI207" s="3" t="n">
        <v>0.278</v>
      </c>
      <c r="BJ207" s="4" t="n">
        <f aca="false">IF(OR(BH207="",BI207=""),"",IFERROR(IF($K207="%",BI207-BH207,BI207/BH207-1),""))</f>
        <v>-0.062</v>
      </c>
      <c r="BK207" s="5" t="str">
        <f aca="false">IF(OR(BH207="",BI207=""),"",IF($F207="Maior Melhor",IF(BI207&gt;=BH207,"Sim","Não"),IF(BI207&lt;=BH207,"Sim","Não")))</f>
        <v>Sim</v>
      </c>
      <c r="BL207" s="6"/>
      <c r="BM207" s="6"/>
      <c r="BN207" s="4" t="str">
        <f aca="false">IF(OR(BL207="",BM207=""),"",IFERROR(IF($K207="%",BM207-BL207,BM207/BL207-1),""))</f>
        <v/>
      </c>
      <c r="BO207" s="5" t="str">
        <f aca="false">IF(OR(BL207="",BM207=""),"",IF($F207="Maior Melhor",IF(BM207&gt;=BL207,"Sim","Não"),IF(BM207&lt;=BL207,"Sim","Não")))</f>
        <v/>
      </c>
      <c r="BP207" s="6"/>
      <c r="BQ207" s="6"/>
      <c r="BR207" s="4" t="str">
        <f aca="false">IF(OR(BP207="",BQ207=""),"",IFERROR(IF($K207="%",BQ207-BP207,BQ207/BP207-1),""))</f>
        <v/>
      </c>
      <c r="BS207" s="5" t="str">
        <f aca="false">IF(OR(BP207="",BQ207=""),"",IF($F207="Maior Melhor",IF(BQ207&gt;=BP207,"Sim","Não"),IF(BQ207&lt;=BP207,"Sim","Não")))</f>
        <v/>
      </c>
      <c r="BT207" s="6"/>
      <c r="BU207" s="6"/>
      <c r="BV207" s="4" t="str">
        <f aca="false">IF(OR(BT207="",BU207=""),"",IFERROR(IF($K207="%",BU207-BT207,BU207/BT207-1),""))</f>
        <v/>
      </c>
      <c r="BW207" s="5" t="str">
        <f aca="false">IF(OR(BT207="",BU207=""),"",IF($F207="Maior Melhor",IF(BU207&gt;=BT207,"Sim","Não"),IF(BU207&lt;=BT207,"Sim","Não")))</f>
        <v/>
      </c>
      <c r="BX207" s="6"/>
      <c r="BY207" s="6"/>
      <c r="BZ207" s="4" t="str">
        <f aca="false">IF(OR(BX207="",BY207=""),"",IFERROR(IF($K207="%",BY207-BX207,BY207/BX207-1),""))</f>
        <v/>
      </c>
      <c r="CA207" s="5" t="str">
        <f aca="false">IF(OR(BX207="",BY207=""),"",IF($F207="Maior Melhor",IF(BY207&gt;=BX207,"Sim","Não"),IF(BY207&lt;=BX207,"Sim","Não")))</f>
        <v/>
      </c>
      <c r="CB207" s="6"/>
      <c r="CC207" s="6"/>
      <c r="CD207" s="4" t="str">
        <f aca="false">IF(OR(CB207="",CC207=""),"",IFERROR(IF($K207="%",CC207-CB207,CC207/CB207-1),""))</f>
        <v/>
      </c>
      <c r="CE207" s="5" t="str">
        <f aca="false">IF(OR(CB207="",CC207=""),"",IF($F207="Maior Melhor",IF(CC207&gt;=CB207,"Sim","Não"),IF(CC207&lt;=CB207,"Sim","Não")))</f>
        <v/>
      </c>
      <c r="CF207" s="6"/>
      <c r="CG207" s="6"/>
      <c r="CH207" s="4" t="str">
        <f aca="false">IF(OR(CF207="",CG207=""),"",IFERROR(IF($K207="%",CG207-CF207,CG207/CF207-1),""))</f>
        <v/>
      </c>
      <c r="CI207" s="5" t="str">
        <f aca="false">IF(OR(CF207="",CG207=""),"",IF($F207="Maior Melhor",IF(CG207&gt;=CF207,"Sim","Não"),IF(CG207&lt;=CF207,"Sim","Não")))</f>
        <v/>
      </c>
      <c r="CJ207" s="6"/>
      <c r="CK207" s="6"/>
      <c r="CL207" s="4" t="str">
        <f aca="false">IF(OR(CJ207="",CK207=""),"",IFERROR(IF($K207="%",CK207-CJ207,CK207/CJ207-1),""))</f>
        <v/>
      </c>
      <c r="CM207" s="5" t="str">
        <f aca="false">IF(OR(CJ207="",CK207=""),"",IF($F207="Maior Melhor",IF(CK207&gt;=CJ207,"Sim","Não"),IF(CK207&lt;=CJ207,"Sim","Não")))</f>
        <v/>
      </c>
      <c r="CN207" s="6"/>
      <c r="CO207" s="6"/>
      <c r="CP207" s="4" t="str">
        <f aca="false">IF(OR(CN207="",CO207=""),"",IFERROR(IF($K207="%",CO207-CN207,CO207/CN207-1),""))</f>
        <v/>
      </c>
      <c r="CQ207" s="5" t="str">
        <f aca="false">IF(OR(CN207="",CO207=""),"",IF($F207="Maior Melhor",IF(CO207&gt;=CN207,"Sim","Não"),IF(CO207&lt;=CN207,"Sim","Não")))</f>
        <v/>
      </c>
      <c r="CR207" s="2" t="s">
        <v>105</v>
      </c>
    </row>
    <row r="208" customFormat="false" ht="15" hidden="false" customHeight="false" outlineLevel="0" collapsed="false">
      <c r="A208" s="2" t="s">
        <v>96</v>
      </c>
      <c r="B208" s="2" t="s">
        <v>106</v>
      </c>
      <c r="C208" s="2" t="s">
        <v>118</v>
      </c>
      <c r="D208" s="2" t="s">
        <v>179</v>
      </c>
      <c r="E208" s="2" t="str">
        <f aca="false">C208&amp;D208</f>
        <v>UTD IBOTIRAMAImprodutividade de notas comercias reguladas (Conexão)</v>
      </c>
      <c r="F208" s="2" t="s">
        <v>167</v>
      </c>
      <c r="G208" s="2" t="s">
        <v>180</v>
      </c>
      <c r="H208" s="2" t="s">
        <v>119</v>
      </c>
      <c r="I208" s="2" t="s">
        <v>169</v>
      </c>
      <c r="J208" s="2" t="n">
        <v>1</v>
      </c>
      <c r="K208" s="2" t="s">
        <v>104</v>
      </c>
      <c r="L208" s="3" t="n">
        <v>0.2864</v>
      </c>
      <c r="M208" s="3" t="n">
        <v>0.1987</v>
      </c>
      <c r="N208" s="4" t="n">
        <f aca="false">IF(OR(L208="",M208=""),"",IFERROR(IF($K208="%",M208-L208,M208/L208-1),""))</f>
        <v>-0.0877</v>
      </c>
      <c r="O208" s="5" t="str">
        <f aca="false">IF(OR(L208="",M208=""),"",IF($F208="Maior Melhor",IF(M208&gt;=L208,"Sim","Não"),IF(M208&lt;=L208,"Sim","Não")))</f>
        <v>Sim</v>
      </c>
      <c r="P208" s="3" t="n">
        <v>0.2864</v>
      </c>
      <c r="Q208" s="3" t="n">
        <v>0.1585</v>
      </c>
      <c r="R208" s="4" t="n">
        <f aca="false">IF(OR(P208="",Q208=""),"",IFERROR(IF($K208="%",Q208-P208,Q208/P208-1),""))</f>
        <v>-0.1279</v>
      </c>
      <c r="S208" s="5" t="str">
        <f aca="false">IF(OR(P208="",Q208=""),"",IF($F208="Maior Melhor",IF(Q208&gt;=P208,"Sim","Não"),IF(Q208&lt;=P208,"Sim","Não")))</f>
        <v>Sim</v>
      </c>
      <c r="T208" s="3" t="n">
        <v>0.2864</v>
      </c>
      <c r="U208" s="3" t="n">
        <v>0.168</v>
      </c>
      <c r="V208" s="4" t="n">
        <f aca="false">IF(OR(T208="",U208=""),"",IFERROR(IF($K208="%",U208-T208,U208/T208-1),""))</f>
        <v>-0.1184</v>
      </c>
      <c r="W208" s="5" t="str">
        <f aca="false">IF(OR(T208="",U208=""),"",IF($F208="Maior Melhor",IF(U208&gt;=T208,"Sim","Não"),IF(U208&lt;=T208,"Sim","Não")))</f>
        <v>Sim</v>
      </c>
      <c r="X208" s="3" t="n">
        <v>0.2864</v>
      </c>
      <c r="Y208" s="3" t="n">
        <v>0.1862</v>
      </c>
      <c r="Z208" s="4" t="n">
        <f aca="false">IF(OR(X208="",Y208=""),"",IFERROR(IF($K208="%",Y208-X208,Y208/X208-1),""))</f>
        <v>-0.1002</v>
      </c>
      <c r="AA208" s="5" t="str">
        <f aca="false">IF(OR(X208="",Y208=""),"",IF($F208="Maior Melhor",IF(Y208&gt;=X208,"Sim","Não"),IF(Y208&lt;=X208,"Sim","Não")))</f>
        <v>Sim</v>
      </c>
      <c r="AB208" s="3" t="n">
        <v>0.2864</v>
      </c>
      <c r="AC208" s="3" t="n">
        <v>0.1752</v>
      </c>
      <c r="AD208" s="4" t="n">
        <f aca="false">IF(OR(AB208="",AC208=""),"",IFERROR(IF($K208="%",AC208-AB208,AC208/AB208-1),""))</f>
        <v>-0.1112</v>
      </c>
      <c r="AE208" s="5" t="str">
        <f aca="false">IF(OR(AB208="",AC208=""),"",IF($F208="Maior Melhor",IF(AC208&gt;=AB208,"Sim","Não"),IF(AC208&lt;=AB208,"Sim","Não")))</f>
        <v>Sim</v>
      </c>
      <c r="AF208" s="3" t="n">
        <v>0.28644</v>
      </c>
      <c r="AG208" s="3" t="n">
        <v>0.11</v>
      </c>
      <c r="AH208" s="4" t="n">
        <f aca="false">IF(OR(AF208="",AG208=""),"",IFERROR(IF($K208="%",AG208-AF208,AG208/AF208-1),""))</f>
        <v>-0.17644</v>
      </c>
      <c r="AI208" s="5" t="str">
        <f aca="false">IF(OR(AF208="",AG208=""),"",IF($F208="Maior Melhor",IF(AG208&gt;=AF208,"Sim","Não"),IF(AG208&lt;=AF208,"Sim","Não")))</f>
        <v>Sim</v>
      </c>
      <c r="AJ208" s="3" t="n">
        <v>0.28644</v>
      </c>
      <c r="AK208" s="3" t="n">
        <v>0.171177267</v>
      </c>
      <c r="AL208" s="4" t="n">
        <f aca="false">IF(OR(AJ208="",AK208=""),"",IFERROR(IF($K208="%",AK208-AJ208,AK208/AJ208-1),""))</f>
        <v>-0.115262733</v>
      </c>
      <c r="AM208" s="5" t="str">
        <f aca="false">IF(OR(AJ208="",AK208=""),"",IF($F208="Maior Melhor",IF(AK208&gt;=AJ208,"Sim","Não"),IF(AK208&lt;=AJ208,"Sim","Não")))</f>
        <v>Sim</v>
      </c>
      <c r="AN208" s="3" t="n">
        <v>0.28644</v>
      </c>
      <c r="AO208" s="3" t="n">
        <v>0.158536585</v>
      </c>
      <c r="AP208" s="4" t="n">
        <f aca="false">IF(OR(AN208="",AO208=""),"",IFERROR(IF($K208="%",AO208-AN208,AO208/AN208-1),""))</f>
        <v>-0.127903415</v>
      </c>
      <c r="AQ208" s="5" t="str">
        <f aca="false">IF(OR(AN208="",AO208=""),"",IF($F208="Maior Melhor",IF(AO208&gt;=AN208,"Sim","Não"),IF(AO208&lt;=AN208,"Sim","Não")))</f>
        <v>Sim</v>
      </c>
      <c r="AR208" s="3" t="n">
        <v>0.28644</v>
      </c>
      <c r="AS208" s="3" t="n">
        <v>0.169914738</v>
      </c>
      <c r="AT208" s="4" t="n">
        <f aca="false">IF(OR(AR208="",AS208=""),"",IFERROR(IF($K208="%",AS208-AR208,AS208/AR208-1),""))</f>
        <v>-0.116525262</v>
      </c>
      <c r="AU208" s="5" t="str">
        <f aca="false">IF(OR(AR208="",AS208=""),"",IF($F208="Maior Melhor",IF(AS208&gt;=AR208,"Sim","Não"),IF(AS208&lt;=AR208,"Sim","Não")))</f>
        <v>Sim</v>
      </c>
      <c r="AV208" s="3" t="n">
        <v>0.3</v>
      </c>
      <c r="AW208" s="3" t="n">
        <v>0.146214099</v>
      </c>
      <c r="AX208" s="4" t="n">
        <f aca="false">IF(OR(AV208="",AW208=""),"",IFERROR(IF($K208="%",AW208-AV208,AW208/AV208-1),""))</f>
        <v>-0.153785901</v>
      </c>
      <c r="AY208" s="5" t="str">
        <f aca="false">IF(OR(AV208="",AW208=""),"",IF($F208="Maior Melhor",IF(AW208&gt;=AV208,"Sim","Não"),IF(AW208&lt;=AV208,"Sim","Não")))</f>
        <v>Sim</v>
      </c>
      <c r="AZ208" s="3" t="n">
        <v>0.3</v>
      </c>
      <c r="BA208" s="3" t="n">
        <v>0.146214099</v>
      </c>
      <c r="BB208" s="4" t="n">
        <f aca="false">IF(OR(AZ208="",BA208=""),"",IFERROR(IF($K208="%",BA208-AZ208,BA208/AZ208-1),""))</f>
        <v>-0.153785901</v>
      </c>
      <c r="BC208" s="5" t="str">
        <f aca="false">IF(OR(AZ208="",BA208=""),"",IF($F208="Maior Melhor",IF(BA208&gt;=AZ208,"Sim","Não"),IF(BA208&lt;=AZ208,"Sim","Não")))</f>
        <v>Sim</v>
      </c>
      <c r="BD208" s="3" t="n">
        <v>0.286</v>
      </c>
      <c r="BE208" s="3" t="n">
        <v>0.193</v>
      </c>
      <c r="BF208" s="4" t="n">
        <f aca="false">IF(OR(BD208="",BE208=""),"",IFERROR(IF($K208="%",BE208-BD208,BE208/BD208-1),""))</f>
        <v>-0.093</v>
      </c>
      <c r="BG208" s="5" t="str">
        <f aca="false">IF(OR(BD208="",BE208=""),"",IF($F208="Maior Melhor",IF(BE208&gt;=BD208,"Sim","Não"),IF(BE208&lt;=BD208,"Sim","Não")))</f>
        <v>Sim</v>
      </c>
      <c r="BH208" s="3" t="n">
        <v>0.286</v>
      </c>
      <c r="BI208" s="3" t="n">
        <v>0.17</v>
      </c>
      <c r="BJ208" s="4" t="n">
        <f aca="false">IF(OR(BH208="",BI208=""),"",IFERROR(IF($K208="%",BI208-BH208,BI208/BH208-1),""))</f>
        <v>-0.116</v>
      </c>
      <c r="BK208" s="5" t="str">
        <f aca="false">IF(OR(BH208="",BI208=""),"",IF($F208="Maior Melhor",IF(BI208&gt;=BH208,"Sim","Não"),IF(BI208&lt;=BH208,"Sim","Não")))</f>
        <v>Sim</v>
      </c>
      <c r="BL208" s="6"/>
      <c r="BM208" s="6"/>
      <c r="BN208" s="4" t="str">
        <f aca="false">IF(OR(BL208="",BM208=""),"",IFERROR(IF($K208="%",BM208-BL208,BM208/BL208-1),""))</f>
        <v/>
      </c>
      <c r="BO208" s="5" t="str">
        <f aca="false">IF(OR(BL208="",BM208=""),"",IF($F208="Maior Melhor",IF(BM208&gt;=BL208,"Sim","Não"),IF(BM208&lt;=BL208,"Sim","Não")))</f>
        <v/>
      </c>
      <c r="BP208" s="6"/>
      <c r="BQ208" s="6"/>
      <c r="BR208" s="4" t="str">
        <f aca="false">IF(OR(BP208="",BQ208=""),"",IFERROR(IF($K208="%",BQ208-BP208,BQ208/BP208-1),""))</f>
        <v/>
      </c>
      <c r="BS208" s="5" t="str">
        <f aca="false">IF(OR(BP208="",BQ208=""),"",IF($F208="Maior Melhor",IF(BQ208&gt;=BP208,"Sim","Não"),IF(BQ208&lt;=BP208,"Sim","Não")))</f>
        <v/>
      </c>
      <c r="BT208" s="6"/>
      <c r="BU208" s="6"/>
      <c r="BV208" s="4" t="str">
        <f aca="false">IF(OR(BT208="",BU208=""),"",IFERROR(IF($K208="%",BU208-BT208,BU208/BT208-1),""))</f>
        <v/>
      </c>
      <c r="BW208" s="5" t="str">
        <f aca="false">IF(OR(BT208="",BU208=""),"",IF($F208="Maior Melhor",IF(BU208&gt;=BT208,"Sim","Não"),IF(BU208&lt;=BT208,"Sim","Não")))</f>
        <v/>
      </c>
      <c r="BX208" s="6"/>
      <c r="BY208" s="6"/>
      <c r="BZ208" s="4" t="str">
        <f aca="false">IF(OR(BX208="",BY208=""),"",IFERROR(IF($K208="%",BY208-BX208,BY208/BX208-1),""))</f>
        <v/>
      </c>
      <c r="CA208" s="5" t="str">
        <f aca="false">IF(OR(BX208="",BY208=""),"",IF($F208="Maior Melhor",IF(BY208&gt;=BX208,"Sim","Não"),IF(BY208&lt;=BX208,"Sim","Não")))</f>
        <v/>
      </c>
      <c r="CB208" s="6"/>
      <c r="CC208" s="6"/>
      <c r="CD208" s="4" t="str">
        <f aca="false">IF(OR(CB208="",CC208=""),"",IFERROR(IF($K208="%",CC208-CB208,CC208/CB208-1),""))</f>
        <v/>
      </c>
      <c r="CE208" s="5" t="str">
        <f aca="false">IF(OR(CB208="",CC208=""),"",IF($F208="Maior Melhor",IF(CC208&gt;=CB208,"Sim","Não"),IF(CC208&lt;=CB208,"Sim","Não")))</f>
        <v/>
      </c>
      <c r="CF208" s="6"/>
      <c r="CG208" s="6"/>
      <c r="CH208" s="4" t="str">
        <f aca="false">IF(OR(CF208="",CG208=""),"",IFERROR(IF($K208="%",CG208-CF208,CG208/CF208-1),""))</f>
        <v/>
      </c>
      <c r="CI208" s="5" t="str">
        <f aca="false">IF(OR(CF208="",CG208=""),"",IF($F208="Maior Melhor",IF(CG208&gt;=CF208,"Sim","Não"),IF(CG208&lt;=CF208,"Sim","Não")))</f>
        <v/>
      </c>
      <c r="CJ208" s="6"/>
      <c r="CK208" s="6"/>
      <c r="CL208" s="4" t="str">
        <f aca="false">IF(OR(CJ208="",CK208=""),"",IFERROR(IF($K208="%",CK208-CJ208,CK208/CJ208-1),""))</f>
        <v/>
      </c>
      <c r="CM208" s="5" t="str">
        <f aca="false">IF(OR(CJ208="",CK208=""),"",IF($F208="Maior Melhor",IF(CK208&gt;=CJ208,"Sim","Não"),IF(CK208&lt;=CJ208,"Sim","Não")))</f>
        <v/>
      </c>
      <c r="CN208" s="6"/>
      <c r="CO208" s="6"/>
      <c r="CP208" s="4" t="str">
        <f aca="false">IF(OR(CN208="",CO208=""),"",IFERROR(IF($K208="%",CO208-CN208,CO208/CN208-1),""))</f>
        <v/>
      </c>
      <c r="CQ208" s="5" t="str">
        <f aca="false">IF(OR(CN208="",CO208=""),"",IF($F208="Maior Melhor",IF(CO208&gt;=CN208,"Sim","Não"),IF(CO208&lt;=CN208,"Sim","Não")))</f>
        <v/>
      </c>
      <c r="CR208" s="2" t="s">
        <v>134</v>
      </c>
    </row>
    <row r="209" customFormat="false" ht="15" hidden="false" customHeight="false" outlineLevel="0" collapsed="false">
      <c r="A209" s="2" t="s">
        <v>96</v>
      </c>
      <c r="B209" s="2" t="s">
        <v>97</v>
      </c>
      <c r="C209" s="2" t="s">
        <v>121</v>
      </c>
      <c r="D209" s="2" t="s">
        <v>179</v>
      </c>
      <c r="E209" s="2" t="str">
        <f aca="false">C209&amp;D209</f>
        <v>UTD IRECÊImprodutividade de notas comercias reguladas (Conexão)</v>
      </c>
      <c r="F209" s="2" t="s">
        <v>167</v>
      </c>
      <c r="G209" s="2" t="s">
        <v>180</v>
      </c>
      <c r="H209" s="2" t="s">
        <v>102</v>
      </c>
      <c r="I209" s="2" t="s">
        <v>169</v>
      </c>
      <c r="J209" s="2" t="n">
        <v>1</v>
      </c>
      <c r="K209" s="2" t="s">
        <v>104</v>
      </c>
      <c r="L209" s="3" t="n">
        <v>0.3097</v>
      </c>
      <c r="M209" s="3" t="n">
        <v>0.2262</v>
      </c>
      <c r="N209" s="4" t="n">
        <f aca="false">IF(OR(L209="",M209=""),"",IFERROR(IF($K209="%",M209-L209,M209/L209-1),""))</f>
        <v>-0.0835</v>
      </c>
      <c r="O209" s="5" t="str">
        <f aca="false">IF(OR(L209="",M209=""),"",IF($F209="Maior Melhor",IF(M209&gt;=L209,"Sim","Não"),IF(M209&lt;=L209,"Sim","Não")))</f>
        <v>Sim</v>
      </c>
      <c r="P209" s="3" t="n">
        <v>0.3097</v>
      </c>
      <c r="Q209" s="3" t="n">
        <v>0.2146</v>
      </c>
      <c r="R209" s="4" t="n">
        <f aca="false">IF(OR(P209="",Q209=""),"",IFERROR(IF($K209="%",Q209-P209,Q209/P209-1),""))</f>
        <v>-0.0951</v>
      </c>
      <c r="S209" s="5" t="str">
        <f aca="false">IF(OR(P209="",Q209=""),"",IF($F209="Maior Melhor",IF(Q209&gt;=P209,"Sim","Não"),IF(Q209&lt;=P209,"Sim","Não")))</f>
        <v>Sim</v>
      </c>
      <c r="T209" s="3" t="n">
        <v>0.3097</v>
      </c>
      <c r="U209" s="3" t="n">
        <v>0.221</v>
      </c>
      <c r="V209" s="4" t="n">
        <f aca="false">IF(OR(T209="",U209=""),"",IFERROR(IF($K209="%",U209-T209,U209/T209-1),""))</f>
        <v>-0.0887</v>
      </c>
      <c r="W209" s="5" t="str">
        <f aca="false">IF(OR(T209="",U209=""),"",IF($F209="Maior Melhor",IF(U209&gt;=T209,"Sim","Não"),IF(U209&lt;=T209,"Sim","Não")))</f>
        <v>Sim</v>
      </c>
      <c r="X209" s="3" t="n">
        <v>0.3097</v>
      </c>
      <c r="Y209" s="3" t="n">
        <v>0.178</v>
      </c>
      <c r="Z209" s="4" t="n">
        <f aca="false">IF(OR(X209="",Y209=""),"",IFERROR(IF($K209="%",Y209-X209,Y209/X209-1),""))</f>
        <v>-0.1317</v>
      </c>
      <c r="AA209" s="5" t="str">
        <f aca="false">IF(OR(X209="",Y209=""),"",IF($F209="Maior Melhor",IF(Y209&gt;=X209,"Sim","Não"),IF(Y209&lt;=X209,"Sim","Não")))</f>
        <v>Sim</v>
      </c>
      <c r="AB209" s="3" t="n">
        <v>0.3097</v>
      </c>
      <c r="AC209" s="3" t="n">
        <v>0.2126</v>
      </c>
      <c r="AD209" s="4" t="n">
        <f aca="false">IF(OR(AB209="",AC209=""),"",IFERROR(IF($K209="%",AC209-AB209,AC209/AB209-1),""))</f>
        <v>-0.0971</v>
      </c>
      <c r="AE209" s="5" t="str">
        <f aca="false">IF(OR(AB209="",AC209=""),"",IF($F209="Maior Melhor",IF(AC209&gt;=AB209,"Sim","Não"),IF(AC209&lt;=AB209,"Sim","Não")))</f>
        <v>Sim</v>
      </c>
      <c r="AF209" s="3" t="n">
        <v>0.30969</v>
      </c>
      <c r="AG209" s="3" t="n">
        <v>0.144</v>
      </c>
      <c r="AH209" s="4" t="n">
        <f aca="false">IF(OR(AF209="",AG209=""),"",IFERROR(IF($K209="%",AG209-AF209,AG209/AF209-1),""))</f>
        <v>-0.16569</v>
      </c>
      <c r="AI209" s="5" t="str">
        <f aca="false">IF(OR(AF209="",AG209=""),"",IF($F209="Maior Melhor",IF(AG209&gt;=AF209,"Sim","Não"),IF(AG209&lt;=AF209,"Sim","Não")))</f>
        <v>Sim</v>
      </c>
      <c r="AJ209" s="3" t="n">
        <v>0.30969</v>
      </c>
      <c r="AK209" s="3" t="n">
        <v>0.205917442</v>
      </c>
      <c r="AL209" s="4" t="n">
        <f aca="false">IF(OR(AJ209="",AK209=""),"",IFERROR(IF($K209="%",AK209-AJ209,AK209/AJ209-1),""))</f>
        <v>-0.103772558</v>
      </c>
      <c r="AM209" s="5" t="str">
        <f aca="false">IF(OR(AJ209="",AK209=""),"",IF($F209="Maior Melhor",IF(AK209&gt;=AJ209,"Sim","Não"),IF(AK209&lt;=AJ209,"Sim","Não")))</f>
        <v>Sim</v>
      </c>
      <c r="AN209" s="3" t="n">
        <v>0.30969</v>
      </c>
      <c r="AO209" s="3" t="n">
        <v>0.223796034</v>
      </c>
      <c r="AP209" s="4" t="n">
        <f aca="false">IF(OR(AN209="",AO209=""),"",IFERROR(IF($K209="%",AO209-AN209,AO209/AN209-1),""))</f>
        <v>-0.085893966</v>
      </c>
      <c r="AQ209" s="5" t="str">
        <f aca="false">IF(OR(AN209="",AO209=""),"",IF($F209="Maior Melhor",IF(AO209&gt;=AN209,"Sim","Não"),IF(AO209&lt;=AN209,"Sim","Não")))</f>
        <v>Sim</v>
      </c>
      <c r="AR209" s="3" t="n">
        <v>0.30969</v>
      </c>
      <c r="AS209" s="3" t="n">
        <v>0.207306338</v>
      </c>
      <c r="AT209" s="4" t="n">
        <f aca="false">IF(OR(AR209="",AS209=""),"",IFERROR(IF($K209="%",AS209-AR209,AS209/AR209-1),""))</f>
        <v>-0.102383662</v>
      </c>
      <c r="AU209" s="5" t="str">
        <f aca="false">IF(OR(AR209="",AS209=""),"",IF($F209="Maior Melhor",IF(AS209&gt;=AR209,"Sim","Não"),IF(AS209&lt;=AR209,"Sim","Não")))</f>
        <v>Sim</v>
      </c>
      <c r="AV209" s="3" t="n">
        <v>0.3</v>
      </c>
      <c r="AW209" s="3" t="n">
        <v>0.255319149</v>
      </c>
      <c r="AX209" s="4" t="n">
        <f aca="false">IF(OR(AV209="",AW209=""),"",IFERROR(IF($K209="%",AW209-AV209,AW209/AV209-1),""))</f>
        <v>-0.044680851</v>
      </c>
      <c r="AY209" s="5" t="str">
        <f aca="false">IF(OR(AV209="",AW209=""),"",IF($F209="Maior Melhor",IF(AW209&gt;=AV209,"Sim","Não"),IF(AW209&lt;=AV209,"Sim","Não")))</f>
        <v>Sim</v>
      </c>
      <c r="AZ209" s="3" t="n">
        <v>0.3</v>
      </c>
      <c r="BA209" s="3" t="n">
        <v>0.255319149</v>
      </c>
      <c r="BB209" s="4" t="n">
        <f aca="false">IF(OR(AZ209="",BA209=""),"",IFERROR(IF($K209="%",BA209-AZ209,BA209/AZ209-1),""))</f>
        <v>-0.044680851</v>
      </c>
      <c r="BC209" s="5" t="str">
        <f aca="false">IF(OR(AZ209="",BA209=""),"",IF($F209="Maior Melhor",IF(BA209&gt;=AZ209,"Sim","Não"),IF(BA209&lt;=AZ209,"Sim","Não")))</f>
        <v>Sim</v>
      </c>
      <c r="BD209" s="3" t="n">
        <v>0.31</v>
      </c>
      <c r="BE209" s="3" t="n">
        <v>0.271</v>
      </c>
      <c r="BF209" s="4" t="n">
        <f aca="false">IF(OR(BD209="",BE209=""),"",IFERROR(IF($K209="%",BE209-BD209,BE209/BD209-1),""))</f>
        <v>-0.039</v>
      </c>
      <c r="BG209" s="5" t="str">
        <f aca="false">IF(OR(BD209="",BE209=""),"",IF($F209="Maior Melhor",IF(BE209&gt;=BD209,"Sim","Não"),IF(BE209&lt;=BD209,"Sim","Não")))</f>
        <v>Sim</v>
      </c>
      <c r="BH209" s="3" t="n">
        <v>0.31</v>
      </c>
      <c r="BI209" s="3" t="n">
        <v>0.227</v>
      </c>
      <c r="BJ209" s="4" t="n">
        <f aca="false">IF(OR(BH209="",BI209=""),"",IFERROR(IF($K209="%",BI209-BH209,BI209/BH209-1),""))</f>
        <v>-0.083</v>
      </c>
      <c r="BK209" s="5" t="str">
        <f aca="false">IF(OR(BH209="",BI209=""),"",IF($F209="Maior Melhor",IF(BI209&gt;=BH209,"Sim","Não"),IF(BI209&lt;=BH209,"Sim","Não")))</f>
        <v>Sim</v>
      </c>
      <c r="BL209" s="6"/>
      <c r="BM209" s="6"/>
      <c r="BN209" s="4" t="str">
        <f aca="false">IF(OR(BL209="",BM209=""),"",IFERROR(IF($K209="%",BM209-BL209,BM209/BL209-1),""))</f>
        <v/>
      </c>
      <c r="BO209" s="5" t="str">
        <f aca="false">IF(OR(BL209="",BM209=""),"",IF($F209="Maior Melhor",IF(BM209&gt;=BL209,"Sim","Não"),IF(BM209&lt;=BL209,"Sim","Não")))</f>
        <v/>
      </c>
      <c r="BP209" s="6"/>
      <c r="BQ209" s="6"/>
      <c r="BR209" s="4" t="str">
        <f aca="false">IF(OR(BP209="",BQ209=""),"",IFERROR(IF($K209="%",BQ209-BP209,BQ209/BP209-1),""))</f>
        <v/>
      </c>
      <c r="BS209" s="5" t="str">
        <f aca="false">IF(OR(BP209="",BQ209=""),"",IF($F209="Maior Melhor",IF(BQ209&gt;=BP209,"Sim","Não"),IF(BQ209&lt;=BP209,"Sim","Não")))</f>
        <v/>
      </c>
      <c r="BT209" s="6"/>
      <c r="BU209" s="6"/>
      <c r="BV209" s="4" t="str">
        <f aca="false">IF(OR(BT209="",BU209=""),"",IFERROR(IF($K209="%",BU209-BT209,BU209/BT209-1),""))</f>
        <v/>
      </c>
      <c r="BW209" s="5" t="str">
        <f aca="false">IF(OR(BT209="",BU209=""),"",IF($F209="Maior Melhor",IF(BU209&gt;=BT209,"Sim","Não"),IF(BU209&lt;=BT209,"Sim","Não")))</f>
        <v/>
      </c>
      <c r="BX209" s="6"/>
      <c r="BY209" s="6"/>
      <c r="BZ209" s="4" t="str">
        <f aca="false">IF(OR(BX209="",BY209=""),"",IFERROR(IF($K209="%",BY209-BX209,BY209/BX209-1),""))</f>
        <v/>
      </c>
      <c r="CA209" s="5" t="str">
        <f aca="false">IF(OR(BX209="",BY209=""),"",IF($F209="Maior Melhor",IF(BY209&gt;=BX209,"Sim","Não"),IF(BY209&lt;=BX209,"Sim","Não")))</f>
        <v/>
      </c>
      <c r="CB209" s="6"/>
      <c r="CC209" s="6"/>
      <c r="CD209" s="4" t="str">
        <f aca="false">IF(OR(CB209="",CC209=""),"",IFERROR(IF($K209="%",CC209-CB209,CC209/CB209-1),""))</f>
        <v/>
      </c>
      <c r="CE209" s="5" t="str">
        <f aca="false">IF(OR(CB209="",CC209=""),"",IF($F209="Maior Melhor",IF(CC209&gt;=CB209,"Sim","Não"),IF(CC209&lt;=CB209,"Sim","Não")))</f>
        <v/>
      </c>
      <c r="CF209" s="6"/>
      <c r="CG209" s="6"/>
      <c r="CH209" s="4" t="str">
        <f aca="false">IF(OR(CF209="",CG209=""),"",IFERROR(IF($K209="%",CG209-CF209,CG209/CF209-1),""))</f>
        <v/>
      </c>
      <c r="CI209" s="5" t="str">
        <f aca="false">IF(OR(CF209="",CG209=""),"",IF($F209="Maior Melhor",IF(CG209&gt;=CF209,"Sim","Não"),IF(CG209&lt;=CF209,"Sim","Não")))</f>
        <v/>
      </c>
      <c r="CJ209" s="6"/>
      <c r="CK209" s="6"/>
      <c r="CL209" s="4" t="str">
        <f aca="false">IF(OR(CJ209="",CK209=""),"",IFERROR(IF($K209="%",CK209-CJ209,CK209/CJ209-1),""))</f>
        <v/>
      </c>
      <c r="CM209" s="5" t="str">
        <f aca="false">IF(OR(CJ209="",CK209=""),"",IF($F209="Maior Melhor",IF(CK209&gt;=CJ209,"Sim","Não"),IF(CK209&lt;=CJ209,"Sim","Não")))</f>
        <v/>
      </c>
      <c r="CN209" s="6"/>
      <c r="CO209" s="6"/>
      <c r="CP209" s="4" t="str">
        <f aca="false">IF(OR(CN209="",CO209=""),"",IFERROR(IF($K209="%",CO209-CN209,CO209/CN209-1),""))</f>
        <v/>
      </c>
      <c r="CQ209" s="5" t="str">
        <f aca="false">IF(OR(CN209="",CO209=""),"",IF($F209="Maior Melhor",IF(CO209&gt;=CN209,"Sim","Não"),IF(CO209&lt;=CN209,"Sim","Não")))</f>
        <v/>
      </c>
      <c r="CR209" s="2" t="s">
        <v>105</v>
      </c>
    </row>
    <row r="210" customFormat="false" ht="15" hidden="false" customHeight="false" outlineLevel="0" collapsed="false">
      <c r="A210" s="2" t="s">
        <v>96</v>
      </c>
      <c r="B210" s="2" t="s">
        <v>97</v>
      </c>
      <c r="C210" s="2" t="s">
        <v>122</v>
      </c>
      <c r="D210" s="2" t="s">
        <v>179</v>
      </c>
      <c r="E210" s="2" t="str">
        <f aca="false">C210&amp;D210</f>
        <v>UTD ITABERABAImprodutividade de notas comercias reguladas (Conexão)</v>
      </c>
      <c r="F210" s="2" t="s">
        <v>167</v>
      </c>
      <c r="G210" s="2" t="s">
        <v>180</v>
      </c>
      <c r="H210" s="2" t="s">
        <v>102</v>
      </c>
      <c r="I210" s="2" t="s">
        <v>169</v>
      </c>
      <c r="J210" s="2" t="n">
        <v>1</v>
      </c>
      <c r="K210" s="2" t="s">
        <v>104</v>
      </c>
      <c r="L210" s="3" t="n">
        <v>0.2565</v>
      </c>
      <c r="M210" s="3" t="n">
        <v>0.1577</v>
      </c>
      <c r="N210" s="4" t="n">
        <f aca="false">IF(OR(L210="",M210=""),"",IFERROR(IF($K210="%",M210-L210,M210/L210-1),""))</f>
        <v>-0.0988</v>
      </c>
      <c r="O210" s="5" t="str">
        <f aca="false">IF(OR(L210="",M210=""),"",IF($F210="Maior Melhor",IF(M210&gt;=L210,"Sim","Não"),IF(M210&lt;=L210,"Sim","Não")))</f>
        <v>Sim</v>
      </c>
      <c r="P210" s="3" t="n">
        <v>0.2565</v>
      </c>
      <c r="Q210" s="3" t="n">
        <v>0.1459</v>
      </c>
      <c r="R210" s="4" t="n">
        <f aca="false">IF(OR(P210="",Q210=""),"",IFERROR(IF($K210="%",Q210-P210,Q210/P210-1),""))</f>
        <v>-0.1106</v>
      </c>
      <c r="S210" s="5" t="str">
        <f aca="false">IF(OR(P210="",Q210=""),"",IF($F210="Maior Melhor",IF(Q210&gt;=P210,"Sim","Não"),IF(Q210&lt;=P210,"Sim","Não")))</f>
        <v>Sim</v>
      </c>
      <c r="T210" s="3" t="n">
        <v>0.2565</v>
      </c>
      <c r="U210" s="3" t="n">
        <v>0.1262</v>
      </c>
      <c r="V210" s="4" t="n">
        <f aca="false">IF(OR(T210="",U210=""),"",IFERROR(IF($K210="%",U210-T210,U210/T210-1),""))</f>
        <v>-0.1303</v>
      </c>
      <c r="W210" s="5" t="str">
        <f aca="false">IF(OR(T210="",U210=""),"",IF($F210="Maior Melhor",IF(U210&gt;=T210,"Sim","Não"),IF(U210&lt;=T210,"Sim","Não")))</f>
        <v>Sim</v>
      </c>
      <c r="X210" s="3" t="n">
        <v>0.2565</v>
      </c>
      <c r="Y210" s="3" t="n">
        <v>0.1144</v>
      </c>
      <c r="Z210" s="4" t="n">
        <f aca="false">IF(OR(X210="",Y210=""),"",IFERROR(IF($K210="%",Y210-X210,Y210/X210-1),""))</f>
        <v>-0.1421</v>
      </c>
      <c r="AA210" s="5" t="str">
        <f aca="false">IF(OR(X210="",Y210=""),"",IF($F210="Maior Melhor",IF(Y210&gt;=X210,"Sim","Não"),IF(Y210&lt;=X210,"Sim","Não")))</f>
        <v>Sim</v>
      </c>
      <c r="AB210" s="3" t="n">
        <v>0.2565</v>
      </c>
      <c r="AC210" s="3" t="n">
        <v>0.1384</v>
      </c>
      <c r="AD210" s="4" t="n">
        <f aca="false">IF(OR(AB210="",AC210=""),"",IFERROR(IF($K210="%",AC210-AB210,AC210/AB210-1),""))</f>
        <v>-0.1181</v>
      </c>
      <c r="AE210" s="5" t="str">
        <f aca="false">IF(OR(AB210="",AC210=""),"",IF($F210="Maior Melhor",IF(AC210&gt;=AB210,"Sim","Não"),IF(AC210&lt;=AB210,"Sim","Não")))</f>
        <v>Sim</v>
      </c>
      <c r="AF210" s="3" t="n">
        <v>0.2565</v>
      </c>
      <c r="AG210" s="3" t="n">
        <v>0.133928571</v>
      </c>
      <c r="AH210" s="4" t="n">
        <f aca="false">IF(OR(AF210="",AG210=""),"",IFERROR(IF($K210="%",AG210-AF210,AG210/AF210-1),""))</f>
        <v>-0.122571429</v>
      </c>
      <c r="AI210" s="5" t="str">
        <f aca="false">IF(OR(AF210="",AG210=""),"",IF($F210="Maior Melhor",IF(AG210&gt;=AF210,"Sim","Não"),IF(AG210&lt;=AF210,"Sim","Não")))</f>
        <v>Sim</v>
      </c>
      <c r="AJ210" s="3" t="n">
        <v>0.2565</v>
      </c>
      <c r="AK210" s="3" t="n">
        <v>0.138700947</v>
      </c>
      <c r="AL210" s="4" t="n">
        <f aca="false">IF(OR(AJ210="",AK210=""),"",IFERROR(IF($K210="%",AK210-AJ210,AK210/AJ210-1),""))</f>
        <v>-0.117799053</v>
      </c>
      <c r="AM210" s="5" t="str">
        <f aca="false">IF(OR(AJ210="",AK210=""),"",IF($F210="Maior Melhor",IF(AK210&gt;=AJ210,"Sim","Não"),IF(AK210&lt;=AJ210,"Sim","Não")))</f>
        <v>Sim</v>
      </c>
      <c r="AN210" s="3" t="n">
        <v>0.2565</v>
      </c>
      <c r="AO210" s="3" t="n">
        <v>0.268292683</v>
      </c>
      <c r="AP210" s="4" t="n">
        <f aca="false">IF(OR(AN210="",AO210=""),"",IFERROR(IF($K210="%",AO210-AN210,AO210/AN210-1),""))</f>
        <v>0.011792683</v>
      </c>
      <c r="AQ210" s="5" t="str">
        <f aca="false">IF(OR(AN210="",AO210=""),"",IF($F210="Maior Melhor",IF(AO210&gt;=AN210,"Sim","Não"),IF(AO210&lt;=AN210,"Sim","Não")))</f>
        <v>Não</v>
      </c>
      <c r="AR210" s="3" t="n">
        <v>0.2565</v>
      </c>
      <c r="AS210" s="3" t="n">
        <v>0.148657089</v>
      </c>
      <c r="AT210" s="4" t="n">
        <f aca="false">IF(OR(AR210="",AS210=""),"",IFERROR(IF($K210="%",AS210-AR210,AS210/AR210-1),""))</f>
        <v>-0.107842911</v>
      </c>
      <c r="AU210" s="5" t="str">
        <f aca="false">IF(OR(AR210="",AS210=""),"",IF($F210="Maior Melhor",IF(AS210&gt;=AR210,"Sim","Não"),IF(AS210&lt;=AR210,"Sim","Não")))</f>
        <v>Sim</v>
      </c>
      <c r="AV210" s="3" t="n">
        <v>0.3</v>
      </c>
      <c r="AW210" s="3" t="n">
        <v>0.317518248</v>
      </c>
      <c r="AX210" s="4" t="n">
        <f aca="false">IF(OR(AV210="",AW210=""),"",IFERROR(IF($K210="%",AW210-AV210,AW210/AV210-1),""))</f>
        <v>0.017518248</v>
      </c>
      <c r="AY210" s="5" t="str">
        <f aca="false">IF(OR(AV210="",AW210=""),"",IF($F210="Maior Melhor",IF(AW210&gt;=AV210,"Sim","Não"),IF(AW210&lt;=AV210,"Sim","Não")))</f>
        <v>Não</v>
      </c>
      <c r="AZ210" s="3" t="n">
        <v>0.3</v>
      </c>
      <c r="BA210" s="3" t="n">
        <v>0.317518248</v>
      </c>
      <c r="BB210" s="4" t="n">
        <f aca="false">IF(OR(AZ210="",BA210=""),"",IFERROR(IF($K210="%",BA210-AZ210,BA210/AZ210-1),""))</f>
        <v>0.017518248</v>
      </c>
      <c r="BC210" s="5" t="str">
        <f aca="false">IF(OR(AZ210="",BA210=""),"",IF($F210="Maior Melhor",IF(BA210&gt;=AZ210,"Sim","Não"),IF(BA210&lt;=AZ210,"Sim","Não")))</f>
        <v>Não</v>
      </c>
      <c r="BD210" s="3" t="n">
        <v>0.257</v>
      </c>
      <c r="BE210" s="3" t="n">
        <v>0.263</v>
      </c>
      <c r="BF210" s="4" t="n">
        <f aca="false">IF(OR(BD210="",BE210=""),"",IFERROR(IF($K210="%",BE210-BD210,BE210/BD210-1),""))</f>
        <v>0.00600000000000001</v>
      </c>
      <c r="BG210" s="5" t="str">
        <f aca="false">IF(OR(BD210="",BE210=""),"",IF($F210="Maior Melhor",IF(BE210&gt;=BD210,"Sim","Não"),IF(BE210&lt;=BD210,"Sim","Não")))</f>
        <v>Não</v>
      </c>
      <c r="BH210" s="3" t="n">
        <v>0.257</v>
      </c>
      <c r="BI210" s="3" t="n">
        <v>0.205</v>
      </c>
      <c r="BJ210" s="4" t="n">
        <f aca="false">IF(OR(BH210="",BI210=""),"",IFERROR(IF($K210="%",BI210-BH210,BI210/BH210-1),""))</f>
        <v>-0.052</v>
      </c>
      <c r="BK210" s="5" t="str">
        <f aca="false">IF(OR(BH210="",BI210=""),"",IF($F210="Maior Melhor",IF(BI210&gt;=BH210,"Sim","Não"),IF(BI210&lt;=BH210,"Sim","Não")))</f>
        <v>Sim</v>
      </c>
      <c r="BL210" s="6"/>
      <c r="BM210" s="6"/>
      <c r="BN210" s="4" t="str">
        <f aca="false">IF(OR(BL210="",BM210=""),"",IFERROR(IF($K210="%",BM210-BL210,BM210/BL210-1),""))</f>
        <v/>
      </c>
      <c r="BO210" s="5" t="str">
        <f aca="false">IF(OR(BL210="",BM210=""),"",IF($F210="Maior Melhor",IF(BM210&gt;=BL210,"Sim","Não"),IF(BM210&lt;=BL210,"Sim","Não")))</f>
        <v/>
      </c>
      <c r="BP210" s="6"/>
      <c r="BQ210" s="6"/>
      <c r="BR210" s="4" t="str">
        <f aca="false">IF(OR(BP210="",BQ210=""),"",IFERROR(IF($K210="%",BQ210-BP210,BQ210/BP210-1),""))</f>
        <v/>
      </c>
      <c r="BS210" s="5" t="str">
        <f aca="false">IF(OR(BP210="",BQ210=""),"",IF($F210="Maior Melhor",IF(BQ210&gt;=BP210,"Sim","Não"),IF(BQ210&lt;=BP210,"Sim","Não")))</f>
        <v/>
      </c>
      <c r="BT210" s="6"/>
      <c r="BU210" s="6"/>
      <c r="BV210" s="4" t="str">
        <f aca="false">IF(OR(BT210="",BU210=""),"",IFERROR(IF($K210="%",BU210-BT210,BU210/BT210-1),""))</f>
        <v/>
      </c>
      <c r="BW210" s="5" t="str">
        <f aca="false">IF(OR(BT210="",BU210=""),"",IF($F210="Maior Melhor",IF(BU210&gt;=BT210,"Sim","Não"),IF(BU210&lt;=BT210,"Sim","Não")))</f>
        <v/>
      </c>
      <c r="BX210" s="6"/>
      <c r="BY210" s="6"/>
      <c r="BZ210" s="4" t="str">
        <f aca="false">IF(OR(BX210="",BY210=""),"",IFERROR(IF($K210="%",BY210-BX210,BY210/BX210-1),""))</f>
        <v/>
      </c>
      <c r="CA210" s="5" t="str">
        <f aca="false">IF(OR(BX210="",BY210=""),"",IF($F210="Maior Melhor",IF(BY210&gt;=BX210,"Sim","Não"),IF(BY210&lt;=BX210,"Sim","Não")))</f>
        <v/>
      </c>
      <c r="CB210" s="6"/>
      <c r="CC210" s="6"/>
      <c r="CD210" s="4" t="str">
        <f aca="false">IF(OR(CB210="",CC210=""),"",IFERROR(IF($K210="%",CC210-CB210,CC210/CB210-1),""))</f>
        <v/>
      </c>
      <c r="CE210" s="5" t="str">
        <f aca="false">IF(OR(CB210="",CC210=""),"",IF($F210="Maior Melhor",IF(CC210&gt;=CB210,"Sim","Não"),IF(CC210&lt;=CB210,"Sim","Não")))</f>
        <v/>
      </c>
      <c r="CF210" s="6"/>
      <c r="CG210" s="6"/>
      <c r="CH210" s="4" t="str">
        <f aca="false">IF(OR(CF210="",CG210=""),"",IFERROR(IF($K210="%",CG210-CF210,CG210/CF210-1),""))</f>
        <v/>
      </c>
      <c r="CI210" s="5" t="str">
        <f aca="false">IF(OR(CF210="",CG210=""),"",IF($F210="Maior Melhor",IF(CG210&gt;=CF210,"Sim","Não"),IF(CG210&lt;=CF210,"Sim","Não")))</f>
        <v/>
      </c>
      <c r="CJ210" s="6"/>
      <c r="CK210" s="6"/>
      <c r="CL210" s="4" t="str">
        <f aca="false">IF(OR(CJ210="",CK210=""),"",IFERROR(IF($K210="%",CK210-CJ210,CK210/CJ210-1),""))</f>
        <v/>
      </c>
      <c r="CM210" s="5" t="str">
        <f aca="false">IF(OR(CJ210="",CK210=""),"",IF($F210="Maior Melhor",IF(CK210&gt;=CJ210,"Sim","Não"),IF(CK210&lt;=CJ210,"Sim","Não")))</f>
        <v/>
      </c>
      <c r="CN210" s="6"/>
      <c r="CO210" s="6"/>
      <c r="CP210" s="4" t="str">
        <f aca="false">IF(OR(CN210="",CO210=""),"",IFERROR(IF($K210="%",CO210-CN210,CO210/CN210-1),""))</f>
        <v/>
      </c>
      <c r="CQ210" s="5" t="str">
        <f aca="false">IF(OR(CN210="",CO210=""),"",IF($F210="Maior Melhor",IF(CO210&gt;=CN210,"Sim","Não"),IF(CO210&lt;=CN210,"Sim","Não")))</f>
        <v/>
      </c>
      <c r="CR210" s="2" t="s">
        <v>123</v>
      </c>
    </row>
    <row r="211" customFormat="false" ht="15" hidden="false" customHeight="false" outlineLevel="0" collapsed="false">
      <c r="A211" s="2" t="s">
        <v>96</v>
      </c>
      <c r="B211" s="2" t="s">
        <v>108</v>
      </c>
      <c r="C211" s="2" t="s">
        <v>124</v>
      </c>
      <c r="D211" s="2" t="s">
        <v>179</v>
      </c>
      <c r="E211" s="2" t="str">
        <f aca="false">C211&amp;D211</f>
        <v>UTD ITAPETINGAImprodutividade de notas comercias reguladas (Conexão)</v>
      </c>
      <c r="F211" s="2" t="s">
        <v>167</v>
      </c>
      <c r="G211" s="2" t="s">
        <v>180</v>
      </c>
      <c r="H211" s="2" t="s">
        <v>102</v>
      </c>
      <c r="I211" s="2" t="s">
        <v>169</v>
      </c>
      <c r="J211" s="2" t="n">
        <v>1</v>
      </c>
      <c r="K211" s="2" t="s">
        <v>104</v>
      </c>
      <c r="L211" s="3" t="n">
        <v>0.3041</v>
      </c>
      <c r="M211" s="3" t="n">
        <v>0.354</v>
      </c>
      <c r="N211" s="4" t="n">
        <f aca="false">IF(OR(L211="",M211=""),"",IFERROR(IF($K211="%",M211-L211,M211/L211-1),""))</f>
        <v>0.0499</v>
      </c>
      <c r="O211" s="5" t="str">
        <f aca="false">IF(OR(L211="",M211=""),"",IF($F211="Maior Melhor",IF(M211&gt;=L211,"Sim","Não"),IF(M211&lt;=L211,"Sim","Não")))</f>
        <v>Não</v>
      </c>
      <c r="P211" s="3" t="n">
        <v>0.3041</v>
      </c>
      <c r="Q211" s="3" t="n">
        <v>0.2844</v>
      </c>
      <c r="R211" s="4" t="n">
        <f aca="false">IF(OR(P211="",Q211=""),"",IFERROR(IF($K211="%",Q211-P211,Q211/P211-1),""))</f>
        <v>-0.0197</v>
      </c>
      <c r="S211" s="5" t="str">
        <f aca="false">IF(OR(P211="",Q211=""),"",IF($F211="Maior Melhor",IF(Q211&gt;=P211,"Sim","Não"),IF(Q211&lt;=P211,"Sim","Não")))</f>
        <v>Sim</v>
      </c>
      <c r="T211" s="3" t="n">
        <v>0.3041</v>
      </c>
      <c r="U211" s="3" t="n">
        <v>0.213</v>
      </c>
      <c r="V211" s="4" t="n">
        <f aca="false">IF(OR(T211="",U211=""),"",IFERROR(IF($K211="%",U211-T211,U211/T211-1),""))</f>
        <v>-0.0911</v>
      </c>
      <c r="W211" s="5" t="str">
        <f aca="false">IF(OR(T211="",U211=""),"",IF($F211="Maior Melhor",IF(U211&gt;=T211,"Sim","Não"),IF(U211&lt;=T211,"Sim","Não")))</f>
        <v>Sim</v>
      </c>
      <c r="X211" s="3" t="n">
        <v>0.3041</v>
      </c>
      <c r="Y211" s="3" t="n">
        <v>0.2258</v>
      </c>
      <c r="Z211" s="4" t="n">
        <f aca="false">IF(OR(X211="",Y211=""),"",IFERROR(IF($K211="%",Y211-X211,Y211/X211-1),""))</f>
        <v>-0.0783</v>
      </c>
      <c r="AA211" s="5" t="str">
        <f aca="false">IF(OR(X211="",Y211=""),"",IF($F211="Maior Melhor",IF(Y211&gt;=X211,"Sim","Não"),IF(Y211&lt;=X211,"Sim","Não")))</f>
        <v>Sim</v>
      </c>
      <c r="AB211" s="3" t="n">
        <v>0.3041</v>
      </c>
      <c r="AC211" s="3" t="n">
        <v>0.2818</v>
      </c>
      <c r="AD211" s="4" t="n">
        <f aca="false">IF(OR(AB211="",AC211=""),"",IFERROR(IF($K211="%",AC211-AB211,AC211/AB211-1),""))</f>
        <v>-0.0223</v>
      </c>
      <c r="AE211" s="5" t="str">
        <f aca="false">IF(OR(AB211="",AC211=""),"",IF($F211="Maior Melhor",IF(AC211&gt;=AB211,"Sim","Não"),IF(AC211&lt;=AB211,"Sim","Não")))</f>
        <v>Sim</v>
      </c>
      <c r="AF211" s="3" t="n">
        <v>0.30411</v>
      </c>
      <c r="AG211" s="3" t="n">
        <v>0.258333333</v>
      </c>
      <c r="AH211" s="4" t="n">
        <f aca="false">IF(OR(AF211="",AG211=""),"",IFERROR(IF($K211="%",AG211-AF211,AG211/AF211-1),""))</f>
        <v>-0.045776667</v>
      </c>
      <c r="AI211" s="5" t="str">
        <f aca="false">IF(OR(AF211="",AG211=""),"",IF($F211="Maior Melhor",IF(AG211&gt;=AF211,"Sim","Não"),IF(AG211&lt;=AF211,"Sim","Não")))</f>
        <v>Sim</v>
      </c>
      <c r="AJ211" s="3" t="n">
        <v>0.30411</v>
      </c>
      <c r="AK211" s="3" t="n">
        <v>0.278250304</v>
      </c>
      <c r="AL211" s="4" t="n">
        <f aca="false">IF(OR(AJ211="",AK211=""),"",IFERROR(IF($K211="%",AK211-AJ211,AK211/AJ211-1),""))</f>
        <v>-0.025859696</v>
      </c>
      <c r="AM211" s="5" t="str">
        <f aca="false">IF(OR(AJ211="",AK211=""),"",IF($F211="Maior Melhor",IF(AK211&gt;=AJ211,"Sim","Não"),IF(AK211&lt;=AJ211,"Sim","Não")))</f>
        <v>Sim</v>
      </c>
      <c r="AN211" s="3" t="n">
        <v>0.30411</v>
      </c>
      <c r="AO211" s="3" t="n">
        <v>0.204724409</v>
      </c>
      <c r="AP211" s="4" t="n">
        <f aca="false">IF(OR(AN211="",AO211=""),"",IFERROR(IF($K211="%",AO211-AN211,AO211/AN211-1),""))</f>
        <v>-0.099385591</v>
      </c>
      <c r="AQ211" s="5" t="str">
        <f aca="false">IF(OR(AN211="",AO211=""),"",IF($F211="Maior Melhor",IF(AO211&gt;=AN211,"Sim","Não"),IF(AO211&lt;=AN211,"Sim","Não")))</f>
        <v>Sim</v>
      </c>
      <c r="AR211" s="3" t="n">
        <v>0.30411</v>
      </c>
      <c r="AS211" s="3" t="n">
        <v>0.268421053</v>
      </c>
      <c r="AT211" s="4" t="n">
        <f aca="false">IF(OR(AR211="",AS211=""),"",IFERROR(IF($K211="%",AS211-AR211,AS211/AR211-1),""))</f>
        <v>-0.035688947</v>
      </c>
      <c r="AU211" s="5" t="str">
        <f aca="false">IF(OR(AR211="",AS211=""),"",IF($F211="Maior Melhor",IF(AS211&gt;=AR211,"Sim","Não"),IF(AS211&lt;=AR211,"Sim","Não")))</f>
        <v>Sim</v>
      </c>
      <c r="AV211" s="3" t="n">
        <v>0.3</v>
      </c>
      <c r="AW211" s="3" t="n">
        <v>0.229257642</v>
      </c>
      <c r="AX211" s="4" t="n">
        <f aca="false">IF(OR(AV211="",AW211=""),"",IFERROR(IF($K211="%",AW211-AV211,AW211/AV211-1),""))</f>
        <v>-0.070742358</v>
      </c>
      <c r="AY211" s="5" t="str">
        <f aca="false">IF(OR(AV211="",AW211=""),"",IF($F211="Maior Melhor",IF(AW211&gt;=AV211,"Sim","Não"),IF(AW211&lt;=AV211,"Sim","Não")))</f>
        <v>Sim</v>
      </c>
      <c r="AZ211" s="3" t="n">
        <v>0.3</v>
      </c>
      <c r="BA211" s="3" t="n">
        <v>0.229257642</v>
      </c>
      <c r="BB211" s="4" t="n">
        <f aca="false">IF(OR(AZ211="",BA211=""),"",IFERROR(IF($K211="%",BA211-AZ211,BA211/AZ211-1),""))</f>
        <v>-0.070742358</v>
      </c>
      <c r="BC211" s="5" t="str">
        <f aca="false">IF(OR(AZ211="",BA211=""),"",IF($F211="Maior Melhor",IF(BA211&gt;=AZ211,"Sim","Não"),IF(BA211&lt;=AZ211,"Sim","Não")))</f>
        <v>Sim</v>
      </c>
      <c r="BD211" s="3" t="n">
        <v>0.304</v>
      </c>
      <c r="BE211" s="3" t="n">
        <v>0.249</v>
      </c>
      <c r="BF211" s="4" t="n">
        <f aca="false">IF(OR(BD211="",BE211=""),"",IFERROR(IF($K211="%",BE211-BD211,BE211/BD211-1),""))</f>
        <v>-0.055</v>
      </c>
      <c r="BG211" s="5" t="str">
        <f aca="false">IF(OR(BD211="",BE211=""),"",IF($F211="Maior Melhor",IF(BE211&gt;=BD211,"Sim","Não"),IF(BE211&lt;=BD211,"Sim","Não")))</f>
        <v>Sim</v>
      </c>
      <c r="BH211" s="3" t="n">
        <v>0.304</v>
      </c>
      <c r="BI211" s="3" t="n">
        <v>0.254</v>
      </c>
      <c r="BJ211" s="4" t="n">
        <f aca="false">IF(OR(BH211="",BI211=""),"",IFERROR(IF($K211="%",BI211-BH211,BI211/BH211-1),""))</f>
        <v>-0.05</v>
      </c>
      <c r="BK211" s="5" t="str">
        <f aca="false">IF(OR(BH211="",BI211=""),"",IF($F211="Maior Melhor",IF(BI211&gt;=BH211,"Sim","Não"),IF(BI211&lt;=BH211,"Sim","Não")))</f>
        <v>Sim</v>
      </c>
      <c r="BL211" s="6"/>
      <c r="BM211" s="6"/>
      <c r="BN211" s="4" t="str">
        <f aca="false">IF(OR(BL211="",BM211=""),"",IFERROR(IF($K211="%",BM211-BL211,BM211/BL211-1),""))</f>
        <v/>
      </c>
      <c r="BO211" s="5" t="str">
        <f aca="false">IF(OR(BL211="",BM211=""),"",IF($F211="Maior Melhor",IF(BM211&gt;=BL211,"Sim","Não"),IF(BM211&lt;=BL211,"Sim","Não")))</f>
        <v/>
      </c>
      <c r="BP211" s="6"/>
      <c r="BQ211" s="6"/>
      <c r="BR211" s="4" t="str">
        <f aca="false">IF(OR(BP211="",BQ211=""),"",IFERROR(IF($K211="%",BQ211-BP211,BQ211/BP211-1),""))</f>
        <v/>
      </c>
      <c r="BS211" s="5" t="str">
        <f aca="false">IF(OR(BP211="",BQ211=""),"",IF($F211="Maior Melhor",IF(BQ211&gt;=BP211,"Sim","Não"),IF(BQ211&lt;=BP211,"Sim","Não")))</f>
        <v/>
      </c>
      <c r="BT211" s="6"/>
      <c r="BU211" s="6"/>
      <c r="BV211" s="4" t="str">
        <f aca="false">IF(OR(BT211="",BU211=""),"",IFERROR(IF($K211="%",BU211-BT211,BU211/BT211-1),""))</f>
        <v/>
      </c>
      <c r="BW211" s="5" t="str">
        <f aca="false">IF(OR(BT211="",BU211=""),"",IF($F211="Maior Melhor",IF(BU211&gt;=BT211,"Sim","Não"),IF(BU211&lt;=BT211,"Sim","Não")))</f>
        <v/>
      </c>
      <c r="BX211" s="6"/>
      <c r="BY211" s="6"/>
      <c r="BZ211" s="4" t="str">
        <f aca="false">IF(OR(BX211="",BY211=""),"",IFERROR(IF($K211="%",BY211-BX211,BY211/BX211-1),""))</f>
        <v/>
      </c>
      <c r="CA211" s="5" t="str">
        <f aca="false">IF(OR(BX211="",BY211=""),"",IF($F211="Maior Melhor",IF(BY211&gt;=BX211,"Sim","Não"),IF(BY211&lt;=BX211,"Sim","Não")))</f>
        <v/>
      </c>
      <c r="CB211" s="6"/>
      <c r="CC211" s="6"/>
      <c r="CD211" s="4" t="str">
        <f aca="false">IF(OR(CB211="",CC211=""),"",IFERROR(IF($K211="%",CC211-CB211,CC211/CB211-1),""))</f>
        <v/>
      </c>
      <c r="CE211" s="5" t="str">
        <f aca="false">IF(OR(CB211="",CC211=""),"",IF($F211="Maior Melhor",IF(CC211&gt;=CB211,"Sim","Não"),IF(CC211&lt;=CB211,"Sim","Não")))</f>
        <v/>
      </c>
      <c r="CF211" s="6"/>
      <c r="CG211" s="6"/>
      <c r="CH211" s="4" t="str">
        <f aca="false">IF(OR(CF211="",CG211=""),"",IFERROR(IF($K211="%",CG211-CF211,CG211/CF211-1),""))</f>
        <v/>
      </c>
      <c r="CI211" s="5" t="str">
        <f aca="false">IF(OR(CF211="",CG211=""),"",IF($F211="Maior Melhor",IF(CG211&gt;=CF211,"Sim","Não"),IF(CG211&lt;=CF211,"Sim","Não")))</f>
        <v/>
      </c>
      <c r="CJ211" s="6"/>
      <c r="CK211" s="6"/>
      <c r="CL211" s="4" t="str">
        <f aca="false">IF(OR(CJ211="",CK211=""),"",IFERROR(IF($K211="%",CK211-CJ211,CK211/CJ211-1),""))</f>
        <v/>
      </c>
      <c r="CM211" s="5" t="str">
        <f aca="false">IF(OR(CJ211="",CK211=""),"",IF($F211="Maior Melhor",IF(CK211&gt;=CJ211,"Sim","Não"),IF(CK211&lt;=CJ211,"Sim","Não")))</f>
        <v/>
      </c>
      <c r="CN211" s="6"/>
      <c r="CO211" s="6"/>
      <c r="CP211" s="4" t="str">
        <f aca="false">IF(OR(CN211="",CO211=""),"",IFERROR(IF($K211="%",CO211-CN211,CO211/CN211-1),""))</f>
        <v/>
      </c>
      <c r="CQ211" s="5" t="str">
        <f aca="false">IF(OR(CN211="",CO211=""),"",IF($F211="Maior Melhor",IF(CO211&gt;=CN211,"Sim","Não"),IF(CO211&lt;=CN211,"Sim","Não")))</f>
        <v/>
      </c>
      <c r="CR211" s="2" t="s">
        <v>105</v>
      </c>
    </row>
    <row r="212" customFormat="false" ht="15" hidden="false" customHeight="false" outlineLevel="0" collapsed="false">
      <c r="A212" s="2" t="s">
        <v>96</v>
      </c>
      <c r="B212" s="2" t="s">
        <v>97</v>
      </c>
      <c r="C212" s="2" t="s">
        <v>125</v>
      </c>
      <c r="D212" s="2" t="s">
        <v>179</v>
      </c>
      <c r="E212" s="2" t="str">
        <f aca="false">C212&amp;D212</f>
        <v>UTD JEQUIÉImprodutividade de notas comercias reguladas (Conexão)</v>
      </c>
      <c r="F212" s="2" t="s">
        <v>167</v>
      </c>
      <c r="G212" s="2" t="s">
        <v>180</v>
      </c>
      <c r="H212" s="2" t="s">
        <v>102</v>
      </c>
      <c r="I212" s="2" t="s">
        <v>169</v>
      </c>
      <c r="J212" s="2" t="n">
        <v>1</v>
      </c>
      <c r="K212" s="2" t="s">
        <v>104</v>
      </c>
      <c r="L212" s="3" t="n">
        <v>0.2613</v>
      </c>
      <c r="M212" s="3" t="n">
        <v>0.2523</v>
      </c>
      <c r="N212" s="4" t="n">
        <f aca="false">IF(OR(L212="",M212=""),"",IFERROR(IF($K212="%",M212-L212,M212/L212-1),""))</f>
        <v>-0.00899999999999995</v>
      </c>
      <c r="O212" s="5" t="str">
        <f aca="false">IF(OR(L212="",M212=""),"",IF($F212="Maior Melhor",IF(M212&gt;=L212,"Sim","Não"),IF(M212&lt;=L212,"Sim","Não")))</f>
        <v>Sim</v>
      </c>
      <c r="P212" s="3" t="n">
        <v>0.2613</v>
      </c>
      <c r="Q212" s="3" t="n">
        <v>0.2212</v>
      </c>
      <c r="R212" s="4" t="n">
        <f aca="false">IF(OR(P212="",Q212=""),"",IFERROR(IF($K212="%",Q212-P212,Q212/P212-1),""))</f>
        <v>-0.0401</v>
      </c>
      <c r="S212" s="5" t="str">
        <f aca="false">IF(OR(P212="",Q212=""),"",IF($F212="Maior Melhor",IF(Q212&gt;=P212,"Sim","Não"),IF(Q212&lt;=P212,"Sim","Não")))</f>
        <v>Sim</v>
      </c>
      <c r="T212" s="3" t="n">
        <v>0.2613</v>
      </c>
      <c r="U212" s="3" t="n">
        <v>0.247</v>
      </c>
      <c r="V212" s="4" t="n">
        <f aca="false">IF(OR(T212="",U212=""),"",IFERROR(IF($K212="%",U212-T212,U212/T212-1),""))</f>
        <v>-0.0143</v>
      </c>
      <c r="W212" s="5" t="str">
        <f aca="false">IF(OR(T212="",U212=""),"",IF($F212="Maior Melhor",IF(U212&gt;=T212,"Sim","Não"),IF(U212&lt;=T212,"Sim","Não")))</f>
        <v>Sim</v>
      </c>
      <c r="X212" s="3" t="n">
        <v>0.2613</v>
      </c>
      <c r="Y212" s="3" t="n">
        <v>0.1558</v>
      </c>
      <c r="Z212" s="4" t="n">
        <f aca="false">IF(OR(X212="",Y212=""),"",IFERROR(IF($K212="%",Y212-X212,Y212/X212-1),""))</f>
        <v>-0.1055</v>
      </c>
      <c r="AA212" s="5" t="str">
        <f aca="false">IF(OR(X212="",Y212=""),"",IF($F212="Maior Melhor",IF(Y212&gt;=X212,"Sim","Não"),IF(Y212&lt;=X212,"Sim","Não")))</f>
        <v>Sim</v>
      </c>
      <c r="AB212" s="3" t="n">
        <v>0.2613</v>
      </c>
      <c r="AC212" s="3" t="n">
        <v>0.2225</v>
      </c>
      <c r="AD212" s="4" t="n">
        <f aca="false">IF(OR(AB212="",AC212=""),"",IFERROR(IF($K212="%",AC212-AB212,AC212/AB212-1),""))</f>
        <v>-0.0388</v>
      </c>
      <c r="AE212" s="5" t="str">
        <f aca="false">IF(OR(AB212="",AC212=""),"",IF($F212="Maior Melhor",IF(AC212&gt;=AB212,"Sim","Não"),IF(AC212&lt;=AB212,"Sim","Não")))</f>
        <v>Sim</v>
      </c>
      <c r="AF212" s="3" t="n">
        <v>0.26125</v>
      </c>
      <c r="AG212" s="3" t="n">
        <v>0.217391304</v>
      </c>
      <c r="AH212" s="4" t="n">
        <f aca="false">IF(OR(AF212="",AG212=""),"",IFERROR(IF($K212="%",AG212-AF212,AG212/AF212-1),""))</f>
        <v>-0.043858696</v>
      </c>
      <c r="AI212" s="5" t="str">
        <f aca="false">IF(OR(AF212="",AG212=""),"",IF($F212="Maior Melhor",IF(AG212&gt;=AF212,"Sim","Não"),IF(AG212&lt;=AF212,"Sim","Não")))</f>
        <v>Sim</v>
      </c>
      <c r="AJ212" s="3" t="n">
        <v>0.26125</v>
      </c>
      <c r="AK212" s="3" t="n">
        <v>0.21720162</v>
      </c>
      <c r="AL212" s="4" t="n">
        <f aca="false">IF(OR(AJ212="",AK212=""),"",IFERROR(IF($K212="%",AK212-AJ212,AK212/AJ212-1),""))</f>
        <v>-0.04404838</v>
      </c>
      <c r="AM212" s="5" t="str">
        <f aca="false">IF(OR(AJ212="",AK212=""),"",IF($F212="Maior Melhor",IF(AK212&gt;=AJ212,"Sim","Não"),IF(AK212&lt;=AJ212,"Sim","Não")))</f>
        <v>Sim</v>
      </c>
      <c r="AN212" s="3" t="n">
        <v>0.26125</v>
      </c>
      <c r="AO212" s="3" t="n">
        <v>0.180645161</v>
      </c>
      <c r="AP212" s="4" t="n">
        <f aca="false">IF(OR(AN212="",AO212=""),"",IFERROR(IF($K212="%",AO212-AN212,AO212/AN212-1),""))</f>
        <v>-0.080604839</v>
      </c>
      <c r="AQ212" s="5" t="str">
        <f aca="false">IF(OR(AN212="",AO212=""),"",IF($F212="Maior Melhor",IF(AO212&gt;=AN212,"Sim","Não"),IF(AO212&lt;=AN212,"Sim","Não")))</f>
        <v>Sim</v>
      </c>
      <c r="AR212" s="3" t="n">
        <v>0.26125</v>
      </c>
      <c r="AS212" s="3" t="n">
        <v>0.213981245</v>
      </c>
      <c r="AT212" s="4" t="n">
        <f aca="false">IF(OR(AR212="",AS212=""),"",IFERROR(IF($K212="%",AS212-AR212,AS212/AR212-1),""))</f>
        <v>-0.047268755</v>
      </c>
      <c r="AU212" s="5" t="str">
        <f aca="false">IF(OR(AR212="",AS212=""),"",IF($F212="Maior Melhor",IF(AS212&gt;=AR212,"Sim","Não"),IF(AS212&lt;=AR212,"Sim","Não")))</f>
        <v>Sim</v>
      </c>
      <c r="AV212" s="3" t="n">
        <v>0.3</v>
      </c>
      <c r="AW212" s="3" t="n">
        <v>0.24408284</v>
      </c>
      <c r="AX212" s="4" t="n">
        <f aca="false">IF(OR(AV212="",AW212=""),"",IFERROR(IF($K212="%",AW212-AV212,AW212/AV212-1),""))</f>
        <v>-0.05591716</v>
      </c>
      <c r="AY212" s="5" t="str">
        <f aca="false">IF(OR(AV212="",AW212=""),"",IF($F212="Maior Melhor",IF(AW212&gt;=AV212,"Sim","Não"),IF(AW212&lt;=AV212,"Sim","Não")))</f>
        <v>Sim</v>
      </c>
      <c r="AZ212" s="3" t="n">
        <v>0.3</v>
      </c>
      <c r="BA212" s="3" t="n">
        <v>0.24408284</v>
      </c>
      <c r="BB212" s="4" t="n">
        <f aca="false">IF(OR(AZ212="",BA212=""),"",IFERROR(IF($K212="%",BA212-AZ212,BA212/AZ212-1),""))</f>
        <v>-0.05591716</v>
      </c>
      <c r="BC212" s="5" t="str">
        <f aca="false">IF(OR(AZ212="",BA212=""),"",IF($F212="Maior Melhor",IF(BA212&gt;=AZ212,"Sim","Não"),IF(BA212&lt;=AZ212,"Sim","Não")))</f>
        <v>Sim</v>
      </c>
      <c r="BD212" s="3" t="n">
        <v>0.261</v>
      </c>
      <c r="BE212" s="3" t="n">
        <v>0.24</v>
      </c>
      <c r="BF212" s="4" t="n">
        <f aca="false">IF(OR(BD212="",BE212=""),"",IFERROR(IF($K212="%",BE212-BD212,BE212/BD212-1),""))</f>
        <v>-0.021</v>
      </c>
      <c r="BG212" s="5" t="str">
        <f aca="false">IF(OR(BD212="",BE212=""),"",IF($F212="Maior Melhor",IF(BE212&gt;=BD212,"Sim","Não"),IF(BE212&lt;=BD212,"Sim","Não")))</f>
        <v>Sim</v>
      </c>
      <c r="BH212" s="3" t="n">
        <v>0.261</v>
      </c>
      <c r="BI212" s="3" t="n">
        <v>0.222</v>
      </c>
      <c r="BJ212" s="4" t="n">
        <f aca="false">IF(OR(BH212="",BI212=""),"",IFERROR(IF($K212="%",BI212-BH212,BI212/BH212-1),""))</f>
        <v>-0.039</v>
      </c>
      <c r="BK212" s="5" t="str">
        <f aca="false">IF(OR(BH212="",BI212=""),"",IF($F212="Maior Melhor",IF(BI212&gt;=BH212,"Sim","Não"),IF(BI212&lt;=BH212,"Sim","Não")))</f>
        <v>Sim</v>
      </c>
      <c r="BL212" s="6"/>
      <c r="BM212" s="6"/>
      <c r="BN212" s="4" t="str">
        <f aca="false">IF(OR(BL212="",BM212=""),"",IFERROR(IF($K212="%",BM212-BL212,BM212/BL212-1),""))</f>
        <v/>
      </c>
      <c r="BO212" s="5" t="str">
        <f aca="false">IF(OR(BL212="",BM212=""),"",IF($F212="Maior Melhor",IF(BM212&gt;=BL212,"Sim","Não"),IF(BM212&lt;=BL212,"Sim","Não")))</f>
        <v/>
      </c>
      <c r="BP212" s="6"/>
      <c r="BQ212" s="6"/>
      <c r="BR212" s="4" t="str">
        <f aca="false">IF(OR(BP212="",BQ212=""),"",IFERROR(IF($K212="%",BQ212-BP212,BQ212/BP212-1),""))</f>
        <v/>
      </c>
      <c r="BS212" s="5" t="str">
        <f aca="false">IF(OR(BP212="",BQ212=""),"",IF($F212="Maior Melhor",IF(BQ212&gt;=BP212,"Sim","Não"),IF(BQ212&lt;=BP212,"Sim","Não")))</f>
        <v/>
      </c>
      <c r="BT212" s="6"/>
      <c r="BU212" s="6"/>
      <c r="BV212" s="4" t="str">
        <f aca="false">IF(OR(BT212="",BU212=""),"",IFERROR(IF($K212="%",BU212-BT212,BU212/BT212-1),""))</f>
        <v/>
      </c>
      <c r="BW212" s="5" t="str">
        <f aca="false">IF(OR(BT212="",BU212=""),"",IF($F212="Maior Melhor",IF(BU212&gt;=BT212,"Sim","Não"),IF(BU212&lt;=BT212,"Sim","Não")))</f>
        <v/>
      </c>
      <c r="BX212" s="6"/>
      <c r="BY212" s="6"/>
      <c r="BZ212" s="4" t="str">
        <f aca="false">IF(OR(BX212="",BY212=""),"",IFERROR(IF($K212="%",BY212-BX212,BY212/BX212-1),""))</f>
        <v/>
      </c>
      <c r="CA212" s="5" t="str">
        <f aca="false">IF(OR(BX212="",BY212=""),"",IF($F212="Maior Melhor",IF(BY212&gt;=BX212,"Sim","Não"),IF(BY212&lt;=BX212,"Sim","Não")))</f>
        <v/>
      </c>
      <c r="CB212" s="6"/>
      <c r="CC212" s="6"/>
      <c r="CD212" s="4" t="str">
        <f aca="false">IF(OR(CB212="",CC212=""),"",IFERROR(IF($K212="%",CC212-CB212,CC212/CB212-1),""))</f>
        <v/>
      </c>
      <c r="CE212" s="5" t="str">
        <f aca="false">IF(OR(CB212="",CC212=""),"",IF($F212="Maior Melhor",IF(CC212&gt;=CB212,"Sim","Não"),IF(CC212&lt;=CB212,"Sim","Não")))</f>
        <v/>
      </c>
      <c r="CF212" s="6"/>
      <c r="CG212" s="6"/>
      <c r="CH212" s="4" t="str">
        <f aca="false">IF(OR(CF212="",CG212=""),"",IFERROR(IF($K212="%",CG212-CF212,CG212/CF212-1),""))</f>
        <v/>
      </c>
      <c r="CI212" s="5" t="str">
        <f aca="false">IF(OR(CF212="",CG212=""),"",IF($F212="Maior Melhor",IF(CG212&gt;=CF212,"Sim","Não"),IF(CG212&lt;=CF212,"Sim","Não")))</f>
        <v/>
      </c>
      <c r="CJ212" s="6"/>
      <c r="CK212" s="6"/>
      <c r="CL212" s="4" t="str">
        <f aca="false">IF(OR(CJ212="",CK212=""),"",IFERROR(IF($K212="%",CK212-CJ212,CK212/CJ212-1),""))</f>
        <v/>
      </c>
      <c r="CM212" s="5" t="str">
        <f aca="false">IF(OR(CJ212="",CK212=""),"",IF($F212="Maior Melhor",IF(CK212&gt;=CJ212,"Sim","Não"),IF(CK212&lt;=CJ212,"Sim","Não")))</f>
        <v/>
      </c>
      <c r="CN212" s="6"/>
      <c r="CO212" s="6"/>
      <c r="CP212" s="4" t="str">
        <f aca="false">IF(OR(CN212="",CO212=""),"",IFERROR(IF($K212="%",CO212-CN212,CO212/CN212-1),""))</f>
        <v/>
      </c>
      <c r="CQ212" s="5" t="str">
        <f aca="false">IF(OR(CN212="",CO212=""),"",IF($F212="Maior Melhor",IF(CO212&gt;=CN212,"Sim","Não"),IF(CO212&lt;=CN212,"Sim","Não")))</f>
        <v/>
      </c>
      <c r="CR212" s="2" t="s">
        <v>105</v>
      </c>
    </row>
    <row r="213" customFormat="false" ht="15" hidden="false" customHeight="false" outlineLevel="0" collapsed="false">
      <c r="A213" s="2" t="s">
        <v>96</v>
      </c>
      <c r="B213" s="2" t="s">
        <v>97</v>
      </c>
      <c r="C213" s="2" t="s">
        <v>126</v>
      </c>
      <c r="D213" s="2" t="s">
        <v>179</v>
      </c>
      <c r="E213" s="2" t="str">
        <f aca="false">C213&amp;D213</f>
        <v>UTD LIVRAMENTO DE NOSSA SENHORAImprodutividade de notas comercias reguladas (Conexão)</v>
      </c>
      <c r="F213" s="2" t="s">
        <v>167</v>
      </c>
      <c r="G213" s="2" t="s">
        <v>180</v>
      </c>
      <c r="H213" s="2" t="s">
        <v>102</v>
      </c>
      <c r="I213" s="2" t="s">
        <v>169</v>
      </c>
      <c r="J213" s="2" t="n">
        <v>1</v>
      </c>
      <c r="K213" s="2" t="s">
        <v>104</v>
      </c>
      <c r="L213" s="3" t="n">
        <v>0.3393</v>
      </c>
      <c r="M213" s="3" t="n">
        <v>0.3401</v>
      </c>
      <c r="N213" s="4" t="n">
        <f aca="false">IF(OR(L213="",M213=""),"",IFERROR(IF($K213="%",M213-L213,M213/L213-1),""))</f>
        <v>0.000800000000000023</v>
      </c>
      <c r="O213" s="5" t="str">
        <f aca="false">IF(OR(L213="",M213=""),"",IF($F213="Maior Melhor",IF(M213&gt;=L213,"Sim","Não"),IF(M213&lt;=L213,"Sim","Não")))</f>
        <v>Não</v>
      </c>
      <c r="P213" s="3" t="n">
        <v>0.3393</v>
      </c>
      <c r="Q213" s="3" t="n">
        <v>0.2402</v>
      </c>
      <c r="R213" s="4" t="n">
        <f aca="false">IF(OR(P213="",Q213=""),"",IFERROR(IF($K213="%",Q213-P213,Q213/P213-1),""))</f>
        <v>-0.0991</v>
      </c>
      <c r="S213" s="5" t="str">
        <f aca="false">IF(OR(P213="",Q213=""),"",IF($F213="Maior Melhor",IF(Q213&gt;=P213,"Sim","Não"),IF(Q213&lt;=P213,"Sim","Não")))</f>
        <v>Sim</v>
      </c>
      <c r="T213" s="3" t="n">
        <v>0.3393</v>
      </c>
      <c r="U213" s="3" t="n">
        <v>0.2843</v>
      </c>
      <c r="V213" s="4" t="n">
        <f aca="false">IF(OR(T213="",U213=""),"",IFERROR(IF($K213="%",U213-T213,U213/T213-1),""))</f>
        <v>-0.055</v>
      </c>
      <c r="W213" s="5" t="str">
        <f aca="false">IF(OR(T213="",U213=""),"",IF($F213="Maior Melhor",IF(U213&gt;=T213,"Sim","Não"),IF(U213&lt;=T213,"Sim","Não")))</f>
        <v>Sim</v>
      </c>
      <c r="X213" s="3" t="n">
        <v>0.3393</v>
      </c>
      <c r="Y213" s="3" t="n">
        <v>0.2385</v>
      </c>
      <c r="Z213" s="4" t="n">
        <f aca="false">IF(OR(X213="",Y213=""),"",IFERROR(IF($K213="%",Y213-X213,Y213/X213-1),""))</f>
        <v>-0.1008</v>
      </c>
      <c r="AA213" s="5" t="str">
        <f aca="false">IF(OR(X213="",Y213=""),"",IF($F213="Maior Melhor",IF(Y213&gt;=X213,"Sim","Não"),IF(Y213&lt;=X213,"Sim","Não")))</f>
        <v>Sim</v>
      </c>
      <c r="AB213" s="3" t="n">
        <v>0.3393</v>
      </c>
      <c r="AC213" s="3" t="n">
        <v>0.281</v>
      </c>
      <c r="AD213" s="4" t="n">
        <f aca="false">IF(OR(AB213="",AC213=""),"",IFERROR(IF($K213="%",AC213-AB213,AC213/AB213-1),""))</f>
        <v>-0.0583</v>
      </c>
      <c r="AE213" s="5" t="str">
        <f aca="false">IF(OR(AB213="",AC213=""),"",IF($F213="Maior Melhor",IF(AC213&gt;=AB213,"Sim","Não"),IF(AC213&lt;=AB213,"Sim","Não")))</f>
        <v>Sim</v>
      </c>
      <c r="AF213" s="3" t="n">
        <v>0.3393</v>
      </c>
      <c r="AG213" s="3" t="n">
        <v>0.12371134</v>
      </c>
      <c r="AH213" s="4" t="n">
        <f aca="false">IF(OR(AF213="",AG213=""),"",IFERROR(IF($K213="%",AG213-AF213,AG213/AF213-1),""))</f>
        <v>-0.21558866</v>
      </c>
      <c r="AI213" s="5" t="str">
        <f aca="false">IF(OR(AF213="",AG213=""),"",IF($F213="Maior Melhor",IF(AG213&gt;=AF213,"Sim","Não"),IF(AG213&lt;=AF213,"Sim","Não")))</f>
        <v>Sim</v>
      </c>
      <c r="AJ213" s="3" t="n">
        <v>0.3393</v>
      </c>
      <c r="AK213" s="3" t="n">
        <v>0.264948955</v>
      </c>
      <c r="AL213" s="4" t="n">
        <f aca="false">IF(OR(AJ213="",AK213=""),"",IFERROR(IF($K213="%",AK213-AJ213,AK213/AJ213-1),""))</f>
        <v>-0.074351045</v>
      </c>
      <c r="AM213" s="5" t="str">
        <f aca="false">IF(OR(AJ213="",AK213=""),"",IF($F213="Maior Melhor",IF(AK213&gt;=AJ213,"Sim","Não"),IF(AK213&lt;=AJ213,"Sim","Não")))</f>
        <v>Sim</v>
      </c>
      <c r="AN213" s="3" t="n">
        <v>0.3393</v>
      </c>
      <c r="AO213" s="3" t="n">
        <v>0.137168142</v>
      </c>
      <c r="AP213" s="4" t="n">
        <f aca="false">IF(OR(AN213="",AO213=""),"",IFERROR(IF($K213="%",AO213-AN213,AO213/AN213-1),""))</f>
        <v>-0.202131858</v>
      </c>
      <c r="AQ213" s="5" t="str">
        <f aca="false">IF(OR(AN213="",AO213=""),"",IF($F213="Maior Melhor",IF(AO213&gt;=AN213,"Sim","Não"),IF(AO213&lt;=AN213,"Sim","Não")))</f>
        <v>Sim</v>
      </c>
      <c r="AR213" s="3" t="n">
        <v>0.3393</v>
      </c>
      <c r="AS213" s="3" t="n">
        <v>0.252299606</v>
      </c>
      <c r="AT213" s="4" t="n">
        <f aca="false">IF(OR(AR213="",AS213=""),"",IFERROR(IF($K213="%",AS213-AR213,AS213/AR213-1),""))</f>
        <v>-0.087000394</v>
      </c>
      <c r="AU213" s="5" t="str">
        <f aca="false">IF(OR(AR213="",AS213=""),"",IF($F213="Maior Melhor",IF(AS213&gt;=AR213,"Sim","Não"),IF(AS213&lt;=AR213,"Sim","Não")))</f>
        <v>Sim</v>
      </c>
      <c r="AV213" s="3" t="n">
        <v>0.3</v>
      </c>
      <c r="AW213" s="3" t="n">
        <v>0.210769231</v>
      </c>
      <c r="AX213" s="4" t="n">
        <f aca="false">IF(OR(AV213="",AW213=""),"",IFERROR(IF($K213="%",AW213-AV213,AW213/AV213-1),""))</f>
        <v>-0.089230769</v>
      </c>
      <c r="AY213" s="5" t="str">
        <f aca="false">IF(OR(AV213="",AW213=""),"",IF($F213="Maior Melhor",IF(AW213&gt;=AV213,"Sim","Não"),IF(AW213&lt;=AV213,"Sim","Não")))</f>
        <v>Sim</v>
      </c>
      <c r="AZ213" s="3" t="n">
        <v>0.3</v>
      </c>
      <c r="BA213" s="3" t="n">
        <v>0.210769231</v>
      </c>
      <c r="BB213" s="4" t="n">
        <f aca="false">IF(OR(AZ213="",BA213=""),"",IFERROR(IF($K213="%",BA213-AZ213,BA213/AZ213-1),""))</f>
        <v>-0.089230769</v>
      </c>
      <c r="BC213" s="5" t="str">
        <f aca="false">IF(OR(AZ213="",BA213=""),"",IF($F213="Maior Melhor",IF(BA213&gt;=AZ213,"Sim","Não"),IF(BA213&lt;=AZ213,"Sim","Não")))</f>
        <v>Sim</v>
      </c>
      <c r="BD213" s="3" t="n">
        <v>0.339</v>
      </c>
      <c r="BE213" s="3" t="n">
        <v>0.264</v>
      </c>
      <c r="BF213" s="4" t="n">
        <f aca="false">IF(OR(BD213="",BE213=""),"",IFERROR(IF($K213="%",BE213-BD213,BE213/BD213-1),""))</f>
        <v>-0.075</v>
      </c>
      <c r="BG213" s="5" t="str">
        <f aca="false">IF(OR(BD213="",BE213=""),"",IF($F213="Maior Melhor",IF(BE213&gt;=BD213,"Sim","Não"),IF(BE213&lt;=BD213,"Sim","Não")))</f>
        <v>Sim</v>
      </c>
      <c r="BH213" s="3" t="n">
        <v>0.339</v>
      </c>
      <c r="BI213" s="3" t="n">
        <v>0.247</v>
      </c>
      <c r="BJ213" s="4" t="n">
        <f aca="false">IF(OR(BH213="",BI213=""),"",IFERROR(IF($K213="%",BI213-BH213,BI213/BH213-1),""))</f>
        <v>-0.092</v>
      </c>
      <c r="BK213" s="5" t="str">
        <f aca="false">IF(OR(BH213="",BI213=""),"",IF($F213="Maior Melhor",IF(BI213&gt;=BH213,"Sim","Não"),IF(BI213&lt;=BH213,"Sim","Não")))</f>
        <v>Sim</v>
      </c>
      <c r="BL213" s="6"/>
      <c r="BM213" s="6"/>
      <c r="BN213" s="4" t="str">
        <f aca="false">IF(OR(BL213="",BM213=""),"",IFERROR(IF($K213="%",BM213-BL213,BM213/BL213-1),""))</f>
        <v/>
      </c>
      <c r="BO213" s="5" t="str">
        <f aca="false">IF(OR(BL213="",BM213=""),"",IF($F213="Maior Melhor",IF(BM213&gt;=BL213,"Sim","Não"),IF(BM213&lt;=BL213,"Sim","Não")))</f>
        <v/>
      </c>
      <c r="BP213" s="6"/>
      <c r="BQ213" s="6"/>
      <c r="BR213" s="4" t="str">
        <f aca="false">IF(OR(BP213="",BQ213=""),"",IFERROR(IF($K213="%",BQ213-BP213,BQ213/BP213-1),""))</f>
        <v/>
      </c>
      <c r="BS213" s="5" t="str">
        <f aca="false">IF(OR(BP213="",BQ213=""),"",IF($F213="Maior Melhor",IF(BQ213&gt;=BP213,"Sim","Não"),IF(BQ213&lt;=BP213,"Sim","Não")))</f>
        <v/>
      </c>
      <c r="BT213" s="6"/>
      <c r="BU213" s="6"/>
      <c r="BV213" s="4" t="str">
        <f aca="false">IF(OR(BT213="",BU213=""),"",IFERROR(IF($K213="%",BU213-BT213,BU213/BT213-1),""))</f>
        <v/>
      </c>
      <c r="BW213" s="5" t="str">
        <f aca="false">IF(OR(BT213="",BU213=""),"",IF($F213="Maior Melhor",IF(BU213&gt;=BT213,"Sim","Não"),IF(BU213&lt;=BT213,"Sim","Não")))</f>
        <v/>
      </c>
      <c r="BX213" s="6"/>
      <c r="BY213" s="6"/>
      <c r="BZ213" s="4" t="str">
        <f aca="false">IF(OR(BX213="",BY213=""),"",IFERROR(IF($K213="%",BY213-BX213,BY213/BX213-1),""))</f>
        <v/>
      </c>
      <c r="CA213" s="5" t="str">
        <f aca="false">IF(OR(BX213="",BY213=""),"",IF($F213="Maior Melhor",IF(BY213&gt;=BX213,"Sim","Não"),IF(BY213&lt;=BX213,"Sim","Não")))</f>
        <v/>
      </c>
      <c r="CB213" s="6"/>
      <c r="CC213" s="6"/>
      <c r="CD213" s="4" t="str">
        <f aca="false">IF(OR(CB213="",CC213=""),"",IFERROR(IF($K213="%",CC213-CB213,CC213/CB213-1),""))</f>
        <v/>
      </c>
      <c r="CE213" s="5" t="str">
        <f aca="false">IF(OR(CB213="",CC213=""),"",IF($F213="Maior Melhor",IF(CC213&gt;=CB213,"Sim","Não"),IF(CC213&lt;=CB213,"Sim","Não")))</f>
        <v/>
      </c>
      <c r="CF213" s="6"/>
      <c r="CG213" s="6"/>
      <c r="CH213" s="4" t="str">
        <f aca="false">IF(OR(CF213="",CG213=""),"",IFERROR(IF($K213="%",CG213-CF213,CG213/CF213-1),""))</f>
        <v/>
      </c>
      <c r="CI213" s="5" t="str">
        <f aca="false">IF(OR(CF213="",CG213=""),"",IF($F213="Maior Melhor",IF(CG213&gt;=CF213,"Sim","Não"),IF(CG213&lt;=CF213,"Sim","Não")))</f>
        <v/>
      </c>
      <c r="CJ213" s="6"/>
      <c r="CK213" s="6"/>
      <c r="CL213" s="4" t="str">
        <f aca="false">IF(OR(CJ213="",CK213=""),"",IFERROR(IF($K213="%",CK213-CJ213,CK213/CJ213-1),""))</f>
        <v/>
      </c>
      <c r="CM213" s="5" t="str">
        <f aca="false">IF(OR(CJ213="",CK213=""),"",IF($F213="Maior Melhor",IF(CK213&gt;=CJ213,"Sim","Não"),IF(CK213&lt;=CJ213,"Sim","Não")))</f>
        <v/>
      </c>
      <c r="CN213" s="6"/>
      <c r="CO213" s="6"/>
      <c r="CP213" s="4" t="str">
        <f aca="false">IF(OR(CN213="",CO213=""),"",IFERROR(IF($K213="%",CO213-CN213,CO213/CN213-1),""))</f>
        <v/>
      </c>
      <c r="CQ213" s="5" t="str">
        <f aca="false">IF(OR(CN213="",CO213=""),"",IF($F213="Maior Melhor",IF(CO213&gt;=CN213,"Sim","Não"),IF(CO213&lt;=CN213,"Sim","Não")))</f>
        <v/>
      </c>
      <c r="CR213" s="2" t="s">
        <v>105</v>
      </c>
    </row>
    <row r="214" customFormat="false" ht="15" hidden="false" customHeight="false" outlineLevel="0" collapsed="false">
      <c r="A214" s="2" t="s">
        <v>96</v>
      </c>
      <c r="B214" s="2" t="s">
        <v>106</v>
      </c>
      <c r="C214" s="2" t="s">
        <v>127</v>
      </c>
      <c r="D214" s="2" t="s">
        <v>179</v>
      </c>
      <c r="E214" s="2" t="str">
        <f aca="false">C214&amp;D214</f>
        <v>UTD LUIS EDUARDO MAGALHAESImprodutividade de notas comercias reguladas (Conexão)</v>
      </c>
      <c r="F214" s="2" t="s">
        <v>167</v>
      </c>
      <c r="G214" s="2" t="s">
        <v>180</v>
      </c>
      <c r="H214" s="2" t="s">
        <v>102</v>
      </c>
      <c r="I214" s="2" t="s">
        <v>169</v>
      </c>
      <c r="J214" s="2" t="n">
        <v>1</v>
      </c>
      <c r="K214" s="2" t="s">
        <v>104</v>
      </c>
      <c r="L214" s="3" t="n">
        <v>0.3195</v>
      </c>
      <c r="M214" s="3" t="n">
        <v>0.2719</v>
      </c>
      <c r="N214" s="4" t="n">
        <f aca="false">IF(OR(L214="",M214=""),"",IFERROR(IF($K214="%",M214-L214,M214/L214-1),""))</f>
        <v>-0.0476</v>
      </c>
      <c r="O214" s="5" t="str">
        <f aca="false">IF(OR(L214="",M214=""),"",IF($F214="Maior Melhor",IF(M214&gt;=L214,"Sim","Não"),IF(M214&lt;=L214,"Sim","Não")))</f>
        <v>Sim</v>
      </c>
      <c r="P214" s="3" t="n">
        <v>0.3195</v>
      </c>
      <c r="Q214" s="3" t="n">
        <v>0.3466</v>
      </c>
      <c r="R214" s="4" t="n">
        <f aca="false">IF(OR(P214="",Q214=""),"",IFERROR(IF($K214="%",Q214-P214,Q214/P214-1),""))</f>
        <v>0.0271</v>
      </c>
      <c r="S214" s="5" t="str">
        <f aca="false">IF(OR(P214="",Q214=""),"",IF($F214="Maior Melhor",IF(Q214&gt;=P214,"Sim","Não"),IF(Q214&lt;=P214,"Sim","Não")))</f>
        <v>Não</v>
      </c>
      <c r="T214" s="3" t="n">
        <v>0.3195</v>
      </c>
      <c r="U214" s="3" t="n">
        <v>0.3125</v>
      </c>
      <c r="V214" s="4" t="n">
        <f aca="false">IF(OR(T214="",U214=""),"",IFERROR(IF($K214="%",U214-T214,U214/T214-1),""))</f>
        <v>-0.00700000000000001</v>
      </c>
      <c r="W214" s="5" t="str">
        <f aca="false">IF(OR(T214="",U214=""),"",IF($F214="Maior Melhor",IF(U214&gt;=T214,"Sim","Não"),IF(U214&lt;=T214,"Sim","Não")))</f>
        <v>Sim</v>
      </c>
      <c r="X214" s="3" t="n">
        <v>0.3195</v>
      </c>
      <c r="Y214" s="3" t="n">
        <v>0.3176</v>
      </c>
      <c r="Z214" s="4" t="n">
        <f aca="false">IF(OR(X214="",Y214=""),"",IFERROR(IF($K214="%",Y214-X214,Y214/X214-1),""))</f>
        <v>-0.00190000000000001</v>
      </c>
      <c r="AA214" s="5" t="str">
        <f aca="false">IF(OR(X214="",Y214=""),"",IF($F214="Maior Melhor",IF(Y214&gt;=X214,"Sim","Não"),IF(Y214&lt;=X214,"Sim","Não")))</f>
        <v>Sim</v>
      </c>
      <c r="AB214" s="3" t="n">
        <v>0.3195</v>
      </c>
      <c r="AC214" s="3" t="n">
        <v>0.3095</v>
      </c>
      <c r="AD214" s="4" t="n">
        <f aca="false">IF(OR(AB214="",AC214=""),"",IFERROR(IF($K214="%",AC214-AB214,AC214/AB214-1),""))</f>
        <v>-0.01</v>
      </c>
      <c r="AE214" s="5" t="str">
        <f aca="false">IF(OR(AB214="",AC214=""),"",IF($F214="Maior Melhor",IF(AC214&gt;=AB214,"Sim","Não"),IF(AC214&lt;=AB214,"Sim","Não")))</f>
        <v>Sim</v>
      </c>
      <c r="AF214" s="3" t="n">
        <v>0.3195</v>
      </c>
      <c r="AG214" s="3" t="n">
        <v>0.296875</v>
      </c>
      <c r="AH214" s="4" t="n">
        <f aca="false">IF(OR(AF214="",AG214=""),"",IFERROR(IF($K214="%",AG214-AF214,AG214/AF214-1),""))</f>
        <v>-0.022625</v>
      </c>
      <c r="AI214" s="5" t="str">
        <f aca="false">IF(OR(AF214="",AG214=""),"",IF($F214="Maior Melhor",IF(AG214&gt;=AF214,"Sim","Não"),IF(AG214&lt;=AF214,"Sim","Não")))</f>
        <v>Sim</v>
      </c>
      <c r="AJ214" s="3" t="n">
        <v>0.3195</v>
      </c>
      <c r="AK214" s="3" t="n">
        <v>0.307537688</v>
      </c>
      <c r="AL214" s="4" t="n">
        <f aca="false">IF(OR(AJ214="",AK214=""),"",IFERROR(IF($K214="%",AK214-AJ214,AK214/AJ214-1),""))</f>
        <v>-0.011962312</v>
      </c>
      <c r="AM214" s="5" t="str">
        <f aca="false">IF(OR(AJ214="",AK214=""),"",IF($F214="Maior Melhor",IF(AK214&gt;=AJ214,"Sim","Não"),IF(AK214&lt;=AJ214,"Sim","Não")))</f>
        <v>Sim</v>
      </c>
      <c r="AN214" s="3" t="n">
        <v>0.3195</v>
      </c>
      <c r="AO214" s="3" t="n">
        <v>0.27480916</v>
      </c>
      <c r="AP214" s="4" t="n">
        <f aca="false">IF(OR(AN214="",AO214=""),"",IFERROR(IF($K214="%",AO214-AN214,AO214/AN214-1),""))</f>
        <v>-0.04469084</v>
      </c>
      <c r="AQ214" s="5" t="str">
        <f aca="false">IF(OR(AN214="",AO214=""),"",IF($F214="Maior Melhor",IF(AO214&gt;=AN214,"Sim","Não"),IF(AO214&lt;=AN214,"Sim","Não")))</f>
        <v>Sim</v>
      </c>
      <c r="AR214" s="3" t="n">
        <v>0.3195</v>
      </c>
      <c r="AS214" s="3" t="n">
        <v>0.306161746</v>
      </c>
      <c r="AT214" s="4" t="n">
        <f aca="false">IF(OR(AR214="",AS214=""),"",IFERROR(IF($K214="%",AS214-AR214,AS214/AR214-1),""))</f>
        <v>-0.013338254</v>
      </c>
      <c r="AU214" s="5" t="str">
        <f aca="false">IF(OR(AR214="",AS214=""),"",IF($F214="Maior Melhor",IF(AS214&gt;=AR214,"Sim","Não"),IF(AS214&lt;=AR214,"Sim","Não")))</f>
        <v>Sim</v>
      </c>
      <c r="AV214" s="3" t="n">
        <v>0.3</v>
      </c>
      <c r="AW214" s="3" t="n">
        <v>0.354304636</v>
      </c>
      <c r="AX214" s="4" t="n">
        <f aca="false">IF(OR(AV214="",AW214=""),"",IFERROR(IF($K214="%",AW214-AV214,AW214/AV214-1),""))</f>
        <v>0.054304636</v>
      </c>
      <c r="AY214" s="5" t="str">
        <f aca="false">IF(OR(AV214="",AW214=""),"",IF($F214="Maior Melhor",IF(AW214&gt;=AV214,"Sim","Não"),IF(AW214&lt;=AV214,"Sim","Não")))</f>
        <v>Não</v>
      </c>
      <c r="AZ214" s="3" t="n">
        <v>0.3</v>
      </c>
      <c r="BA214" s="3" t="n">
        <v>0.354304636</v>
      </c>
      <c r="BB214" s="4" t="n">
        <f aca="false">IF(OR(AZ214="",BA214=""),"",IFERROR(IF($K214="%",BA214-AZ214,BA214/AZ214-1),""))</f>
        <v>0.054304636</v>
      </c>
      <c r="BC214" s="5" t="str">
        <f aca="false">IF(OR(AZ214="",BA214=""),"",IF($F214="Maior Melhor",IF(BA214&gt;=AZ214,"Sim","Não"),IF(BA214&lt;=AZ214,"Sim","Não")))</f>
        <v>Não</v>
      </c>
      <c r="BD214" s="3" t="n">
        <v>0.32</v>
      </c>
      <c r="BE214" s="3" t="n">
        <v>0.31</v>
      </c>
      <c r="BF214" s="4" t="n">
        <f aca="false">IF(OR(BD214="",BE214=""),"",IFERROR(IF($K214="%",BE214-BD214,BE214/BD214-1),""))</f>
        <v>-0.01</v>
      </c>
      <c r="BG214" s="5" t="str">
        <f aca="false">IF(OR(BD214="",BE214=""),"",IF($F214="Maior Melhor",IF(BE214&gt;=BD214,"Sim","Não"),IF(BE214&lt;=BD214,"Sim","Não")))</f>
        <v>Sim</v>
      </c>
      <c r="BH214" s="3" t="n">
        <v>0.32</v>
      </c>
      <c r="BI214" s="3" t="n">
        <v>0.31</v>
      </c>
      <c r="BJ214" s="4" t="n">
        <f aca="false">IF(OR(BH214="",BI214=""),"",IFERROR(IF($K214="%",BI214-BH214,BI214/BH214-1),""))</f>
        <v>-0.01</v>
      </c>
      <c r="BK214" s="5" t="str">
        <f aca="false">IF(OR(BH214="",BI214=""),"",IF($F214="Maior Melhor",IF(BI214&gt;=BH214,"Sim","Não"),IF(BI214&lt;=BH214,"Sim","Não")))</f>
        <v>Sim</v>
      </c>
      <c r="BL214" s="6"/>
      <c r="BM214" s="6"/>
      <c r="BN214" s="4" t="str">
        <f aca="false">IF(OR(BL214="",BM214=""),"",IFERROR(IF($K214="%",BM214-BL214,BM214/BL214-1),""))</f>
        <v/>
      </c>
      <c r="BO214" s="5" t="str">
        <f aca="false">IF(OR(BL214="",BM214=""),"",IF($F214="Maior Melhor",IF(BM214&gt;=BL214,"Sim","Não"),IF(BM214&lt;=BL214,"Sim","Não")))</f>
        <v/>
      </c>
      <c r="BP214" s="6"/>
      <c r="BQ214" s="6"/>
      <c r="BR214" s="4" t="str">
        <f aca="false">IF(OR(BP214="",BQ214=""),"",IFERROR(IF($K214="%",BQ214-BP214,BQ214/BP214-1),""))</f>
        <v/>
      </c>
      <c r="BS214" s="5" t="str">
        <f aca="false">IF(OR(BP214="",BQ214=""),"",IF($F214="Maior Melhor",IF(BQ214&gt;=BP214,"Sim","Não"),IF(BQ214&lt;=BP214,"Sim","Não")))</f>
        <v/>
      </c>
      <c r="BT214" s="6"/>
      <c r="BU214" s="6"/>
      <c r="BV214" s="4" t="str">
        <f aca="false">IF(OR(BT214="",BU214=""),"",IFERROR(IF($K214="%",BU214-BT214,BU214/BT214-1),""))</f>
        <v/>
      </c>
      <c r="BW214" s="5" t="str">
        <f aca="false">IF(OR(BT214="",BU214=""),"",IF($F214="Maior Melhor",IF(BU214&gt;=BT214,"Sim","Não"),IF(BU214&lt;=BT214,"Sim","Não")))</f>
        <v/>
      </c>
      <c r="BX214" s="6"/>
      <c r="BY214" s="6"/>
      <c r="BZ214" s="4" t="str">
        <f aca="false">IF(OR(BX214="",BY214=""),"",IFERROR(IF($K214="%",BY214-BX214,BY214/BX214-1),""))</f>
        <v/>
      </c>
      <c r="CA214" s="5" t="str">
        <f aca="false">IF(OR(BX214="",BY214=""),"",IF($F214="Maior Melhor",IF(BY214&gt;=BX214,"Sim","Não"),IF(BY214&lt;=BX214,"Sim","Não")))</f>
        <v/>
      </c>
      <c r="CB214" s="6"/>
      <c r="CC214" s="6"/>
      <c r="CD214" s="4" t="str">
        <f aca="false">IF(OR(CB214="",CC214=""),"",IFERROR(IF($K214="%",CC214-CB214,CC214/CB214-1),""))</f>
        <v/>
      </c>
      <c r="CE214" s="5" t="str">
        <f aca="false">IF(OR(CB214="",CC214=""),"",IF($F214="Maior Melhor",IF(CC214&gt;=CB214,"Sim","Não"),IF(CC214&lt;=CB214,"Sim","Não")))</f>
        <v/>
      </c>
      <c r="CF214" s="6"/>
      <c r="CG214" s="6"/>
      <c r="CH214" s="4" t="str">
        <f aca="false">IF(OR(CF214="",CG214=""),"",IFERROR(IF($K214="%",CG214-CF214,CG214/CF214-1),""))</f>
        <v/>
      </c>
      <c r="CI214" s="5" t="str">
        <f aca="false">IF(OR(CF214="",CG214=""),"",IF($F214="Maior Melhor",IF(CG214&gt;=CF214,"Sim","Não"),IF(CG214&lt;=CF214,"Sim","Não")))</f>
        <v/>
      </c>
      <c r="CJ214" s="6"/>
      <c r="CK214" s="6"/>
      <c r="CL214" s="4" t="str">
        <f aca="false">IF(OR(CJ214="",CK214=""),"",IFERROR(IF($K214="%",CK214-CJ214,CK214/CJ214-1),""))</f>
        <v/>
      </c>
      <c r="CM214" s="5" t="str">
        <f aca="false">IF(OR(CJ214="",CK214=""),"",IF($F214="Maior Melhor",IF(CK214&gt;=CJ214,"Sim","Não"),IF(CK214&lt;=CJ214,"Sim","Não")))</f>
        <v/>
      </c>
      <c r="CN214" s="6"/>
      <c r="CO214" s="6"/>
      <c r="CP214" s="4" t="str">
        <f aca="false">IF(OR(CN214="",CO214=""),"",IFERROR(IF($K214="%",CO214-CN214,CO214/CN214-1),""))</f>
        <v/>
      </c>
      <c r="CQ214" s="5" t="str">
        <f aca="false">IF(OR(CN214="",CO214=""),"",IF($F214="Maior Melhor",IF(CO214&gt;=CN214,"Sim","Não"),IF(CO214&lt;=CN214,"Sim","Não")))</f>
        <v/>
      </c>
      <c r="CR214" s="2" t="s">
        <v>105</v>
      </c>
    </row>
    <row r="215" customFormat="false" ht="15" hidden="false" customHeight="false" outlineLevel="0" collapsed="false">
      <c r="A215" s="2" t="s">
        <v>96</v>
      </c>
      <c r="B215" s="2" t="s">
        <v>106</v>
      </c>
      <c r="C215" s="2" t="s">
        <v>128</v>
      </c>
      <c r="D215" s="2" t="s">
        <v>179</v>
      </c>
      <c r="E215" s="2" t="str">
        <f aca="false">C215&amp;D215</f>
        <v>UTD SANTA MARIA DA VITORIAImprodutividade de notas comercias reguladas (Conexão)</v>
      </c>
      <c r="F215" s="2" t="s">
        <v>167</v>
      </c>
      <c r="G215" s="2" t="s">
        <v>180</v>
      </c>
      <c r="H215" s="2" t="s">
        <v>102</v>
      </c>
      <c r="I215" s="2" t="s">
        <v>169</v>
      </c>
      <c r="J215" s="2" t="n">
        <v>1</v>
      </c>
      <c r="K215" s="2" t="s">
        <v>104</v>
      </c>
      <c r="L215" s="3" t="n">
        <v>0.2809</v>
      </c>
      <c r="M215" s="3" t="n">
        <v>0.2839</v>
      </c>
      <c r="N215" s="4" t="n">
        <f aca="false">IF(OR(L215="",M215=""),"",IFERROR(IF($K215="%",M215-L215,M215/L215-1),""))</f>
        <v>0.003</v>
      </c>
      <c r="O215" s="5" t="str">
        <f aca="false">IF(OR(L215="",M215=""),"",IF($F215="Maior Melhor",IF(M215&gt;=L215,"Sim","Não"),IF(M215&lt;=L215,"Sim","Não")))</f>
        <v>Não</v>
      </c>
      <c r="P215" s="3" t="n">
        <v>0.2809</v>
      </c>
      <c r="Q215" s="3" t="n">
        <v>0.2382</v>
      </c>
      <c r="R215" s="4" t="n">
        <f aca="false">IF(OR(P215="",Q215=""),"",IFERROR(IF($K215="%",Q215-P215,Q215/P215-1),""))</f>
        <v>-0.0427</v>
      </c>
      <c r="S215" s="5" t="str">
        <f aca="false">IF(OR(P215="",Q215=""),"",IF($F215="Maior Melhor",IF(Q215&gt;=P215,"Sim","Não"),IF(Q215&lt;=P215,"Sim","Não")))</f>
        <v>Sim</v>
      </c>
      <c r="T215" s="3" t="n">
        <v>0.2809</v>
      </c>
      <c r="U215" s="3" t="n">
        <v>0.1994</v>
      </c>
      <c r="V215" s="4" t="n">
        <f aca="false">IF(OR(T215="",U215=""),"",IFERROR(IF($K215="%",U215-T215,U215/T215-1),""))</f>
        <v>-0.0815</v>
      </c>
      <c r="W215" s="5" t="str">
        <f aca="false">IF(OR(T215="",U215=""),"",IF($F215="Maior Melhor",IF(U215&gt;=T215,"Sim","Não"),IF(U215&lt;=T215,"Sim","Não")))</f>
        <v>Sim</v>
      </c>
      <c r="X215" s="3" t="n">
        <v>0.2809</v>
      </c>
      <c r="Y215" s="3" t="n">
        <v>0.1982</v>
      </c>
      <c r="Z215" s="4" t="n">
        <f aca="false">IF(OR(X215="",Y215=""),"",IFERROR(IF($K215="%",Y215-X215,Y215/X215-1),""))</f>
        <v>-0.0827</v>
      </c>
      <c r="AA215" s="5" t="str">
        <f aca="false">IF(OR(X215="",Y215=""),"",IF($F215="Maior Melhor",IF(Y215&gt;=X215,"Sim","Não"),IF(Y215&lt;=X215,"Sim","Não")))</f>
        <v>Sim</v>
      </c>
      <c r="AB215" s="3" t="n">
        <v>0.2809</v>
      </c>
      <c r="AC215" s="3" t="n">
        <v>0.2322</v>
      </c>
      <c r="AD215" s="4" t="n">
        <f aca="false">IF(OR(AB215="",AC215=""),"",IFERROR(IF($K215="%",AC215-AB215,AC215/AB215-1),""))</f>
        <v>-0.0487</v>
      </c>
      <c r="AE215" s="5" t="str">
        <f aca="false">IF(OR(AB215="",AC215=""),"",IF($F215="Maior Melhor",IF(AC215&gt;=AB215,"Sim","Não"),IF(AC215&lt;=AB215,"Sim","Não")))</f>
        <v>Sim</v>
      </c>
      <c r="AF215" s="3" t="n">
        <v>0.28086</v>
      </c>
      <c r="AG215" s="3" t="n">
        <v>0.260869565</v>
      </c>
      <c r="AH215" s="4" t="n">
        <f aca="false">IF(OR(AF215="",AG215=""),"",IFERROR(IF($K215="%",AG215-AF215,AG215/AF215-1),""))</f>
        <v>-0.019990435</v>
      </c>
      <c r="AI215" s="5" t="str">
        <f aca="false">IF(OR(AF215="",AG215=""),"",IF($F215="Maior Melhor",IF(AG215&gt;=AF215,"Sim","Não"),IF(AG215&lt;=AF215,"Sim","Não")))</f>
        <v>Sim</v>
      </c>
      <c r="AJ215" s="3" t="n">
        <v>0.28086</v>
      </c>
      <c r="AK215" s="3" t="n">
        <v>0.233486943</v>
      </c>
      <c r="AL215" s="4" t="n">
        <f aca="false">IF(OR(AJ215="",AK215=""),"",IFERROR(IF($K215="%",AK215-AJ215,AK215/AJ215-1),""))</f>
        <v>-0.047373057</v>
      </c>
      <c r="AM215" s="5" t="str">
        <f aca="false">IF(OR(AJ215="",AK215=""),"",IF($F215="Maior Melhor",IF(AK215&gt;=AJ215,"Sim","Não"),IF(AK215&lt;=AJ215,"Sim","Não")))</f>
        <v>Sim</v>
      </c>
      <c r="AN215" s="3" t="n">
        <v>0.28086</v>
      </c>
      <c r="AO215" s="3" t="n">
        <v>0.217741935</v>
      </c>
      <c r="AP215" s="4" t="n">
        <f aca="false">IF(OR(AN215="",AO215=""),"",IFERROR(IF($K215="%",AO215-AN215,AO215/AN215-1),""))</f>
        <v>-0.063118065</v>
      </c>
      <c r="AQ215" s="5" t="str">
        <f aca="false">IF(OR(AN215="",AO215=""),"",IF($F215="Maior Melhor",IF(AO215&gt;=AN215,"Sim","Não"),IF(AO215&lt;=AN215,"Sim","Não")))</f>
        <v>Sim</v>
      </c>
      <c r="AR215" s="3" t="n">
        <v>0.28086</v>
      </c>
      <c r="AS215" s="3" t="n">
        <v>0.232117812</v>
      </c>
      <c r="AT215" s="4" t="n">
        <f aca="false">IF(OR(AR215="",AS215=""),"",IFERROR(IF($K215="%",AS215-AR215,AS215/AR215-1),""))</f>
        <v>-0.048742188</v>
      </c>
      <c r="AU215" s="5" t="str">
        <f aca="false">IF(OR(AR215="",AS215=""),"",IF($F215="Maior Melhor",IF(AS215&gt;=AR215,"Sim","Não"),IF(AS215&lt;=AR215,"Sim","Não")))</f>
        <v>Sim</v>
      </c>
      <c r="AV215" s="3" t="n">
        <v>0.3</v>
      </c>
      <c r="AW215" s="3" t="n">
        <v>0.227963526</v>
      </c>
      <c r="AX215" s="4" t="n">
        <f aca="false">IF(OR(AV215="",AW215=""),"",IFERROR(IF($K215="%",AW215-AV215,AW215/AV215-1),""))</f>
        <v>-0.072036474</v>
      </c>
      <c r="AY215" s="5" t="str">
        <f aca="false">IF(OR(AV215="",AW215=""),"",IF($F215="Maior Melhor",IF(AW215&gt;=AV215,"Sim","Não"),IF(AW215&lt;=AV215,"Sim","Não")))</f>
        <v>Sim</v>
      </c>
      <c r="AZ215" s="3" t="n">
        <v>0.3</v>
      </c>
      <c r="BA215" s="3" t="n">
        <v>0.227963526</v>
      </c>
      <c r="BB215" s="4" t="n">
        <f aca="false">IF(OR(AZ215="",BA215=""),"",IFERROR(IF($K215="%",BA215-AZ215,BA215/AZ215-1),""))</f>
        <v>-0.072036474</v>
      </c>
      <c r="BC215" s="5" t="str">
        <f aca="false">IF(OR(AZ215="",BA215=""),"",IF($F215="Maior Melhor",IF(BA215&gt;=AZ215,"Sim","Não"),IF(BA215&lt;=AZ215,"Sim","Não")))</f>
        <v>Sim</v>
      </c>
      <c r="BD215" s="3" t="n">
        <v>0.281</v>
      </c>
      <c r="BE215" s="3" t="n">
        <v>0.231</v>
      </c>
      <c r="BF215" s="4" t="n">
        <f aca="false">IF(OR(BD215="",BE215=""),"",IFERROR(IF($K215="%",BE215-BD215,BE215/BD215-1),""))</f>
        <v>-0.05</v>
      </c>
      <c r="BG215" s="5" t="str">
        <f aca="false">IF(OR(BD215="",BE215=""),"",IF($F215="Maior Melhor",IF(BE215&gt;=BD215,"Sim","Não"),IF(BE215&lt;=BD215,"Sim","Não")))</f>
        <v>Sim</v>
      </c>
      <c r="BH215" s="3" t="n">
        <v>0.281</v>
      </c>
      <c r="BI215" s="3" t="n">
        <v>0.231</v>
      </c>
      <c r="BJ215" s="4" t="n">
        <f aca="false">IF(OR(BH215="",BI215=""),"",IFERROR(IF($K215="%",BI215-BH215,BI215/BH215-1),""))</f>
        <v>-0.05</v>
      </c>
      <c r="BK215" s="5" t="str">
        <f aca="false">IF(OR(BH215="",BI215=""),"",IF($F215="Maior Melhor",IF(BI215&gt;=BH215,"Sim","Não"),IF(BI215&lt;=BH215,"Sim","Não")))</f>
        <v>Sim</v>
      </c>
      <c r="BL215" s="6"/>
      <c r="BM215" s="6"/>
      <c r="BN215" s="4" t="str">
        <f aca="false">IF(OR(BL215="",BM215=""),"",IFERROR(IF($K215="%",BM215-BL215,BM215/BL215-1),""))</f>
        <v/>
      </c>
      <c r="BO215" s="5" t="str">
        <f aca="false">IF(OR(BL215="",BM215=""),"",IF($F215="Maior Melhor",IF(BM215&gt;=BL215,"Sim","Não"),IF(BM215&lt;=BL215,"Sim","Não")))</f>
        <v/>
      </c>
      <c r="BP215" s="6"/>
      <c r="BQ215" s="6"/>
      <c r="BR215" s="4" t="str">
        <f aca="false">IF(OR(BP215="",BQ215=""),"",IFERROR(IF($K215="%",BQ215-BP215,BQ215/BP215-1),""))</f>
        <v/>
      </c>
      <c r="BS215" s="5" t="str">
        <f aca="false">IF(OR(BP215="",BQ215=""),"",IF($F215="Maior Melhor",IF(BQ215&gt;=BP215,"Sim","Não"),IF(BQ215&lt;=BP215,"Sim","Não")))</f>
        <v/>
      </c>
      <c r="BT215" s="6"/>
      <c r="BU215" s="6"/>
      <c r="BV215" s="4" t="str">
        <f aca="false">IF(OR(BT215="",BU215=""),"",IFERROR(IF($K215="%",BU215-BT215,BU215/BT215-1),""))</f>
        <v/>
      </c>
      <c r="BW215" s="5" t="str">
        <f aca="false">IF(OR(BT215="",BU215=""),"",IF($F215="Maior Melhor",IF(BU215&gt;=BT215,"Sim","Não"),IF(BU215&lt;=BT215,"Sim","Não")))</f>
        <v/>
      </c>
      <c r="BX215" s="6"/>
      <c r="BY215" s="6"/>
      <c r="BZ215" s="4" t="str">
        <f aca="false">IF(OR(BX215="",BY215=""),"",IFERROR(IF($K215="%",BY215-BX215,BY215/BX215-1),""))</f>
        <v/>
      </c>
      <c r="CA215" s="5" t="str">
        <f aca="false">IF(OR(BX215="",BY215=""),"",IF($F215="Maior Melhor",IF(BY215&gt;=BX215,"Sim","Não"),IF(BY215&lt;=BX215,"Sim","Não")))</f>
        <v/>
      </c>
      <c r="CB215" s="6"/>
      <c r="CC215" s="6"/>
      <c r="CD215" s="4" t="str">
        <f aca="false">IF(OR(CB215="",CC215=""),"",IFERROR(IF($K215="%",CC215-CB215,CC215/CB215-1),""))</f>
        <v/>
      </c>
      <c r="CE215" s="5" t="str">
        <f aca="false">IF(OR(CB215="",CC215=""),"",IF($F215="Maior Melhor",IF(CC215&gt;=CB215,"Sim","Não"),IF(CC215&lt;=CB215,"Sim","Não")))</f>
        <v/>
      </c>
      <c r="CF215" s="6"/>
      <c r="CG215" s="6"/>
      <c r="CH215" s="4" t="str">
        <f aca="false">IF(OR(CF215="",CG215=""),"",IFERROR(IF($K215="%",CG215-CF215,CG215/CF215-1),""))</f>
        <v/>
      </c>
      <c r="CI215" s="5" t="str">
        <f aca="false">IF(OR(CF215="",CG215=""),"",IF($F215="Maior Melhor",IF(CG215&gt;=CF215,"Sim","Não"),IF(CG215&lt;=CF215,"Sim","Não")))</f>
        <v/>
      </c>
      <c r="CJ215" s="6"/>
      <c r="CK215" s="6"/>
      <c r="CL215" s="4" t="str">
        <f aca="false">IF(OR(CJ215="",CK215=""),"",IFERROR(IF($K215="%",CK215-CJ215,CK215/CJ215-1),""))</f>
        <v/>
      </c>
      <c r="CM215" s="5" t="str">
        <f aca="false">IF(OR(CJ215="",CK215=""),"",IF($F215="Maior Melhor",IF(CK215&gt;=CJ215,"Sim","Não"),IF(CK215&lt;=CJ215,"Sim","Não")))</f>
        <v/>
      </c>
      <c r="CN215" s="6"/>
      <c r="CO215" s="6"/>
      <c r="CP215" s="4" t="str">
        <f aca="false">IF(OR(CN215="",CO215=""),"",IFERROR(IF($K215="%",CO215-CN215,CO215/CN215-1),""))</f>
        <v/>
      </c>
      <c r="CQ215" s="5" t="str">
        <f aca="false">IF(OR(CN215="",CO215=""),"",IF($F215="Maior Melhor",IF(CO215&gt;=CN215,"Sim","Não"),IF(CO215&lt;=CN215,"Sim","Não")))</f>
        <v/>
      </c>
      <c r="CR215" s="2" t="s">
        <v>165</v>
      </c>
    </row>
    <row r="216" customFormat="false" ht="15" hidden="false" customHeight="false" outlineLevel="0" collapsed="false">
      <c r="A216" s="2" t="s">
        <v>96</v>
      </c>
      <c r="B216" s="2" t="s">
        <v>97</v>
      </c>
      <c r="C216" s="2" t="s">
        <v>130</v>
      </c>
      <c r="D216" s="2" t="s">
        <v>179</v>
      </c>
      <c r="E216" s="2" t="str">
        <f aca="false">C216&amp;D216</f>
        <v>UTD SEABRAImprodutividade de notas comercias reguladas (Conexão)</v>
      </c>
      <c r="F216" s="2" t="s">
        <v>167</v>
      </c>
      <c r="G216" s="2" t="s">
        <v>180</v>
      </c>
      <c r="H216" s="2" t="s">
        <v>102</v>
      </c>
      <c r="I216" s="2" t="s">
        <v>169</v>
      </c>
      <c r="J216" s="2" t="n">
        <v>1</v>
      </c>
      <c r="K216" s="2" t="s">
        <v>104</v>
      </c>
      <c r="L216" s="3" t="n">
        <v>0.2594</v>
      </c>
      <c r="M216" s="3" t="n">
        <v>0.2636</v>
      </c>
      <c r="N216" s="4" t="n">
        <f aca="false">IF(OR(L216="",M216=""),"",IFERROR(IF($K216="%",M216-L216,M216/L216-1),""))</f>
        <v>0.00419999999999998</v>
      </c>
      <c r="O216" s="5" t="str">
        <f aca="false">IF(OR(L216="",M216=""),"",IF($F216="Maior Melhor",IF(M216&gt;=L216,"Sim","Não"),IF(M216&lt;=L216,"Sim","Não")))</f>
        <v>Não</v>
      </c>
      <c r="P216" s="3" t="n">
        <v>0.2594</v>
      </c>
      <c r="Q216" s="3" t="n">
        <v>0.2178</v>
      </c>
      <c r="R216" s="4" t="n">
        <f aca="false">IF(OR(P216="",Q216=""),"",IFERROR(IF($K216="%",Q216-P216,Q216/P216-1),""))</f>
        <v>-0.0416</v>
      </c>
      <c r="S216" s="5" t="str">
        <f aca="false">IF(OR(P216="",Q216=""),"",IF($F216="Maior Melhor",IF(Q216&gt;=P216,"Sim","Não"),IF(Q216&lt;=P216,"Sim","Não")))</f>
        <v>Sim</v>
      </c>
      <c r="T216" s="3" t="n">
        <v>0.2594</v>
      </c>
      <c r="U216" s="3" t="n">
        <v>0.1349</v>
      </c>
      <c r="V216" s="4" t="n">
        <f aca="false">IF(OR(T216="",U216=""),"",IFERROR(IF($K216="%",U216-T216,U216/T216-1),""))</f>
        <v>-0.1245</v>
      </c>
      <c r="W216" s="5" t="str">
        <f aca="false">IF(OR(T216="",U216=""),"",IF($F216="Maior Melhor",IF(U216&gt;=T216,"Sim","Não"),IF(U216&lt;=T216,"Sim","Não")))</f>
        <v>Sim</v>
      </c>
      <c r="X216" s="3" t="n">
        <v>0.2594</v>
      </c>
      <c r="Y216" s="3" t="n">
        <v>0.1071</v>
      </c>
      <c r="Z216" s="4" t="n">
        <f aca="false">IF(OR(X216="",Y216=""),"",IFERROR(IF($K216="%",Y216-X216,Y216/X216-1),""))</f>
        <v>-0.1523</v>
      </c>
      <c r="AA216" s="5" t="str">
        <f aca="false">IF(OR(X216="",Y216=""),"",IF($F216="Maior Melhor",IF(Y216&gt;=X216,"Sim","Não"),IF(Y216&lt;=X216,"Sim","Não")))</f>
        <v>Sim</v>
      </c>
      <c r="AB216" s="3" t="n">
        <v>0.2594</v>
      </c>
      <c r="AC216" s="3" t="n">
        <v>0.1883</v>
      </c>
      <c r="AD216" s="4" t="n">
        <f aca="false">IF(OR(AB216="",AC216=""),"",IFERROR(IF($K216="%",AC216-AB216,AC216/AB216-1),""))</f>
        <v>-0.0711</v>
      </c>
      <c r="AE216" s="5" t="str">
        <f aca="false">IF(OR(AB216="",AC216=""),"",IF($F216="Maior Melhor",IF(AC216&gt;=AB216,"Sim","Não"),IF(AC216&lt;=AB216,"Sim","Não")))</f>
        <v>Sim</v>
      </c>
      <c r="AF216" s="3" t="n">
        <v>0.25935</v>
      </c>
      <c r="AG216" s="3" t="n">
        <v>0.190140845</v>
      </c>
      <c r="AH216" s="4" t="n">
        <f aca="false">IF(OR(AF216="",AG216=""),"",IFERROR(IF($K216="%",AG216-AF216,AG216/AF216-1),""))</f>
        <v>-0.069209155</v>
      </c>
      <c r="AI216" s="5" t="str">
        <f aca="false">IF(OR(AF216="",AG216=""),"",IF($F216="Maior Melhor",IF(AG216&gt;=AF216,"Sim","Não"),IF(AG216&lt;=AF216,"Sim","Não")))</f>
        <v>Sim</v>
      </c>
      <c r="AJ216" s="3" t="n">
        <v>0.25935</v>
      </c>
      <c r="AK216" s="3" t="n">
        <v>0.185784659</v>
      </c>
      <c r="AL216" s="4" t="n">
        <f aca="false">IF(OR(AJ216="",AK216=""),"",IFERROR(IF($K216="%",AK216-AJ216,AK216/AJ216-1),""))</f>
        <v>-0.073565341</v>
      </c>
      <c r="AM216" s="5" t="str">
        <f aca="false">IF(OR(AJ216="",AK216=""),"",IF($F216="Maior Melhor",IF(AK216&gt;=AJ216,"Sim","Não"),IF(AK216&lt;=AJ216,"Sim","Não")))</f>
        <v>Sim</v>
      </c>
      <c r="AN216" s="3" t="n">
        <v>0.25935</v>
      </c>
      <c r="AO216" s="3" t="n">
        <v>0.310344828</v>
      </c>
      <c r="AP216" s="4" t="n">
        <f aca="false">IF(OR(AN216="",AO216=""),"",IFERROR(IF($K216="%",AO216-AN216,AO216/AN216-1),""))</f>
        <v>0.050994828</v>
      </c>
      <c r="AQ216" s="5" t="str">
        <f aca="false">IF(OR(AN216="",AO216=""),"",IF($F216="Maior Melhor",IF(AO216&gt;=AN216,"Sim","Não"),IF(AO216&lt;=AN216,"Sim","Não")))</f>
        <v>Não</v>
      </c>
      <c r="AR216" s="3" t="n">
        <v>0.25935</v>
      </c>
      <c r="AS216" s="3" t="n">
        <v>0.188275862</v>
      </c>
      <c r="AT216" s="4" t="n">
        <f aca="false">IF(OR(AR216="",AS216=""),"",IFERROR(IF($K216="%",AS216-AR216,AS216/AR216-1),""))</f>
        <v>-0.071074138</v>
      </c>
      <c r="AU216" s="5" t="str">
        <f aca="false">IF(OR(AR216="",AS216=""),"",IF($F216="Maior Melhor",IF(AS216&gt;=AR216,"Sim","Não"),IF(AS216&lt;=AR216,"Sim","Não")))</f>
        <v>Sim</v>
      </c>
      <c r="AV216" s="3" t="n">
        <v>0.3</v>
      </c>
      <c r="AW216" s="3" t="n">
        <v>0.254716981</v>
      </c>
      <c r="AX216" s="4" t="n">
        <f aca="false">IF(OR(AV216="",AW216=""),"",IFERROR(IF($K216="%",AW216-AV216,AW216/AV216-1),""))</f>
        <v>-0.045283019</v>
      </c>
      <c r="AY216" s="5" t="str">
        <f aca="false">IF(OR(AV216="",AW216=""),"",IF($F216="Maior Melhor",IF(AW216&gt;=AV216,"Sim","Não"),IF(AW216&lt;=AV216,"Sim","Não")))</f>
        <v>Sim</v>
      </c>
      <c r="AZ216" s="3" t="n">
        <v>0.3</v>
      </c>
      <c r="BA216" s="3" t="n">
        <v>0.254716981</v>
      </c>
      <c r="BB216" s="4" t="n">
        <f aca="false">IF(OR(AZ216="",BA216=""),"",IFERROR(IF($K216="%",BA216-AZ216,BA216/AZ216-1),""))</f>
        <v>-0.045283019</v>
      </c>
      <c r="BC216" s="5" t="str">
        <f aca="false">IF(OR(AZ216="",BA216=""),"",IF($F216="Maior Melhor",IF(BA216&gt;=AZ216,"Sim","Não"),IF(BA216&lt;=AZ216,"Sim","Não")))</f>
        <v>Sim</v>
      </c>
      <c r="BD216" s="3" t="n">
        <v>0.259</v>
      </c>
      <c r="BE216" s="3" t="n">
        <v>0.272</v>
      </c>
      <c r="BF216" s="4" t="n">
        <f aca="false">IF(OR(BD216="",BE216=""),"",IFERROR(IF($K216="%",BE216-BD216,BE216/BD216-1),""))</f>
        <v>0.013</v>
      </c>
      <c r="BG216" s="5" t="str">
        <f aca="false">IF(OR(BD216="",BE216=""),"",IF($F216="Maior Melhor",IF(BE216&gt;=BD216,"Sim","Não"),IF(BE216&lt;=BD216,"Sim","Não")))</f>
        <v>Não</v>
      </c>
      <c r="BH216" s="3" t="n">
        <v>0.259</v>
      </c>
      <c r="BI216" s="3" t="n">
        <v>0.212</v>
      </c>
      <c r="BJ216" s="4" t="n">
        <f aca="false">IF(OR(BH216="",BI216=""),"",IFERROR(IF($K216="%",BI216-BH216,BI216/BH216-1),""))</f>
        <v>-0.047</v>
      </c>
      <c r="BK216" s="5" t="str">
        <f aca="false">IF(OR(BH216="",BI216=""),"",IF($F216="Maior Melhor",IF(BI216&gt;=BH216,"Sim","Não"),IF(BI216&lt;=BH216,"Sim","Não")))</f>
        <v>Sim</v>
      </c>
      <c r="BL216" s="6"/>
      <c r="BM216" s="6"/>
      <c r="BN216" s="4" t="str">
        <f aca="false">IF(OR(BL216="",BM216=""),"",IFERROR(IF($K216="%",BM216-BL216,BM216/BL216-1),""))</f>
        <v/>
      </c>
      <c r="BO216" s="5" t="str">
        <f aca="false">IF(OR(BL216="",BM216=""),"",IF($F216="Maior Melhor",IF(BM216&gt;=BL216,"Sim","Não"),IF(BM216&lt;=BL216,"Sim","Não")))</f>
        <v/>
      </c>
      <c r="BP216" s="6"/>
      <c r="BQ216" s="6"/>
      <c r="BR216" s="4" t="str">
        <f aca="false">IF(OR(BP216="",BQ216=""),"",IFERROR(IF($K216="%",BQ216-BP216,BQ216/BP216-1),""))</f>
        <v/>
      </c>
      <c r="BS216" s="5" t="str">
        <f aca="false">IF(OR(BP216="",BQ216=""),"",IF($F216="Maior Melhor",IF(BQ216&gt;=BP216,"Sim","Não"),IF(BQ216&lt;=BP216,"Sim","Não")))</f>
        <v/>
      </c>
      <c r="BT216" s="6"/>
      <c r="BU216" s="6"/>
      <c r="BV216" s="4" t="str">
        <f aca="false">IF(OR(BT216="",BU216=""),"",IFERROR(IF($K216="%",BU216-BT216,BU216/BT216-1),""))</f>
        <v/>
      </c>
      <c r="BW216" s="5" t="str">
        <f aca="false">IF(OR(BT216="",BU216=""),"",IF($F216="Maior Melhor",IF(BU216&gt;=BT216,"Sim","Não"),IF(BU216&lt;=BT216,"Sim","Não")))</f>
        <v/>
      </c>
      <c r="BX216" s="6"/>
      <c r="BY216" s="6"/>
      <c r="BZ216" s="4" t="str">
        <f aca="false">IF(OR(BX216="",BY216=""),"",IFERROR(IF($K216="%",BY216-BX216,BY216/BX216-1),""))</f>
        <v/>
      </c>
      <c r="CA216" s="5" t="str">
        <f aca="false">IF(OR(BX216="",BY216=""),"",IF($F216="Maior Melhor",IF(BY216&gt;=BX216,"Sim","Não"),IF(BY216&lt;=BX216,"Sim","Não")))</f>
        <v/>
      </c>
      <c r="CB216" s="6"/>
      <c r="CC216" s="6"/>
      <c r="CD216" s="4" t="str">
        <f aca="false">IF(OR(CB216="",CC216=""),"",IFERROR(IF($K216="%",CC216-CB216,CC216/CB216-1),""))</f>
        <v/>
      </c>
      <c r="CE216" s="5" t="str">
        <f aca="false">IF(OR(CB216="",CC216=""),"",IF($F216="Maior Melhor",IF(CC216&gt;=CB216,"Sim","Não"),IF(CC216&lt;=CB216,"Sim","Não")))</f>
        <v/>
      </c>
      <c r="CF216" s="6"/>
      <c r="CG216" s="6"/>
      <c r="CH216" s="4" t="str">
        <f aca="false">IF(OR(CF216="",CG216=""),"",IFERROR(IF($K216="%",CG216-CF216,CG216/CF216-1),""))</f>
        <v/>
      </c>
      <c r="CI216" s="5" t="str">
        <f aca="false">IF(OR(CF216="",CG216=""),"",IF($F216="Maior Melhor",IF(CG216&gt;=CF216,"Sim","Não"),IF(CG216&lt;=CF216,"Sim","Não")))</f>
        <v/>
      </c>
      <c r="CJ216" s="6"/>
      <c r="CK216" s="6"/>
      <c r="CL216" s="4" t="str">
        <f aca="false">IF(OR(CJ216="",CK216=""),"",IFERROR(IF($K216="%",CK216-CJ216,CK216/CJ216-1),""))</f>
        <v/>
      </c>
      <c r="CM216" s="5" t="str">
        <f aca="false">IF(OR(CJ216="",CK216=""),"",IF($F216="Maior Melhor",IF(CK216&gt;=CJ216,"Sim","Não"),IF(CK216&lt;=CJ216,"Sim","Não")))</f>
        <v/>
      </c>
      <c r="CN216" s="6"/>
      <c r="CO216" s="6"/>
      <c r="CP216" s="4" t="str">
        <f aca="false">IF(OR(CN216="",CO216=""),"",IFERROR(IF($K216="%",CO216-CN216,CO216/CN216-1),""))</f>
        <v/>
      </c>
      <c r="CQ216" s="5" t="str">
        <f aca="false">IF(OR(CN216="",CO216=""),"",IF($F216="Maior Melhor",IF(CO216&gt;=CN216,"Sim","Não"),IF(CO216&lt;=CN216,"Sim","Não")))</f>
        <v/>
      </c>
      <c r="CR216" s="2" t="s">
        <v>105</v>
      </c>
    </row>
    <row r="217" customFormat="false" ht="15" hidden="false" customHeight="false" outlineLevel="0" collapsed="false">
      <c r="A217" s="2" t="s">
        <v>96</v>
      </c>
      <c r="B217" s="2" t="s">
        <v>108</v>
      </c>
      <c r="C217" s="2" t="s">
        <v>131</v>
      </c>
      <c r="D217" s="2" t="s">
        <v>179</v>
      </c>
      <c r="E217" s="2" t="str">
        <f aca="false">C217&amp;D217</f>
        <v>UTD VITORIA DA CONQUISTAImprodutividade de notas comercias reguladas (Conexão)</v>
      </c>
      <c r="F217" s="2" t="s">
        <v>167</v>
      </c>
      <c r="G217" s="2" t="s">
        <v>180</v>
      </c>
      <c r="H217" s="2" t="s">
        <v>102</v>
      </c>
      <c r="I217" s="2" t="s">
        <v>169</v>
      </c>
      <c r="J217" s="2" t="n">
        <v>1</v>
      </c>
      <c r="K217" s="2" t="s">
        <v>104</v>
      </c>
      <c r="L217" s="3" t="n">
        <v>0.2957</v>
      </c>
      <c r="M217" s="3" t="n">
        <v>0.2693</v>
      </c>
      <c r="N217" s="4" t="n">
        <f aca="false">IF(OR(L217="",M217=""),"",IFERROR(IF($K217="%",M217-L217,M217/L217-1),""))</f>
        <v>-0.0264</v>
      </c>
      <c r="O217" s="5" t="str">
        <f aca="false">IF(OR(L217="",M217=""),"",IF($F217="Maior Melhor",IF(M217&gt;=L217,"Sim","Não"),IF(M217&lt;=L217,"Sim","Não")))</f>
        <v>Sim</v>
      </c>
      <c r="P217" s="3" t="n">
        <v>0.2957</v>
      </c>
      <c r="Q217" s="3" t="n">
        <v>0.2983</v>
      </c>
      <c r="R217" s="4" t="n">
        <f aca="false">IF(OR(P217="",Q217=""),"",IFERROR(IF($K217="%",Q217-P217,Q217/P217-1),""))</f>
        <v>0.00259999999999999</v>
      </c>
      <c r="S217" s="5" t="str">
        <f aca="false">IF(OR(P217="",Q217=""),"",IF($F217="Maior Melhor",IF(Q217&gt;=P217,"Sim","Não"),IF(Q217&lt;=P217,"Sim","Não")))</f>
        <v>Não</v>
      </c>
      <c r="T217" s="3" t="n">
        <v>0.2957</v>
      </c>
      <c r="U217" s="3" t="n">
        <v>0.2933</v>
      </c>
      <c r="V217" s="4" t="n">
        <f aca="false">IF(OR(T217="",U217=""),"",IFERROR(IF($K217="%",U217-T217,U217/T217-1),""))</f>
        <v>-0.00240000000000001</v>
      </c>
      <c r="W217" s="5" t="str">
        <f aca="false">IF(OR(T217="",U217=""),"",IF($F217="Maior Melhor",IF(U217&gt;=T217,"Sim","Não"),IF(U217&lt;=T217,"Sim","Não")))</f>
        <v>Sim</v>
      </c>
      <c r="X217" s="3" t="n">
        <v>0.2957</v>
      </c>
      <c r="Y217" s="3" t="n">
        <v>0.2035</v>
      </c>
      <c r="Z217" s="4" t="n">
        <f aca="false">IF(OR(X217="",Y217=""),"",IFERROR(IF($K217="%",Y217-X217,Y217/X217-1),""))</f>
        <v>-0.0922</v>
      </c>
      <c r="AA217" s="5" t="str">
        <f aca="false">IF(OR(X217="",Y217=""),"",IF($F217="Maior Melhor",IF(Y217&gt;=X217,"Sim","Não"),IF(Y217&lt;=X217,"Sim","Não")))</f>
        <v>Sim</v>
      </c>
      <c r="AB217" s="3" t="n">
        <v>0.2957</v>
      </c>
      <c r="AC217" s="3" t="n">
        <v>0.2719</v>
      </c>
      <c r="AD217" s="4" t="n">
        <f aca="false">IF(OR(AB217="",AC217=""),"",IFERROR(IF($K217="%",AC217-AB217,AC217/AB217-1),""))</f>
        <v>-0.0238</v>
      </c>
      <c r="AE217" s="5" t="str">
        <f aca="false">IF(OR(AB217="",AC217=""),"",IF($F217="Maior Melhor",IF(AC217&gt;=AB217,"Sim","Não"),IF(AC217&lt;=AB217,"Sim","Não")))</f>
        <v>Sim</v>
      </c>
      <c r="AF217" s="3" t="n">
        <v>0.29574</v>
      </c>
      <c r="AG217" s="3" t="n">
        <v>0.194127243</v>
      </c>
      <c r="AH217" s="4" t="n">
        <f aca="false">IF(OR(AF217="",AG217=""),"",IFERROR(IF($K217="%",AG217-AF217,AG217/AF217-1),""))</f>
        <v>-0.101612757</v>
      </c>
      <c r="AI217" s="5" t="str">
        <f aca="false">IF(OR(AF217="",AG217=""),"",IF($F217="Maior Melhor",IF(AG217&gt;=AF217,"Sim","Não"),IF(AG217&lt;=AF217,"Sim","Não")))</f>
        <v>Sim</v>
      </c>
      <c r="AJ217" s="3" t="n">
        <v>0.29574</v>
      </c>
      <c r="AK217" s="3" t="n">
        <v>0.259858287</v>
      </c>
      <c r="AL217" s="4" t="n">
        <f aca="false">IF(OR(AJ217="",AK217=""),"",IFERROR(IF($K217="%",AK217-AJ217,AK217/AJ217-1),""))</f>
        <v>-0.035881713</v>
      </c>
      <c r="AM217" s="5" t="str">
        <f aca="false">IF(OR(AJ217="",AK217=""),"",IF($F217="Maior Melhor",IF(AK217&gt;=AJ217,"Sim","Não"),IF(AK217&lt;=AJ217,"Sim","Não")))</f>
        <v>Sim</v>
      </c>
      <c r="AN217" s="3" t="n">
        <v>0.29574</v>
      </c>
      <c r="AO217" s="3" t="n">
        <v>0.197701149</v>
      </c>
      <c r="AP217" s="4" t="n">
        <f aca="false">IF(OR(AN217="",AO217=""),"",IFERROR(IF($K217="%",AO217-AN217,AO217/AN217-1),""))</f>
        <v>-0.098038851</v>
      </c>
      <c r="AQ217" s="5" t="str">
        <f aca="false">IF(OR(AN217="",AO217=""),"",IF($F217="Maior Melhor",IF(AO217&gt;=AN217,"Sim","Não"),IF(AO217&lt;=AN217,"Sim","Não")))</f>
        <v>Sim</v>
      </c>
      <c r="AR217" s="3" t="n">
        <v>0.29574</v>
      </c>
      <c r="AS217" s="3" t="n">
        <v>0.255954959</v>
      </c>
      <c r="AT217" s="4" t="n">
        <f aca="false">IF(OR(AR217="",AS217=""),"",IFERROR(IF($K217="%",AS217-AR217,AS217/AR217-1),""))</f>
        <v>-0.039785041</v>
      </c>
      <c r="AU217" s="5" t="str">
        <f aca="false">IF(OR(AR217="",AS217=""),"",IF($F217="Maior Melhor",IF(AS217&gt;=AR217,"Sim","Não"),IF(AS217&lt;=AR217,"Sim","Não")))</f>
        <v>Sim</v>
      </c>
      <c r="AV217" s="3" t="n">
        <v>0.3</v>
      </c>
      <c r="AW217" s="3" t="n">
        <v>0.228851964</v>
      </c>
      <c r="AX217" s="4" t="n">
        <f aca="false">IF(OR(AV217="",AW217=""),"",IFERROR(IF($K217="%",AW217-AV217,AW217/AV217-1),""))</f>
        <v>-0.071148036</v>
      </c>
      <c r="AY217" s="5" t="str">
        <f aca="false">IF(OR(AV217="",AW217=""),"",IF($F217="Maior Melhor",IF(AW217&gt;=AV217,"Sim","Não"),IF(AW217&lt;=AV217,"Sim","Não")))</f>
        <v>Sim</v>
      </c>
      <c r="AZ217" s="3" t="n">
        <v>0.3</v>
      </c>
      <c r="BA217" s="3" t="n">
        <v>0.228851964</v>
      </c>
      <c r="BB217" s="4" t="n">
        <f aca="false">IF(OR(AZ217="",BA217=""),"",IFERROR(IF($K217="%",BA217-AZ217,BA217/AZ217-1),""))</f>
        <v>-0.071148036</v>
      </c>
      <c r="BC217" s="5" t="str">
        <f aca="false">IF(OR(AZ217="",BA217=""),"",IF($F217="Maior Melhor",IF(BA217&gt;=AZ217,"Sim","Não"),IF(BA217&lt;=AZ217,"Sim","Não")))</f>
        <v>Sim</v>
      </c>
      <c r="BD217" s="3" t="n">
        <v>0.296</v>
      </c>
      <c r="BE217" s="3" t="n">
        <v>0.262</v>
      </c>
      <c r="BF217" s="4" t="n">
        <f aca="false">IF(OR(BD217="",BE217=""),"",IFERROR(IF($K217="%",BE217-BD217,BE217/BD217-1),""))</f>
        <v>-0.034</v>
      </c>
      <c r="BG217" s="5" t="str">
        <f aca="false">IF(OR(BD217="",BE217=""),"",IF($F217="Maior Melhor",IF(BE217&gt;=BD217,"Sim","Não"),IF(BE217&lt;=BD217,"Sim","Não")))</f>
        <v>Sim</v>
      </c>
      <c r="BH217" s="3" t="n">
        <v>0.296</v>
      </c>
      <c r="BI217" s="3" t="n">
        <v>0.253</v>
      </c>
      <c r="BJ217" s="4" t="n">
        <f aca="false">IF(OR(BH217="",BI217=""),"",IFERROR(IF($K217="%",BI217-BH217,BI217/BH217-1),""))</f>
        <v>-0.043</v>
      </c>
      <c r="BK217" s="5" t="str">
        <f aca="false">IF(OR(BH217="",BI217=""),"",IF($F217="Maior Melhor",IF(BI217&gt;=BH217,"Sim","Não"),IF(BI217&lt;=BH217,"Sim","Não")))</f>
        <v>Sim</v>
      </c>
      <c r="BL217" s="6"/>
      <c r="BM217" s="6"/>
      <c r="BN217" s="4" t="str">
        <f aca="false">IF(OR(BL217="",BM217=""),"",IFERROR(IF($K217="%",BM217-BL217,BM217/BL217-1),""))</f>
        <v/>
      </c>
      <c r="BO217" s="5" t="str">
        <f aca="false">IF(OR(BL217="",BM217=""),"",IF($F217="Maior Melhor",IF(BM217&gt;=BL217,"Sim","Não"),IF(BM217&lt;=BL217,"Sim","Não")))</f>
        <v/>
      </c>
      <c r="BP217" s="6"/>
      <c r="BQ217" s="6"/>
      <c r="BR217" s="4" t="str">
        <f aca="false">IF(OR(BP217="",BQ217=""),"",IFERROR(IF($K217="%",BQ217-BP217,BQ217/BP217-1),""))</f>
        <v/>
      </c>
      <c r="BS217" s="5" t="str">
        <f aca="false">IF(OR(BP217="",BQ217=""),"",IF($F217="Maior Melhor",IF(BQ217&gt;=BP217,"Sim","Não"),IF(BQ217&lt;=BP217,"Sim","Não")))</f>
        <v/>
      </c>
      <c r="BT217" s="6"/>
      <c r="BU217" s="6"/>
      <c r="BV217" s="4" t="str">
        <f aca="false">IF(OR(BT217="",BU217=""),"",IFERROR(IF($K217="%",BU217-BT217,BU217/BT217-1),""))</f>
        <v/>
      </c>
      <c r="BW217" s="5" t="str">
        <f aca="false">IF(OR(BT217="",BU217=""),"",IF($F217="Maior Melhor",IF(BU217&gt;=BT217,"Sim","Não"),IF(BU217&lt;=BT217,"Sim","Não")))</f>
        <v/>
      </c>
      <c r="BX217" s="6"/>
      <c r="BY217" s="6"/>
      <c r="BZ217" s="4" t="str">
        <f aca="false">IF(OR(BX217="",BY217=""),"",IFERROR(IF($K217="%",BY217-BX217,BY217/BX217-1),""))</f>
        <v/>
      </c>
      <c r="CA217" s="5" t="str">
        <f aca="false">IF(OR(BX217="",BY217=""),"",IF($F217="Maior Melhor",IF(BY217&gt;=BX217,"Sim","Não"),IF(BY217&lt;=BX217,"Sim","Não")))</f>
        <v/>
      </c>
      <c r="CB217" s="6"/>
      <c r="CC217" s="6"/>
      <c r="CD217" s="4" t="str">
        <f aca="false">IF(OR(CB217="",CC217=""),"",IFERROR(IF($K217="%",CC217-CB217,CC217/CB217-1),""))</f>
        <v/>
      </c>
      <c r="CE217" s="5" t="str">
        <f aca="false">IF(OR(CB217="",CC217=""),"",IF($F217="Maior Melhor",IF(CC217&gt;=CB217,"Sim","Não"),IF(CC217&lt;=CB217,"Sim","Não")))</f>
        <v/>
      </c>
      <c r="CF217" s="6"/>
      <c r="CG217" s="6"/>
      <c r="CH217" s="4" t="str">
        <f aca="false">IF(OR(CF217="",CG217=""),"",IFERROR(IF($K217="%",CG217-CF217,CG217/CF217-1),""))</f>
        <v/>
      </c>
      <c r="CI217" s="5" t="str">
        <f aca="false">IF(OR(CF217="",CG217=""),"",IF($F217="Maior Melhor",IF(CG217&gt;=CF217,"Sim","Não"),IF(CG217&lt;=CF217,"Sim","Não")))</f>
        <v/>
      </c>
      <c r="CJ217" s="6"/>
      <c r="CK217" s="6"/>
      <c r="CL217" s="4" t="str">
        <f aca="false">IF(OR(CJ217="",CK217=""),"",IFERROR(IF($K217="%",CK217-CJ217,CK217/CJ217-1),""))</f>
        <v/>
      </c>
      <c r="CM217" s="5" t="str">
        <f aca="false">IF(OR(CJ217="",CK217=""),"",IF($F217="Maior Melhor",IF(CK217&gt;=CJ217,"Sim","Não"),IF(CK217&lt;=CJ217,"Sim","Não")))</f>
        <v/>
      </c>
      <c r="CN217" s="6"/>
      <c r="CO217" s="6"/>
      <c r="CP217" s="4" t="str">
        <f aca="false">IF(OR(CN217="",CO217=""),"",IFERROR(IF($K217="%",CO217-CN217,CO217/CN217-1),""))</f>
        <v/>
      </c>
      <c r="CQ217" s="5" t="str">
        <f aca="false">IF(OR(CN217="",CO217=""),"",IF($F217="Maior Melhor",IF(CO217&gt;=CN217,"Sim","Não"),IF(CO217&lt;=CN217,"Sim","Não")))</f>
        <v/>
      </c>
      <c r="CR217" s="2" t="s">
        <v>105</v>
      </c>
    </row>
    <row r="218" customFormat="false" ht="15" hidden="false" customHeight="false" outlineLevel="0" collapsed="false">
      <c r="A218" s="2" t="s">
        <v>96</v>
      </c>
      <c r="B218" s="2" t="s">
        <v>97</v>
      </c>
      <c r="C218" s="2" t="s">
        <v>98</v>
      </c>
      <c r="D218" s="2" t="s">
        <v>181</v>
      </c>
      <c r="E218" s="2" t="str">
        <f aca="false">C218&amp;D218</f>
        <v>Gerência Centro OesteLigação Nova Atendida na primeira visita</v>
      </c>
      <c r="F218" s="2" t="s">
        <v>100</v>
      </c>
      <c r="G218" s="2" t="s">
        <v>182</v>
      </c>
      <c r="H218" s="2" t="s">
        <v>102</v>
      </c>
      <c r="I218" s="2" t="s">
        <v>103</v>
      </c>
      <c r="J218" s="2" t="n">
        <v>2</v>
      </c>
      <c r="K218" s="2" t="s">
        <v>104</v>
      </c>
      <c r="L218" s="3" t="n">
        <v>0.6693</v>
      </c>
      <c r="M218" s="3" t="n">
        <v>0.6855</v>
      </c>
      <c r="N218" s="4" t="n">
        <f aca="false">IF(OR(L218="",M218=""),"",IFERROR(IF($K218="%",M218-L218,M218/L218-1),""))</f>
        <v>0.0162</v>
      </c>
      <c r="O218" s="5" t="str">
        <f aca="false">IF(OR(L218="",M218=""),"",IF($F218="Maior Melhor",IF(M218&gt;=L218,"Sim","Não"),IF(M218&lt;=L218,"Sim","Não")))</f>
        <v>Sim</v>
      </c>
      <c r="P218" s="3" t="n">
        <v>0.6766</v>
      </c>
      <c r="Q218" s="3" t="n">
        <v>0.7173</v>
      </c>
      <c r="R218" s="4" t="n">
        <f aca="false">IF(OR(P218="",Q218=""),"",IFERROR(IF($K218="%",Q218-P218,Q218/P218-1),""))</f>
        <v>0.0407000000000001</v>
      </c>
      <c r="S218" s="5" t="str">
        <f aca="false">IF(OR(P218="",Q218=""),"",IF($F218="Maior Melhor",IF(Q218&gt;=P218,"Sim","Não"),IF(Q218&lt;=P218,"Sim","Não")))</f>
        <v>Sim</v>
      </c>
      <c r="T218" s="3" t="n">
        <v>0.6838</v>
      </c>
      <c r="U218" s="3" t="n">
        <v>0.7252</v>
      </c>
      <c r="V218" s="4" t="n">
        <f aca="false">IF(OR(T218="",U218=""),"",IFERROR(IF($K218="%",U218-T218,U218/T218-1),""))</f>
        <v>0.0414</v>
      </c>
      <c r="W218" s="5" t="str">
        <f aca="false">IF(OR(T218="",U218=""),"",IF($F218="Maior Melhor",IF(U218&gt;=T218,"Sim","Não"),IF(U218&lt;=T218,"Sim","Não")))</f>
        <v>Sim</v>
      </c>
      <c r="X218" s="3"/>
      <c r="Y218" s="3"/>
      <c r="Z218" s="4" t="str">
        <f aca="false">IF(OR(X218="",Y218=""),"",IFERROR(IF($K218="%",Y218-X218,Y218/X218-1),""))</f>
        <v/>
      </c>
      <c r="AA218" s="5" t="str">
        <f aca="false">IF(OR(X218="",Y218=""),"",IF($F218="Maior Melhor",IF(Y218&gt;=X218,"Sim","Não"),IF(Y218&lt;=X218,"Sim","Não")))</f>
        <v/>
      </c>
      <c r="AB218" s="3"/>
      <c r="AC218" s="3"/>
      <c r="AD218" s="4" t="str">
        <f aca="false">IF(OR(AB218="",AC218=""),"",IFERROR(IF($K218="%",AC218-AB218,AC218/AB218-1),""))</f>
        <v/>
      </c>
      <c r="AE218" s="5" t="str">
        <f aca="false">IF(OR(AB218="",AC218=""),"",IF($F218="Maior Melhor",IF(AC218&gt;=AB218,"Sim","Não"),IF(AC218&lt;=AB218,"Sim","Não")))</f>
        <v/>
      </c>
      <c r="AF218" s="3"/>
      <c r="AG218" s="3"/>
      <c r="AH218" s="4" t="str">
        <f aca="false">IF(OR(AF218="",AG218=""),"",IFERROR(IF($K218="%",AG218-AF218,AG218/AF218-1),""))</f>
        <v/>
      </c>
      <c r="AI218" s="5" t="str">
        <f aca="false">IF(OR(AF218="",AG218=""),"",IF($F218="Maior Melhor",IF(AG218&gt;=AF218,"Sim","Não"),IF(AG218&lt;=AF218,"Sim","Não")))</f>
        <v/>
      </c>
      <c r="AJ218" s="3"/>
      <c r="AK218" s="3"/>
      <c r="AL218" s="4" t="str">
        <f aca="false">IF(OR(AJ218="",AK218=""),"",IFERROR(IF($K218="%",AK218-AJ218,AK218/AJ218-1),""))</f>
        <v/>
      </c>
      <c r="AM218" s="5" t="str">
        <f aca="false">IF(OR(AJ218="",AK218=""),"",IF($F218="Maior Melhor",IF(AK218&gt;=AJ218,"Sim","Não"),IF(AK218&lt;=AJ218,"Sim","Não")))</f>
        <v/>
      </c>
      <c r="AN218" s="3"/>
      <c r="AO218" s="3"/>
      <c r="AP218" s="4" t="str">
        <f aca="false">IF(OR(AN218="",AO218=""),"",IFERROR(IF($K218="%",AO218-AN218,AO218/AN218-1),""))</f>
        <v/>
      </c>
      <c r="AQ218" s="5" t="str">
        <f aca="false">IF(OR(AN218="",AO218=""),"",IF($F218="Maior Melhor",IF(AO218&gt;=AN218,"Sim","Não"),IF(AO218&lt;=AN218,"Sim","Não")))</f>
        <v/>
      </c>
      <c r="AR218" s="3"/>
      <c r="AS218" s="3"/>
      <c r="AT218" s="4" t="str">
        <f aca="false">IF(OR(AR218="",AS218=""),"",IFERROR(IF($K218="%",AS218-AR218,AS218/AR218-1),""))</f>
        <v/>
      </c>
      <c r="AU218" s="5" t="str">
        <f aca="false">IF(OR(AR218="",AS218=""),"",IF($F218="Maior Melhor",IF(AS218&gt;=AR218,"Sim","Não"),IF(AS218&lt;=AR218,"Sim","Não")))</f>
        <v/>
      </c>
      <c r="AV218" s="3" t="n">
        <v>0.68</v>
      </c>
      <c r="AW218" s="3" t="n">
        <v>0.67</v>
      </c>
      <c r="AX218" s="4" t="n">
        <f aca="false">IF(OR(AV218="",AW218=""),"",IFERROR(IF($K218="%",AW218-AV218,AW218/AV218-1),""))</f>
        <v>-0.01</v>
      </c>
      <c r="AY218" s="5" t="str">
        <f aca="false">IF(OR(AV218="",AW218=""),"",IF($F218="Maior Melhor",IF(AW218&gt;=AV218,"Sim","Não"),IF(AW218&lt;=AV218,"Sim","Não")))</f>
        <v>Não</v>
      </c>
      <c r="AZ218" s="3" t="n">
        <v>0.68</v>
      </c>
      <c r="BA218" s="3" t="n">
        <v>0.72</v>
      </c>
      <c r="BB218" s="4" t="n">
        <f aca="false">IF(OR(AZ218="",BA218=""),"",IFERROR(IF($K218="%",BA218-AZ218,BA218/AZ218-1),""))</f>
        <v>0.0399999999999999</v>
      </c>
      <c r="BC218" s="5" t="str">
        <f aca="false">IF(OR(AZ218="",BA218=""),"",IF($F218="Maior Melhor",IF(BA218&gt;=AZ218,"Sim","Não"),IF(BA218&lt;=AZ218,"Sim","Não")))</f>
        <v>Sim</v>
      </c>
      <c r="BD218" s="3" t="n">
        <v>0.72</v>
      </c>
      <c r="BE218" s="3" t="n">
        <v>0.66</v>
      </c>
      <c r="BF218" s="4" t="n">
        <f aca="false">IF(OR(BD218="",BE218=""),"",IFERROR(IF($K218="%",BE218-BD218,BE218/BD218-1),""))</f>
        <v>-0.0599999999999999</v>
      </c>
      <c r="BG218" s="5" t="str">
        <f aca="false">IF(OR(BD218="",BE218=""),"",IF($F218="Maior Melhor",IF(BE218&gt;=BD218,"Sim","Não"),IF(BE218&lt;=BD218,"Sim","Não")))</f>
        <v>Não</v>
      </c>
      <c r="BH218" s="3" t="n">
        <v>0.72</v>
      </c>
      <c r="BI218" s="3" t="n">
        <v>0.66</v>
      </c>
      <c r="BJ218" s="4" t="n">
        <f aca="false">IF(OR(BH218="",BI218=""),"",IFERROR(IF($K218="%",BI218-BH218,BI218/BH218-1),""))</f>
        <v>-0.0599999999999999</v>
      </c>
      <c r="BK218" s="5" t="str">
        <f aca="false">IF(OR(BH218="",BI218=""),"",IF($F218="Maior Melhor",IF(BI218&gt;=BH218,"Sim","Não"),IF(BI218&lt;=BH218,"Sim","Não")))</f>
        <v>Não</v>
      </c>
      <c r="BL218" s="6"/>
      <c r="BM218" s="6"/>
      <c r="BN218" s="4" t="str">
        <f aca="false">IF(OR(BL218="",BM218=""),"",IFERROR(IF($K218="%",BM218-BL218,BM218/BL218-1),""))</f>
        <v/>
      </c>
      <c r="BO218" s="5" t="str">
        <f aca="false">IF(OR(BL218="",BM218=""),"",IF($F218="Maior Melhor",IF(BM218&gt;=BL218,"Sim","Não"),IF(BM218&lt;=BL218,"Sim","Não")))</f>
        <v/>
      </c>
      <c r="BP218" s="6"/>
      <c r="BQ218" s="6"/>
      <c r="BR218" s="4" t="str">
        <f aca="false">IF(OR(BP218="",BQ218=""),"",IFERROR(IF($K218="%",BQ218-BP218,BQ218/BP218-1),""))</f>
        <v/>
      </c>
      <c r="BS218" s="5" t="str">
        <f aca="false">IF(OR(BP218="",BQ218=""),"",IF($F218="Maior Melhor",IF(BQ218&gt;=BP218,"Sim","Não"),IF(BQ218&lt;=BP218,"Sim","Não")))</f>
        <v/>
      </c>
      <c r="BT218" s="6"/>
      <c r="BU218" s="6"/>
      <c r="BV218" s="4" t="str">
        <f aca="false">IF(OR(BT218="",BU218=""),"",IFERROR(IF($K218="%",BU218-BT218,BU218/BT218-1),""))</f>
        <v/>
      </c>
      <c r="BW218" s="5" t="str">
        <f aca="false">IF(OR(BT218="",BU218=""),"",IF($F218="Maior Melhor",IF(BU218&gt;=BT218,"Sim","Não"),IF(BU218&lt;=BT218,"Sim","Não")))</f>
        <v/>
      </c>
      <c r="BX218" s="6"/>
      <c r="BY218" s="6"/>
      <c r="BZ218" s="4" t="str">
        <f aca="false">IF(OR(BX218="",BY218=""),"",IFERROR(IF($K218="%",BY218-BX218,BY218/BX218-1),""))</f>
        <v/>
      </c>
      <c r="CA218" s="5" t="str">
        <f aca="false">IF(OR(BX218="",BY218=""),"",IF($F218="Maior Melhor",IF(BY218&gt;=BX218,"Sim","Não"),IF(BY218&lt;=BX218,"Sim","Não")))</f>
        <v/>
      </c>
      <c r="CB218" s="6"/>
      <c r="CC218" s="6"/>
      <c r="CD218" s="4" t="str">
        <f aca="false">IF(OR(CB218="",CC218=""),"",IFERROR(IF($K218="%",CC218-CB218,CC218/CB218-1),""))</f>
        <v/>
      </c>
      <c r="CE218" s="5" t="str">
        <f aca="false">IF(OR(CB218="",CC218=""),"",IF($F218="Maior Melhor",IF(CC218&gt;=CB218,"Sim","Não"),IF(CC218&lt;=CB218,"Sim","Não")))</f>
        <v/>
      </c>
      <c r="CF218" s="6"/>
      <c r="CG218" s="6"/>
      <c r="CH218" s="4" t="str">
        <f aca="false">IF(OR(CF218="",CG218=""),"",IFERROR(IF($K218="%",CG218-CF218,CG218/CF218-1),""))</f>
        <v/>
      </c>
      <c r="CI218" s="5" t="str">
        <f aca="false">IF(OR(CF218="",CG218=""),"",IF($F218="Maior Melhor",IF(CG218&gt;=CF218,"Sim","Não"),IF(CG218&lt;=CF218,"Sim","Não")))</f>
        <v/>
      </c>
      <c r="CJ218" s="6"/>
      <c r="CK218" s="6"/>
      <c r="CL218" s="4" t="str">
        <f aca="false">IF(OR(CJ218="",CK218=""),"",IFERROR(IF($K218="%",CK218-CJ218,CK218/CJ218-1),""))</f>
        <v/>
      </c>
      <c r="CM218" s="5" t="str">
        <f aca="false">IF(OR(CJ218="",CK218=""),"",IF($F218="Maior Melhor",IF(CK218&gt;=CJ218,"Sim","Não"),IF(CK218&lt;=CJ218,"Sim","Não")))</f>
        <v/>
      </c>
      <c r="CN218" s="6"/>
      <c r="CO218" s="6"/>
      <c r="CP218" s="4" t="str">
        <f aca="false">IF(OR(CN218="",CO218=""),"",IFERROR(IF($K218="%",CO218-CN218,CO218/CN218-1),""))</f>
        <v/>
      </c>
      <c r="CQ218" s="5" t="str">
        <f aca="false">IF(OR(CN218="",CO218=""),"",IF($F218="Maior Melhor",IF(CO218&gt;=CN218,"Sim","Não"),IF(CO218&lt;=CN218,"Sim","Não")))</f>
        <v/>
      </c>
      <c r="CR218" s="2" t="s">
        <v>105</v>
      </c>
    </row>
    <row r="219" customFormat="false" ht="15" hidden="false" customHeight="false" outlineLevel="0" collapsed="false">
      <c r="A219" s="2" t="s">
        <v>96</v>
      </c>
      <c r="B219" s="2" t="s">
        <v>106</v>
      </c>
      <c r="C219" s="2" t="s">
        <v>107</v>
      </c>
      <c r="D219" s="2" t="s">
        <v>181</v>
      </c>
      <c r="E219" s="2" t="str">
        <f aca="false">C219&amp;D219</f>
        <v>Gerência OesteLigação Nova Atendida na primeira visita</v>
      </c>
      <c r="F219" s="2" t="s">
        <v>100</v>
      </c>
      <c r="G219" s="2" t="s">
        <v>182</v>
      </c>
      <c r="H219" s="2" t="s">
        <v>102</v>
      </c>
      <c r="I219" s="2" t="s">
        <v>103</v>
      </c>
      <c r="J219" s="2" t="n">
        <v>2</v>
      </c>
      <c r="K219" s="2" t="s">
        <v>104</v>
      </c>
      <c r="L219" s="3" t="n">
        <v>0.662</v>
      </c>
      <c r="M219" s="3" t="n">
        <v>0.7122</v>
      </c>
      <c r="N219" s="4" t="n">
        <f aca="false">IF(OR(L219="",M219=""),"",IFERROR(IF($K219="%",M219-L219,M219/L219-1),""))</f>
        <v>0.0502</v>
      </c>
      <c r="O219" s="5" t="str">
        <f aca="false">IF(OR(L219="",M219=""),"",IF($F219="Maior Melhor",IF(M219&gt;=L219,"Sim","Não"),IF(M219&lt;=L219,"Sim","Não")))</f>
        <v>Sim</v>
      </c>
      <c r="P219" s="3" t="n">
        <v>0.67</v>
      </c>
      <c r="Q219" s="3" t="n">
        <v>0.6479</v>
      </c>
      <c r="R219" s="4" t="n">
        <f aca="false">IF(OR(P219="",Q219=""),"",IFERROR(IF($K219="%",Q219-P219,Q219/P219-1),""))</f>
        <v>-0.0221</v>
      </c>
      <c r="S219" s="5" t="str">
        <f aca="false">IF(OR(P219="",Q219=""),"",IF($F219="Maior Melhor",IF(Q219&gt;=P219,"Sim","Não"),IF(Q219&lt;=P219,"Sim","Não")))</f>
        <v>Não</v>
      </c>
      <c r="T219" s="3" t="n">
        <v>0.6779</v>
      </c>
      <c r="U219" s="3" t="n">
        <v>0.6873</v>
      </c>
      <c r="V219" s="4" t="n">
        <f aca="false">IF(OR(T219="",U219=""),"",IFERROR(IF($K219="%",U219-T219,U219/T219-1),""))</f>
        <v>0.00940000000000008</v>
      </c>
      <c r="W219" s="5" t="str">
        <f aca="false">IF(OR(T219="",U219=""),"",IF($F219="Maior Melhor",IF(U219&gt;=T219,"Sim","Não"),IF(U219&lt;=T219,"Sim","Não")))</f>
        <v>Sim</v>
      </c>
      <c r="X219" s="3"/>
      <c r="Y219" s="3"/>
      <c r="Z219" s="4" t="str">
        <f aca="false">IF(OR(X219="",Y219=""),"",IFERROR(IF($K219="%",Y219-X219,Y219/X219-1),""))</f>
        <v/>
      </c>
      <c r="AA219" s="5" t="str">
        <f aca="false">IF(OR(X219="",Y219=""),"",IF($F219="Maior Melhor",IF(Y219&gt;=X219,"Sim","Não"),IF(Y219&lt;=X219,"Sim","Não")))</f>
        <v/>
      </c>
      <c r="AB219" s="3"/>
      <c r="AC219" s="3"/>
      <c r="AD219" s="4" t="str">
        <f aca="false">IF(OR(AB219="",AC219=""),"",IFERROR(IF($K219="%",AC219-AB219,AC219/AB219-1),""))</f>
        <v/>
      </c>
      <c r="AE219" s="5" t="str">
        <f aca="false">IF(OR(AB219="",AC219=""),"",IF($F219="Maior Melhor",IF(AC219&gt;=AB219,"Sim","Não"),IF(AC219&lt;=AB219,"Sim","Não")))</f>
        <v/>
      </c>
      <c r="AF219" s="3"/>
      <c r="AG219" s="3"/>
      <c r="AH219" s="4" t="str">
        <f aca="false">IF(OR(AF219="",AG219=""),"",IFERROR(IF($K219="%",AG219-AF219,AG219/AF219-1),""))</f>
        <v/>
      </c>
      <c r="AI219" s="5" t="str">
        <f aca="false">IF(OR(AF219="",AG219=""),"",IF($F219="Maior Melhor",IF(AG219&gt;=AF219,"Sim","Não"),IF(AG219&lt;=AF219,"Sim","Não")))</f>
        <v/>
      </c>
      <c r="AJ219" s="3"/>
      <c r="AK219" s="3"/>
      <c r="AL219" s="4" t="str">
        <f aca="false">IF(OR(AJ219="",AK219=""),"",IFERROR(IF($K219="%",AK219-AJ219,AK219/AJ219-1),""))</f>
        <v/>
      </c>
      <c r="AM219" s="5" t="str">
        <f aca="false">IF(OR(AJ219="",AK219=""),"",IF($F219="Maior Melhor",IF(AK219&gt;=AJ219,"Sim","Não"),IF(AK219&lt;=AJ219,"Sim","Não")))</f>
        <v/>
      </c>
      <c r="AN219" s="3"/>
      <c r="AO219" s="3"/>
      <c r="AP219" s="4" t="str">
        <f aca="false">IF(OR(AN219="",AO219=""),"",IFERROR(IF($K219="%",AO219-AN219,AO219/AN219-1),""))</f>
        <v/>
      </c>
      <c r="AQ219" s="5" t="str">
        <f aca="false">IF(OR(AN219="",AO219=""),"",IF($F219="Maior Melhor",IF(AO219&gt;=AN219,"Sim","Não"),IF(AO219&lt;=AN219,"Sim","Não")))</f>
        <v/>
      </c>
      <c r="AR219" s="3"/>
      <c r="AS219" s="3"/>
      <c r="AT219" s="4" t="str">
        <f aca="false">IF(OR(AR219="",AS219=""),"",IFERROR(IF($K219="%",AS219-AR219,AS219/AR219-1),""))</f>
        <v/>
      </c>
      <c r="AU219" s="5" t="str">
        <f aca="false">IF(OR(AR219="",AS219=""),"",IF($F219="Maior Melhor",IF(AS219&gt;=AR219,"Sim","Não"),IF(AS219&lt;=AR219,"Sim","Não")))</f>
        <v/>
      </c>
      <c r="AV219" s="3" t="n">
        <v>0.68</v>
      </c>
      <c r="AW219" s="3" t="n">
        <v>0.71</v>
      </c>
      <c r="AX219" s="4" t="n">
        <f aca="false">IF(OR(AV219="",AW219=""),"",IFERROR(IF($K219="%",AW219-AV219,AW219/AV219-1),""))</f>
        <v>0.0299999999999999</v>
      </c>
      <c r="AY219" s="5" t="str">
        <f aca="false">IF(OR(AV219="",AW219=""),"",IF($F219="Maior Melhor",IF(AW219&gt;=AV219,"Sim","Não"),IF(AW219&lt;=AV219,"Sim","Não")))</f>
        <v>Sim</v>
      </c>
      <c r="AZ219" s="3" t="n">
        <v>0.68</v>
      </c>
      <c r="BA219" s="3" t="n">
        <v>0.72</v>
      </c>
      <c r="BB219" s="4" t="n">
        <f aca="false">IF(OR(AZ219="",BA219=""),"",IFERROR(IF($K219="%",BA219-AZ219,BA219/AZ219-1),""))</f>
        <v>0.0399999999999999</v>
      </c>
      <c r="BC219" s="5" t="str">
        <f aca="false">IF(OR(AZ219="",BA219=""),"",IF($F219="Maior Melhor",IF(BA219&gt;=AZ219,"Sim","Não"),IF(BA219&lt;=AZ219,"Sim","Não")))</f>
        <v>Sim</v>
      </c>
      <c r="BD219" s="3" t="n">
        <v>0.72</v>
      </c>
      <c r="BE219" s="3" t="n">
        <v>0.69</v>
      </c>
      <c r="BF219" s="4" t="n">
        <f aca="false">IF(OR(BD219="",BE219=""),"",IFERROR(IF($K219="%",BE219-BD219,BE219/BD219-1),""))</f>
        <v>-0.03</v>
      </c>
      <c r="BG219" s="5" t="str">
        <f aca="false">IF(OR(BD219="",BE219=""),"",IF($F219="Maior Melhor",IF(BE219&gt;=BD219,"Sim","Não"),IF(BE219&lt;=BD219,"Sim","Não")))</f>
        <v>Não</v>
      </c>
      <c r="BH219" s="3" t="n">
        <v>0.72</v>
      </c>
      <c r="BI219" s="3" t="n">
        <v>0.69</v>
      </c>
      <c r="BJ219" s="4" t="n">
        <f aca="false">IF(OR(BH219="",BI219=""),"",IFERROR(IF($K219="%",BI219-BH219,BI219/BH219-1),""))</f>
        <v>-0.03</v>
      </c>
      <c r="BK219" s="5" t="str">
        <f aca="false">IF(OR(BH219="",BI219=""),"",IF($F219="Maior Melhor",IF(BI219&gt;=BH219,"Sim","Não"),IF(BI219&lt;=BH219,"Sim","Não")))</f>
        <v>Não</v>
      </c>
      <c r="BL219" s="6"/>
      <c r="BM219" s="6"/>
      <c r="BN219" s="4" t="str">
        <f aca="false">IF(OR(BL219="",BM219=""),"",IFERROR(IF($K219="%",BM219-BL219,BM219/BL219-1),""))</f>
        <v/>
      </c>
      <c r="BO219" s="5" t="str">
        <f aca="false">IF(OR(BL219="",BM219=""),"",IF($F219="Maior Melhor",IF(BM219&gt;=BL219,"Sim","Não"),IF(BM219&lt;=BL219,"Sim","Não")))</f>
        <v/>
      </c>
      <c r="BP219" s="6"/>
      <c r="BQ219" s="6"/>
      <c r="BR219" s="4" t="str">
        <f aca="false">IF(OR(BP219="",BQ219=""),"",IFERROR(IF($K219="%",BQ219-BP219,BQ219/BP219-1),""))</f>
        <v/>
      </c>
      <c r="BS219" s="5" t="str">
        <f aca="false">IF(OR(BP219="",BQ219=""),"",IF($F219="Maior Melhor",IF(BQ219&gt;=BP219,"Sim","Não"),IF(BQ219&lt;=BP219,"Sim","Não")))</f>
        <v/>
      </c>
      <c r="BT219" s="6"/>
      <c r="BU219" s="6"/>
      <c r="BV219" s="4" t="str">
        <f aca="false">IF(OR(BT219="",BU219=""),"",IFERROR(IF($K219="%",BU219-BT219,BU219/BT219-1),""))</f>
        <v/>
      </c>
      <c r="BW219" s="5" t="str">
        <f aca="false">IF(OR(BT219="",BU219=""),"",IF($F219="Maior Melhor",IF(BU219&gt;=BT219,"Sim","Não"),IF(BU219&lt;=BT219,"Sim","Não")))</f>
        <v/>
      </c>
      <c r="BX219" s="6"/>
      <c r="BY219" s="6"/>
      <c r="BZ219" s="4" t="str">
        <f aca="false">IF(OR(BX219="",BY219=""),"",IFERROR(IF($K219="%",BY219-BX219,BY219/BX219-1),""))</f>
        <v/>
      </c>
      <c r="CA219" s="5" t="str">
        <f aca="false">IF(OR(BX219="",BY219=""),"",IF($F219="Maior Melhor",IF(BY219&gt;=BX219,"Sim","Não"),IF(BY219&lt;=BX219,"Sim","Não")))</f>
        <v/>
      </c>
      <c r="CB219" s="6"/>
      <c r="CC219" s="6"/>
      <c r="CD219" s="4" t="str">
        <f aca="false">IF(OR(CB219="",CC219=""),"",IFERROR(IF($K219="%",CC219-CB219,CC219/CB219-1),""))</f>
        <v/>
      </c>
      <c r="CE219" s="5" t="str">
        <f aca="false">IF(OR(CB219="",CC219=""),"",IF($F219="Maior Melhor",IF(CC219&gt;=CB219,"Sim","Não"),IF(CC219&lt;=CB219,"Sim","Não")))</f>
        <v/>
      </c>
      <c r="CF219" s="6"/>
      <c r="CG219" s="6"/>
      <c r="CH219" s="4" t="str">
        <f aca="false">IF(OR(CF219="",CG219=""),"",IFERROR(IF($K219="%",CG219-CF219,CG219/CF219-1),""))</f>
        <v/>
      </c>
      <c r="CI219" s="5" t="str">
        <f aca="false">IF(OR(CF219="",CG219=""),"",IF($F219="Maior Melhor",IF(CG219&gt;=CF219,"Sim","Não"),IF(CG219&lt;=CF219,"Sim","Não")))</f>
        <v/>
      </c>
      <c r="CJ219" s="6"/>
      <c r="CK219" s="6"/>
      <c r="CL219" s="4" t="str">
        <f aca="false">IF(OR(CJ219="",CK219=""),"",IFERROR(IF($K219="%",CK219-CJ219,CK219/CJ219-1),""))</f>
        <v/>
      </c>
      <c r="CM219" s="5" t="str">
        <f aca="false">IF(OR(CJ219="",CK219=""),"",IF($F219="Maior Melhor",IF(CK219&gt;=CJ219,"Sim","Não"),IF(CK219&lt;=CJ219,"Sim","Não")))</f>
        <v/>
      </c>
      <c r="CN219" s="6"/>
      <c r="CO219" s="6"/>
      <c r="CP219" s="4" t="str">
        <f aca="false">IF(OR(CN219="",CO219=""),"",IFERROR(IF($K219="%",CO219-CN219,CO219/CN219-1),""))</f>
        <v/>
      </c>
      <c r="CQ219" s="5" t="str">
        <f aca="false">IF(OR(CN219="",CO219=""),"",IF($F219="Maior Melhor",IF(CO219&gt;=CN219,"Sim","Não"),IF(CO219&lt;=CN219,"Sim","Não")))</f>
        <v/>
      </c>
      <c r="CR219" s="2" t="s">
        <v>105</v>
      </c>
    </row>
    <row r="220" customFormat="false" ht="15" hidden="false" customHeight="false" outlineLevel="0" collapsed="false">
      <c r="A220" s="2" t="s">
        <v>96</v>
      </c>
      <c r="B220" s="2" t="s">
        <v>108</v>
      </c>
      <c r="C220" s="2" t="s">
        <v>109</v>
      </c>
      <c r="D220" s="2" t="s">
        <v>181</v>
      </c>
      <c r="E220" s="2" t="str">
        <f aca="false">C220&amp;D220</f>
        <v>Gerência SudoesteLigação Nova Atendida na primeira visita</v>
      </c>
      <c r="F220" s="2" t="s">
        <v>100</v>
      </c>
      <c r="G220" s="2" t="s">
        <v>182</v>
      </c>
      <c r="H220" s="2" t="s">
        <v>102</v>
      </c>
      <c r="I220" s="2" t="s">
        <v>103</v>
      </c>
      <c r="J220" s="2" t="n">
        <v>2</v>
      </c>
      <c r="K220" s="2" t="s">
        <v>104</v>
      </c>
      <c r="L220" s="3" t="n">
        <v>0.6403</v>
      </c>
      <c r="M220" s="3" t="n">
        <v>0.6356</v>
      </c>
      <c r="N220" s="4" t="n">
        <f aca="false">IF(OR(L220="",M220=""),"",IFERROR(IF($K220="%",M220-L220,M220/L220-1),""))</f>
        <v>-0.00469999999999993</v>
      </c>
      <c r="O220" s="5" t="str">
        <f aca="false">IF(OR(L220="",M220=""),"",IF($F220="Maior Melhor",IF(M220&gt;=L220,"Sim","Não"),IF(M220&lt;=L220,"Sim","Não")))</f>
        <v>Não</v>
      </c>
      <c r="P220" s="3" t="n">
        <v>0.6495</v>
      </c>
      <c r="Q220" s="3" t="n">
        <v>0.6167</v>
      </c>
      <c r="R220" s="4" t="n">
        <f aca="false">IF(OR(P220="",Q220=""),"",IFERROR(IF($K220="%",Q220-P220,Q220/P220-1),""))</f>
        <v>-0.0327999999999999</v>
      </c>
      <c r="S220" s="5" t="str">
        <f aca="false">IF(OR(P220="",Q220=""),"",IF($F220="Maior Melhor",IF(Q220&gt;=P220,"Sim","Não"),IF(Q220&lt;=P220,"Sim","Não")))</f>
        <v>Não</v>
      </c>
      <c r="T220" s="3" t="n">
        <v>0.6586</v>
      </c>
      <c r="U220" s="3" t="n">
        <v>0.6339</v>
      </c>
      <c r="V220" s="4" t="n">
        <f aca="false">IF(OR(T220="",U220=""),"",IFERROR(IF($K220="%",U220-T220,U220/T220-1),""))</f>
        <v>-0.0246999999999999</v>
      </c>
      <c r="W220" s="5" t="str">
        <f aca="false">IF(OR(T220="",U220=""),"",IF($F220="Maior Melhor",IF(U220&gt;=T220,"Sim","Não"),IF(U220&lt;=T220,"Sim","Não")))</f>
        <v>Não</v>
      </c>
      <c r="X220" s="3"/>
      <c r="Y220" s="3"/>
      <c r="Z220" s="4" t="str">
        <f aca="false">IF(OR(X220="",Y220=""),"",IFERROR(IF($K220="%",Y220-X220,Y220/X220-1),""))</f>
        <v/>
      </c>
      <c r="AA220" s="5" t="str">
        <f aca="false">IF(OR(X220="",Y220=""),"",IF($F220="Maior Melhor",IF(Y220&gt;=X220,"Sim","Não"),IF(Y220&lt;=X220,"Sim","Não")))</f>
        <v/>
      </c>
      <c r="AB220" s="3"/>
      <c r="AC220" s="3"/>
      <c r="AD220" s="4" t="str">
        <f aca="false">IF(OR(AB220="",AC220=""),"",IFERROR(IF($K220="%",AC220-AB220,AC220/AB220-1),""))</f>
        <v/>
      </c>
      <c r="AE220" s="5" t="str">
        <f aca="false">IF(OR(AB220="",AC220=""),"",IF($F220="Maior Melhor",IF(AC220&gt;=AB220,"Sim","Não"),IF(AC220&lt;=AB220,"Sim","Não")))</f>
        <v/>
      </c>
      <c r="AF220" s="3"/>
      <c r="AG220" s="3"/>
      <c r="AH220" s="4" t="str">
        <f aca="false">IF(OR(AF220="",AG220=""),"",IFERROR(IF($K220="%",AG220-AF220,AG220/AF220-1),""))</f>
        <v/>
      </c>
      <c r="AI220" s="5" t="str">
        <f aca="false">IF(OR(AF220="",AG220=""),"",IF($F220="Maior Melhor",IF(AG220&gt;=AF220,"Sim","Não"),IF(AG220&lt;=AF220,"Sim","Não")))</f>
        <v/>
      </c>
      <c r="AJ220" s="3"/>
      <c r="AK220" s="3"/>
      <c r="AL220" s="4" t="str">
        <f aca="false">IF(OR(AJ220="",AK220=""),"",IFERROR(IF($K220="%",AK220-AJ220,AK220/AJ220-1),""))</f>
        <v/>
      </c>
      <c r="AM220" s="5" t="str">
        <f aca="false">IF(OR(AJ220="",AK220=""),"",IF($F220="Maior Melhor",IF(AK220&gt;=AJ220,"Sim","Não"),IF(AK220&lt;=AJ220,"Sim","Não")))</f>
        <v/>
      </c>
      <c r="AN220" s="3"/>
      <c r="AO220" s="3"/>
      <c r="AP220" s="4" t="str">
        <f aca="false">IF(OR(AN220="",AO220=""),"",IFERROR(IF($K220="%",AO220-AN220,AO220/AN220-1),""))</f>
        <v/>
      </c>
      <c r="AQ220" s="5" t="str">
        <f aca="false">IF(OR(AN220="",AO220=""),"",IF($F220="Maior Melhor",IF(AO220&gt;=AN220,"Sim","Não"),IF(AO220&lt;=AN220,"Sim","Não")))</f>
        <v/>
      </c>
      <c r="AR220" s="3"/>
      <c r="AS220" s="3"/>
      <c r="AT220" s="4" t="str">
        <f aca="false">IF(OR(AR220="",AS220=""),"",IFERROR(IF($K220="%",AS220-AR220,AS220/AR220-1),""))</f>
        <v/>
      </c>
      <c r="AU220" s="5" t="str">
        <f aca="false">IF(OR(AR220="",AS220=""),"",IF($F220="Maior Melhor",IF(AS220&gt;=AR220,"Sim","Não"),IF(AS220&lt;=AR220,"Sim","Não")))</f>
        <v/>
      </c>
      <c r="AV220" s="3" t="n">
        <v>0.66</v>
      </c>
      <c r="AW220" s="3" t="n">
        <v>0.69</v>
      </c>
      <c r="AX220" s="4" t="n">
        <f aca="false">IF(OR(AV220="",AW220=""),"",IFERROR(IF($K220="%",AW220-AV220,AW220/AV220-1),""))</f>
        <v>0.0299999999999999</v>
      </c>
      <c r="AY220" s="5" t="str">
        <f aca="false">IF(OR(AV220="",AW220=""),"",IF($F220="Maior Melhor",IF(AW220&gt;=AV220,"Sim","Não"),IF(AW220&lt;=AV220,"Sim","Não")))</f>
        <v>Sim</v>
      </c>
      <c r="AZ220" s="3" t="n">
        <v>0.66</v>
      </c>
      <c r="BA220" s="3" t="n">
        <v>0.68</v>
      </c>
      <c r="BB220" s="4" t="n">
        <f aca="false">IF(OR(AZ220="",BA220=""),"",IFERROR(IF($K220="%",BA220-AZ220,BA220/AZ220-1),""))</f>
        <v>0.02</v>
      </c>
      <c r="BC220" s="5" t="str">
        <f aca="false">IF(OR(AZ220="",BA220=""),"",IF($F220="Maior Melhor",IF(BA220&gt;=AZ220,"Sim","Não"),IF(BA220&lt;=AZ220,"Sim","Não")))</f>
        <v>Sim</v>
      </c>
      <c r="BD220" s="3" t="n">
        <v>0.7</v>
      </c>
      <c r="BE220" s="3" t="n">
        <v>0.65</v>
      </c>
      <c r="BF220" s="4" t="n">
        <f aca="false">IF(OR(BD220="",BE220=""),"",IFERROR(IF($K220="%",BE220-BD220,BE220/BD220-1),""))</f>
        <v>-0.0499999999999999</v>
      </c>
      <c r="BG220" s="5" t="str">
        <f aca="false">IF(OR(BD220="",BE220=""),"",IF($F220="Maior Melhor",IF(BE220&gt;=BD220,"Sim","Não"),IF(BE220&lt;=BD220,"Sim","Não")))</f>
        <v>Não</v>
      </c>
      <c r="BH220" s="3" t="n">
        <v>0.7</v>
      </c>
      <c r="BI220" s="3" t="n">
        <v>0.65</v>
      </c>
      <c r="BJ220" s="4" t="n">
        <f aca="false">IF(OR(BH220="",BI220=""),"",IFERROR(IF($K220="%",BI220-BH220,BI220/BH220-1),""))</f>
        <v>-0.0499999999999999</v>
      </c>
      <c r="BK220" s="5" t="str">
        <f aca="false">IF(OR(BH220="",BI220=""),"",IF($F220="Maior Melhor",IF(BI220&gt;=BH220,"Sim","Não"),IF(BI220&lt;=BH220,"Sim","Não")))</f>
        <v>Não</v>
      </c>
      <c r="BL220" s="6"/>
      <c r="BM220" s="6"/>
      <c r="BN220" s="4" t="str">
        <f aca="false">IF(OR(BL220="",BM220=""),"",IFERROR(IF($K220="%",BM220-BL220,BM220/BL220-1),""))</f>
        <v/>
      </c>
      <c r="BO220" s="5" t="str">
        <f aca="false">IF(OR(BL220="",BM220=""),"",IF($F220="Maior Melhor",IF(BM220&gt;=BL220,"Sim","Não"),IF(BM220&lt;=BL220,"Sim","Não")))</f>
        <v/>
      </c>
      <c r="BP220" s="6"/>
      <c r="BQ220" s="6"/>
      <c r="BR220" s="4" t="str">
        <f aca="false">IF(OR(BP220="",BQ220=""),"",IFERROR(IF($K220="%",BQ220-BP220,BQ220/BP220-1),""))</f>
        <v/>
      </c>
      <c r="BS220" s="5" t="str">
        <f aca="false">IF(OR(BP220="",BQ220=""),"",IF($F220="Maior Melhor",IF(BQ220&gt;=BP220,"Sim","Não"),IF(BQ220&lt;=BP220,"Sim","Não")))</f>
        <v/>
      </c>
      <c r="BT220" s="6"/>
      <c r="BU220" s="6"/>
      <c r="BV220" s="4" t="str">
        <f aca="false">IF(OR(BT220="",BU220=""),"",IFERROR(IF($K220="%",BU220-BT220,BU220/BT220-1),""))</f>
        <v/>
      </c>
      <c r="BW220" s="5" t="str">
        <f aca="false">IF(OR(BT220="",BU220=""),"",IF($F220="Maior Melhor",IF(BU220&gt;=BT220,"Sim","Não"),IF(BU220&lt;=BT220,"Sim","Não")))</f>
        <v/>
      </c>
      <c r="BX220" s="6"/>
      <c r="BY220" s="6"/>
      <c r="BZ220" s="4" t="str">
        <f aca="false">IF(OR(BX220="",BY220=""),"",IFERROR(IF($K220="%",BY220-BX220,BY220/BX220-1),""))</f>
        <v/>
      </c>
      <c r="CA220" s="5" t="str">
        <f aca="false">IF(OR(BX220="",BY220=""),"",IF($F220="Maior Melhor",IF(BY220&gt;=BX220,"Sim","Não"),IF(BY220&lt;=BX220,"Sim","Não")))</f>
        <v/>
      </c>
      <c r="CB220" s="6"/>
      <c r="CC220" s="6"/>
      <c r="CD220" s="4" t="str">
        <f aca="false">IF(OR(CB220="",CC220=""),"",IFERROR(IF($K220="%",CC220-CB220,CC220/CB220-1),""))</f>
        <v/>
      </c>
      <c r="CE220" s="5" t="str">
        <f aca="false">IF(OR(CB220="",CC220=""),"",IF($F220="Maior Melhor",IF(CC220&gt;=CB220,"Sim","Não"),IF(CC220&lt;=CB220,"Sim","Não")))</f>
        <v/>
      </c>
      <c r="CF220" s="6"/>
      <c r="CG220" s="6"/>
      <c r="CH220" s="4" t="str">
        <f aca="false">IF(OR(CF220="",CG220=""),"",IFERROR(IF($K220="%",CG220-CF220,CG220/CF220-1),""))</f>
        <v/>
      </c>
      <c r="CI220" s="5" t="str">
        <f aca="false">IF(OR(CF220="",CG220=""),"",IF($F220="Maior Melhor",IF(CG220&gt;=CF220,"Sim","Não"),IF(CG220&lt;=CF220,"Sim","Não")))</f>
        <v/>
      </c>
      <c r="CJ220" s="6"/>
      <c r="CK220" s="6"/>
      <c r="CL220" s="4" t="str">
        <f aca="false">IF(OR(CJ220="",CK220=""),"",IFERROR(IF($K220="%",CK220-CJ220,CK220/CJ220-1),""))</f>
        <v/>
      </c>
      <c r="CM220" s="5" t="str">
        <f aca="false">IF(OR(CJ220="",CK220=""),"",IF($F220="Maior Melhor",IF(CK220&gt;=CJ220,"Sim","Não"),IF(CK220&lt;=CJ220,"Sim","Não")))</f>
        <v/>
      </c>
      <c r="CN220" s="6"/>
      <c r="CO220" s="6"/>
      <c r="CP220" s="4" t="str">
        <f aca="false">IF(OR(CN220="",CO220=""),"",IFERROR(IF($K220="%",CO220-CN220,CO220/CN220-1),""))</f>
        <v/>
      </c>
      <c r="CQ220" s="5" t="str">
        <f aca="false">IF(OR(CN220="",CO220=""),"",IF($F220="Maior Melhor",IF(CO220&gt;=CN220,"Sim","Não"),IF(CO220&lt;=CN220,"Sim","Não")))</f>
        <v/>
      </c>
      <c r="CR220" s="2" t="s">
        <v>105</v>
      </c>
    </row>
    <row r="221" customFormat="false" ht="15" hidden="false" customHeight="false" outlineLevel="0" collapsed="false">
      <c r="A221" s="2" t="s">
        <v>96</v>
      </c>
      <c r="B221" s="2" t="s">
        <v>110</v>
      </c>
      <c r="C221" s="2" t="s">
        <v>110</v>
      </c>
      <c r="D221" s="2" t="s">
        <v>181</v>
      </c>
      <c r="E221" s="2" t="str">
        <f aca="false">C221&amp;D221</f>
        <v>Sup OesteLigação Nova Atendida na primeira visita</v>
      </c>
      <c r="F221" s="2" t="s">
        <v>100</v>
      </c>
      <c r="G221" s="2" t="s">
        <v>182</v>
      </c>
      <c r="H221" s="2" t="s">
        <v>102</v>
      </c>
      <c r="I221" s="2" t="s">
        <v>103</v>
      </c>
      <c r="J221" s="2" t="n">
        <v>2</v>
      </c>
      <c r="K221" s="2" t="s">
        <v>104</v>
      </c>
      <c r="L221" s="3" t="n">
        <v>0.6584</v>
      </c>
      <c r="M221" s="3" t="n">
        <v>0.6755</v>
      </c>
      <c r="N221" s="4" t="n">
        <f aca="false">IF(OR(L221="",M221=""),"",IFERROR(IF($K221="%",M221-L221,M221/L221-1),""))</f>
        <v>0.0171</v>
      </c>
      <c r="O221" s="5" t="str">
        <f aca="false">IF(OR(L221="",M221=""),"",IF($F221="Maior Melhor",IF(M221&gt;=L221,"Sim","Não"),IF(M221&lt;=L221,"Sim","Não")))</f>
        <v>Sim</v>
      </c>
      <c r="P221" s="3" t="n">
        <v>0.6665</v>
      </c>
      <c r="Q221" s="3" t="n">
        <v>0.6626</v>
      </c>
      <c r="R221" s="4" t="n">
        <f aca="false">IF(OR(P221="",Q221=""),"",IFERROR(IF($K221="%",Q221-P221,Q221/P221-1),""))</f>
        <v>-0.00390000000000001</v>
      </c>
      <c r="S221" s="5" t="str">
        <f aca="false">IF(OR(P221="",Q221=""),"",IF($F221="Maior Melhor",IF(Q221&gt;=P221,"Sim","Não"),IF(Q221&lt;=P221,"Sim","Não")))</f>
        <v>Não</v>
      </c>
      <c r="T221" s="3" t="n">
        <v>0.6745</v>
      </c>
      <c r="U221" s="3" t="n">
        <v>0.6796</v>
      </c>
      <c r="V221" s="4" t="n">
        <f aca="false">IF(OR(T221="",U221=""),"",IFERROR(IF($K221="%",U221-T221,U221/T221-1),""))</f>
        <v>0.00509999999999999</v>
      </c>
      <c r="W221" s="5" t="str">
        <f aca="false">IF(OR(T221="",U221=""),"",IF($F221="Maior Melhor",IF(U221&gt;=T221,"Sim","Não"),IF(U221&lt;=T221,"Sim","Não")))</f>
        <v>Sim</v>
      </c>
      <c r="X221" s="3"/>
      <c r="Y221" s="3"/>
      <c r="Z221" s="4" t="str">
        <f aca="false">IF(OR(X221="",Y221=""),"",IFERROR(IF($K221="%",Y221-X221,Y221/X221-1),""))</f>
        <v/>
      </c>
      <c r="AA221" s="5" t="str">
        <f aca="false">IF(OR(X221="",Y221=""),"",IF($F221="Maior Melhor",IF(Y221&gt;=X221,"Sim","Não"),IF(Y221&lt;=X221,"Sim","Não")))</f>
        <v/>
      </c>
      <c r="AB221" s="3"/>
      <c r="AC221" s="3"/>
      <c r="AD221" s="4" t="str">
        <f aca="false">IF(OR(AB221="",AC221=""),"",IFERROR(IF($K221="%",AC221-AB221,AC221/AB221-1),""))</f>
        <v/>
      </c>
      <c r="AE221" s="5" t="str">
        <f aca="false">IF(OR(AB221="",AC221=""),"",IF($F221="Maior Melhor",IF(AC221&gt;=AB221,"Sim","Não"),IF(AC221&lt;=AB221,"Sim","Não")))</f>
        <v/>
      </c>
      <c r="AF221" s="3"/>
      <c r="AG221" s="3"/>
      <c r="AH221" s="4" t="str">
        <f aca="false">IF(OR(AF221="",AG221=""),"",IFERROR(IF($K221="%",AG221-AF221,AG221/AF221-1),""))</f>
        <v/>
      </c>
      <c r="AI221" s="5" t="str">
        <f aca="false">IF(OR(AF221="",AG221=""),"",IF($F221="Maior Melhor",IF(AG221&gt;=AF221,"Sim","Não"),IF(AG221&lt;=AF221,"Sim","Não")))</f>
        <v/>
      </c>
      <c r="AJ221" s="3"/>
      <c r="AK221" s="3"/>
      <c r="AL221" s="4" t="str">
        <f aca="false">IF(OR(AJ221="",AK221=""),"",IFERROR(IF($K221="%",AK221-AJ221,AK221/AJ221-1),""))</f>
        <v/>
      </c>
      <c r="AM221" s="5" t="str">
        <f aca="false">IF(OR(AJ221="",AK221=""),"",IF($F221="Maior Melhor",IF(AK221&gt;=AJ221,"Sim","Não"),IF(AK221&lt;=AJ221,"Sim","Não")))</f>
        <v/>
      </c>
      <c r="AN221" s="3"/>
      <c r="AO221" s="3"/>
      <c r="AP221" s="4" t="str">
        <f aca="false">IF(OR(AN221="",AO221=""),"",IFERROR(IF($K221="%",AO221-AN221,AO221/AN221-1),""))</f>
        <v/>
      </c>
      <c r="AQ221" s="5" t="str">
        <f aca="false">IF(OR(AN221="",AO221=""),"",IF($F221="Maior Melhor",IF(AO221&gt;=AN221,"Sim","Não"),IF(AO221&lt;=AN221,"Sim","Não")))</f>
        <v/>
      </c>
      <c r="AR221" s="3"/>
      <c r="AS221" s="3"/>
      <c r="AT221" s="4" t="str">
        <f aca="false">IF(OR(AR221="",AS221=""),"",IFERROR(IF($K221="%",AS221-AR221,AS221/AR221-1),""))</f>
        <v/>
      </c>
      <c r="AU221" s="5" t="str">
        <f aca="false">IF(OR(AR221="",AS221=""),"",IF($F221="Maior Melhor",IF(AS221&gt;=AR221,"Sim","Não"),IF(AS221&lt;=AR221,"Sim","Não")))</f>
        <v/>
      </c>
      <c r="AV221" s="3" t="n">
        <v>0.67</v>
      </c>
      <c r="AW221" s="3" t="n">
        <v>0.69</v>
      </c>
      <c r="AX221" s="4" t="n">
        <f aca="false">IF(OR(AV221="",AW221=""),"",IFERROR(IF($K221="%",AW221-AV221,AW221/AV221-1),""))</f>
        <v>0.0199999999999999</v>
      </c>
      <c r="AY221" s="5" t="str">
        <f aca="false">IF(OR(AV221="",AW221=""),"",IF($F221="Maior Melhor",IF(AW221&gt;=AV221,"Sim","Não"),IF(AW221&lt;=AV221,"Sim","Não")))</f>
        <v>Sim</v>
      </c>
      <c r="AZ221" s="3" t="n">
        <v>0.67</v>
      </c>
      <c r="BA221" s="3" t="n">
        <v>0.7</v>
      </c>
      <c r="BB221" s="4" t="n">
        <f aca="false">IF(OR(AZ221="",BA221=""),"",IFERROR(IF($K221="%",BA221-AZ221,BA221/AZ221-1),""))</f>
        <v>0.0299999999999999</v>
      </c>
      <c r="BC221" s="5" t="str">
        <f aca="false">IF(OR(AZ221="",BA221=""),"",IF($F221="Maior Melhor",IF(BA221&gt;=AZ221,"Sim","Não"),IF(BA221&lt;=AZ221,"Sim","Não")))</f>
        <v>Sim</v>
      </c>
      <c r="BD221" s="3" t="n">
        <v>0.71</v>
      </c>
      <c r="BE221" s="3" t="n">
        <v>0.66</v>
      </c>
      <c r="BF221" s="4" t="n">
        <f aca="false">IF(OR(BD221="",BE221=""),"",IFERROR(IF($K221="%",BE221-BD221,BE221/BD221-1),""))</f>
        <v>-0.0499999999999999</v>
      </c>
      <c r="BG221" s="5" t="str">
        <f aca="false">IF(OR(BD221="",BE221=""),"",IF($F221="Maior Melhor",IF(BE221&gt;=BD221,"Sim","Não"),IF(BE221&lt;=BD221,"Sim","Não")))</f>
        <v>Não</v>
      </c>
      <c r="BH221" s="3" t="n">
        <v>0.71</v>
      </c>
      <c r="BI221" s="3" t="n">
        <v>0.66</v>
      </c>
      <c r="BJ221" s="4" t="n">
        <f aca="false">IF(OR(BH221="",BI221=""),"",IFERROR(IF($K221="%",BI221-BH221,BI221/BH221-1),""))</f>
        <v>-0.0499999999999999</v>
      </c>
      <c r="BK221" s="5" t="str">
        <f aca="false">IF(OR(BH221="",BI221=""),"",IF($F221="Maior Melhor",IF(BI221&gt;=BH221,"Sim","Não"),IF(BI221&lt;=BH221,"Sim","Não")))</f>
        <v>Não</v>
      </c>
      <c r="BL221" s="6"/>
      <c r="BM221" s="6"/>
      <c r="BN221" s="4" t="str">
        <f aca="false">IF(OR(BL221="",BM221=""),"",IFERROR(IF($K221="%",BM221-BL221,BM221/BL221-1),""))</f>
        <v/>
      </c>
      <c r="BO221" s="5" t="str">
        <f aca="false">IF(OR(BL221="",BM221=""),"",IF($F221="Maior Melhor",IF(BM221&gt;=BL221,"Sim","Não"),IF(BM221&lt;=BL221,"Sim","Não")))</f>
        <v/>
      </c>
      <c r="BP221" s="6"/>
      <c r="BQ221" s="6"/>
      <c r="BR221" s="4" t="str">
        <f aca="false">IF(OR(BP221="",BQ221=""),"",IFERROR(IF($K221="%",BQ221-BP221,BQ221/BP221-1),""))</f>
        <v/>
      </c>
      <c r="BS221" s="5" t="str">
        <f aca="false">IF(OR(BP221="",BQ221=""),"",IF($F221="Maior Melhor",IF(BQ221&gt;=BP221,"Sim","Não"),IF(BQ221&lt;=BP221,"Sim","Não")))</f>
        <v/>
      </c>
      <c r="BT221" s="6"/>
      <c r="BU221" s="6"/>
      <c r="BV221" s="4" t="str">
        <f aca="false">IF(OR(BT221="",BU221=""),"",IFERROR(IF($K221="%",BU221-BT221,BU221/BT221-1),""))</f>
        <v/>
      </c>
      <c r="BW221" s="5" t="str">
        <f aca="false">IF(OR(BT221="",BU221=""),"",IF($F221="Maior Melhor",IF(BU221&gt;=BT221,"Sim","Não"),IF(BU221&lt;=BT221,"Sim","Não")))</f>
        <v/>
      </c>
      <c r="BX221" s="6"/>
      <c r="BY221" s="6"/>
      <c r="BZ221" s="4" t="str">
        <f aca="false">IF(OR(BX221="",BY221=""),"",IFERROR(IF($K221="%",BY221-BX221,BY221/BX221-1),""))</f>
        <v/>
      </c>
      <c r="CA221" s="5" t="str">
        <f aca="false">IF(OR(BX221="",BY221=""),"",IF($F221="Maior Melhor",IF(BY221&gt;=BX221,"Sim","Não"),IF(BY221&lt;=BX221,"Sim","Não")))</f>
        <v/>
      </c>
      <c r="CB221" s="6"/>
      <c r="CC221" s="6"/>
      <c r="CD221" s="4" t="str">
        <f aca="false">IF(OR(CB221="",CC221=""),"",IFERROR(IF($K221="%",CC221-CB221,CC221/CB221-1),""))</f>
        <v/>
      </c>
      <c r="CE221" s="5" t="str">
        <f aca="false">IF(OR(CB221="",CC221=""),"",IF($F221="Maior Melhor",IF(CC221&gt;=CB221,"Sim","Não"),IF(CC221&lt;=CB221,"Sim","Não")))</f>
        <v/>
      </c>
      <c r="CF221" s="6"/>
      <c r="CG221" s="6"/>
      <c r="CH221" s="4" t="str">
        <f aca="false">IF(OR(CF221="",CG221=""),"",IFERROR(IF($K221="%",CG221-CF221,CG221/CF221-1),""))</f>
        <v/>
      </c>
      <c r="CI221" s="5" t="str">
        <f aca="false">IF(OR(CF221="",CG221=""),"",IF($F221="Maior Melhor",IF(CG221&gt;=CF221,"Sim","Não"),IF(CG221&lt;=CF221,"Sim","Não")))</f>
        <v/>
      </c>
      <c r="CJ221" s="6"/>
      <c r="CK221" s="6"/>
      <c r="CL221" s="4" t="str">
        <f aca="false">IF(OR(CJ221="",CK221=""),"",IFERROR(IF($K221="%",CK221-CJ221,CK221/CJ221-1),""))</f>
        <v/>
      </c>
      <c r="CM221" s="5" t="str">
        <f aca="false">IF(OR(CJ221="",CK221=""),"",IF($F221="Maior Melhor",IF(CK221&gt;=CJ221,"Sim","Não"),IF(CK221&lt;=CJ221,"Sim","Não")))</f>
        <v/>
      </c>
      <c r="CN221" s="6"/>
      <c r="CO221" s="6"/>
      <c r="CP221" s="4" t="str">
        <f aca="false">IF(OR(CN221="",CO221=""),"",IFERROR(IF($K221="%",CO221-CN221,CO221/CN221-1),""))</f>
        <v/>
      </c>
      <c r="CQ221" s="5" t="str">
        <f aca="false">IF(OR(CN221="",CO221=""),"",IF($F221="Maior Melhor",IF(CO221&gt;=CN221,"Sim","Não"),IF(CO221&lt;=CN221,"Sim","Não")))</f>
        <v/>
      </c>
      <c r="CR221" s="2" t="s">
        <v>105</v>
      </c>
    </row>
    <row r="222" customFormat="false" ht="15" hidden="false" customHeight="false" outlineLevel="0" collapsed="false">
      <c r="A222" s="2" t="s">
        <v>96</v>
      </c>
      <c r="B222" s="2" t="s">
        <v>106</v>
      </c>
      <c r="C222" s="2" t="s">
        <v>111</v>
      </c>
      <c r="D222" s="2" t="s">
        <v>181</v>
      </c>
      <c r="E222" s="2" t="str">
        <f aca="false">C222&amp;D222</f>
        <v>UTD BARREIRASLigação Nova Atendida na primeira visita</v>
      </c>
      <c r="F222" s="2" t="s">
        <v>100</v>
      </c>
      <c r="G222" s="2" t="s">
        <v>182</v>
      </c>
      <c r="H222" s="2" t="s">
        <v>102</v>
      </c>
      <c r="I222" s="2" t="s">
        <v>103</v>
      </c>
      <c r="J222" s="2" t="n">
        <v>2</v>
      </c>
      <c r="K222" s="2" t="s">
        <v>104</v>
      </c>
      <c r="L222" s="3" t="n">
        <v>0.6358</v>
      </c>
      <c r="M222" s="3" t="n">
        <v>0.7687</v>
      </c>
      <c r="N222" s="4" t="n">
        <f aca="false">IF(OR(L222="",M222=""),"",IFERROR(IF($K222="%",M222-L222,M222/L222-1),""))</f>
        <v>0.1329</v>
      </c>
      <c r="O222" s="5" t="str">
        <f aca="false">IF(OR(L222="",M222=""),"",IF($F222="Maior Melhor",IF(M222&gt;=L222,"Sim","Não"),IF(M222&lt;=L222,"Sim","Não")))</f>
        <v>Sim</v>
      </c>
      <c r="P222" s="3" t="n">
        <v>0.6462</v>
      </c>
      <c r="Q222" s="3" t="n">
        <v>0.6456</v>
      </c>
      <c r="R222" s="4" t="n">
        <f aca="false">IF(OR(P222="",Q222=""),"",IFERROR(IF($K222="%",Q222-P222,Q222/P222-1),""))</f>
        <v>-0.000600000000000045</v>
      </c>
      <c r="S222" s="5" t="str">
        <f aca="false">IF(OR(P222="",Q222=""),"",IF($F222="Maior Melhor",IF(Q222&gt;=P222,"Sim","Não"),IF(Q222&lt;=P222,"Sim","Não")))</f>
        <v>Não</v>
      </c>
      <c r="T222" s="3" t="n">
        <v>0.6567</v>
      </c>
      <c r="U222" s="3" t="n">
        <v>0.6367</v>
      </c>
      <c r="V222" s="4" t="n">
        <f aca="false">IF(OR(T222="",U222=""),"",IFERROR(IF($K222="%",U222-T222,U222/T222-1),""))</f>
        <v>-0.0199999999999999</v>
      </c>
      <c r="W222" s="5" t="str">
        <f aca="false">IF(OR(T222="",U222=""),"",IF($F222="Maior Melhor",IF(U222&gt;=T222,"Sim","Não"),IF(U222&lt;=T222,"Sim","Não")))</f>
        <v>Não</v>
      </c>
      <c r="X222" s="3"/>
      <c r="Y222" s="3"/>
      <c r="Z222" s="4" t="str">
        <f aca="false">IF(OR(X222="",Y222=""),"",IFERROR(IF($K222="%",Y222-X222,Y222/X222-1),""))</f>
        <v/>
      </c>
      <c r="AA222" s="5" t="str">
        <f aca="false">IF(OR(X222="",Y222=""),"",IF($F222="Maior Melhor",IF(Y222&gt;=X222,"Sim","Não"),IF(Y222&lt;=X222,"Sim","Não")))</f>
        <v/>
      </c>
      <c r="AB222" s="3"/>
      <c r="AC222" s="3"/>
      <c r="AD222" s="4" t="str">
        <f aca="false">IF(OR(AB222="",AC222=""),"",IFERROR(IF($K222="%",AC222-AB222,AC222/AB222-1),""))</f>
        <v/>
      </c>
      <c r="AE222" s="5" t="str">
        <f aca="false">IF(OR(AB222="",AC222=""),"",IF($F222="Maior Melhor",IF(AC222&gt;=AB222,"Sim","Não"),IF(AC222&lt;=AB222,"Sim","Não")))</f>
        <v/>
      </c>
      <c r="AF222" s="3"/>
      <c r="AG222" s="3"/>
      <c r="AH222" s="4" t="str">
        <f aca="false">IF(OR(AF222="",AG222=""),"",IFERROR(IF($K222="%",AG222-AF222,AG222/AF222-1),""))</f>
        <v/>
      </c>
      <c r="AI222" s="5" t="str">
        <f aca="false">IF(OR(AF222="",AG222=""),"",IF($F222="Maior Melhor",IF(AG222&gt;=AF222,"Sim","Não"),IF(AG222&lt;=AF222,"Sim","Não")))</f>
        <v/>
      </c>
      <c r="AJ222" s="3"/>
      <c r="AK222" s="3"/>
      <c r="AL222" s="4" t="str">
        <f aca="false">IF(OR(AJ222="",AK222=""),"",IFERROR(IF($K222="%",AK222-AJ222,AK222/AJ222-1),""))</f>
        <v/>
      </c>
      <c r="AM222" s="5" t="str">
        <f aca="false">IF(OR(AJ222="",AK222=""),"",IF($F222="Maior Melhor",IF(AK222&gt;=AJ222,"Sim","Não"),IF(AK222&lt;=AJ222,"Sim","Não")))</f>
        <v/>
      </c>
      <c r="AN222" s="3"/>
      <c r="AO222" s="3"/>
      <c r="AP222" s="4" t="str">
        <f aca="false">IF(OR(AN222="",AO222=""),"",IFERROR(IF($K222="%",AO222-AN222,AO222/AN222-1),""))</f>
        <v/>
      </c>
      <c r="AQ222" s="5" t="str">
        <f aca="false">IF(OR(AN222="",AO222=""),"",IF($F222="Maior Melhor",IF(AO222&gt;=AN222,"Sim","Não"),IF(AO222&lt;=AN222,"Sim","Não")))</f>
        <v/>
      </c>
      <c r="AR222" s="3"/>
      <c r="AS222" s="3"/>
      <c r="AT222" s="4" t="str">
        <f aca="false">IF(OR(AR222="",AS222=""),"",IFERROR(IF($K222="%",AS222-AR222,AS222/AR222-1),""))</f>
        <v/>
      </c>
      <c r="AU222" s="5" t="str">
        <f aca="false">IF(OR(AR222="",AS222=""),"",IF($F222="Maior Melhor",IF(AS222&gt;=AR222,"Sim","Não"),IF(AS222&lt;=AR222,"Sim","Não")))</f>
        <v/>
      </c>
      <c r="AV222" s="3" t="n">
        <v>0.69</v>
      </c>
      <c r="AW222" s="3" t="n">
        <v>0.71</v>
      </c>
      <c r="AX222" s="4" t="n">
        <f aca="false">IF(OR(AV222="",AW222=""),"",IFERROR(IF($K222="%",AW222-AV222,AW222/AV222-1),""))</f>
        <v>0.02</v>
      </c>
      <c r="AY222" s="5" t="str">
        <f aca="false">IF(OR(AV222="",AW222=""),"",IF($F222="Maior Melhor",IF(AW222&gt;=AV222,"Sim","Não"),IF(AW222&lt;=AV222,"Sim","Não")))</f>
        <v>Sim</v>
      </c>
      <c r="AZ222" s="3" t="n">
        <v>0.69</v>
      </c>
      <c r="BA222" s="3" t="n">
        <v>0.69</v>
      </c>
      <c r="BB222" s="4" t="n">
        <f aca="false">IF(OR(AZ222="",BA222=""),"",IFERROR(IF($K222="%",BA222-AZ222,BA222/AZ222-1),""))</f>
        <v>0</v>
      </c>
      <c r="BC222" s="5" t="str">
        <f aca="false">IF(OR(AZ222="",BA222=""),"",IF($F222="Maior Melhor",IF(BA222&gt;=AZ222,"Sim","Não"),IF(BA222&lt;=AZ222,"Sim","Não")))</f>
        <v>Sim</v>
      </c>
      <c r="BD222" s="3" t="n">
        <v>0.71</v>
      </c>
      <c r="BE222" s="3" t="n">
        <v>0.71</v>
      </c>
      <c r="BF222" s="4" t="n">
        <f aca="false">IF(OR(BD222="",BE222=""),"",IFERROR(IF($K222="%",BE222-BD222,BE222/BD222-1),""))</f>
        <v>0</v>
      </c>
      <c r="BG222" s="5" t="str">
        <f aca="false">IF(OR(BD222="",BE222=""),"",IF($F222="Maior Melhor",IF(BE222&gt;=BD222,"Sim","Não"),IF(BE222&lt;=BD222,"Sim","Não")))</f>
        <v>Sim</v>
      </c>
      <c r="BH222" s="3" t="n">
        <v>0.71</v>
      </c>
      <c r="BI222" s="3" t="n">
        <v>0.71</v>
      </c>
      <c r="BJ222" s="4" t="n">
        <f aca="false">IF(OR(BH222="",BI222=""),"",IFERROR(IF($K222="%",BI222-BH222,BI222/BH222-1),""))</f>
        <v>0</v>
      </c>
      <c r="BK222" s="5" t="str">
        <f aca="false">IF(OR(BH222="",BI222=""),"",IF($F222="Maior Melhor",IF(BI222&gt;=BH222,"Sim","Não"),IF(BI222&lt;=BH222,"Sim","Não")))</f>
        <v>Sim</v>
      </c>
      <c r="BL222" s="6"/>
      <c r="BM222" s="6"/>
      <c r="BN222" s="4" t="str">
        <f aca="false">IF(OR(BL222="",BM222=""),"",IFERROR(IF($K222="%",BM222-BL222,BM222/BL222-1),""))</f>
        <v/>
      </c>
      <c r="BO222" s="5" t="str">
        <f aca="false">IF(OR(BL222="",BM222=""),"",IF($F222="Maior Melhor",IF(BM222&gt;=BL222,"Sim","Não"),IF(BM222&lt;=BL222,"Sim","Não")))</f>
        <v/>
      </c>
      <c r="BP222" s="6"/>
      <c r="BQ222" s="6"/>
      <c r="BR222" s="4" t="str">
        <f aca="false">IF(OR(BP222="",BQ222=""),"",IFERROR(IF($K222="%",BQ222-BP222,BQ222/BP222-1),""))</f>
        <v/>
      </c>
      <c r="BS222" s="5" t="str">
        <f aca="false">IF(OR(BP222="",BQ222=""),"",IF($F222="Maior Melhor",IF(BQ222&gt;=BP222,"Sim","Não"),IF(BQ222&lt;=BP222,"Sim","Não")))</f>
        <v/>
      </c>
      <c r="BT222" s="6"/>
      <c r="BU222" s="6"/>
      <c r="BV222" s="4" t="str">
        <f aca="false">IF(OR(BT222="",BU222=""),"",IFERROR(IF($K222="%",BU222-BT222,BU222/BT222-1),""))</f>
        <v/>
      </c>
      <c r="BW222" s="5" t="str">
        <f aca="false">IF(OR(BT222="",BU222=""),"",IF($F222="Maior Melhor",IF(BU222&gt;=BT222,"Sim","Não"),IF(BU222&lt;=BT222,"Sim","Não")))</f>
        <v/>
      </c>
      <c r="BX222" s="6"/>
      <c r="BY222" s="6"/>
      <c r="BZ222" s="4" t="str">
        <f aca="false">IF(OR(BX222="",BY222=""),"",IFERROR(IF($K222="%",BY222-BX222,BY222/BX222-1),""))</f>
        <v/>
      </c>
      <c r="CA222" s="5" t="str">
        <f aca="false">IF(OR(BX222="",BY222=""),"",IF($F222="Maior Melhor",IF(BY222&gt;=BX222,"Sim","Não"),IF(BY222&lt;=BX222,"Sim","Não")))</f>
        <v/>
      </c>
      <c r="CB222" s="6"/>
      <c r="CC222" s="6"/>
      <c r="CD222" s="4" t="str">
        <f aca="false">IF(OR(CB222="",CC222=""),"",IFERROR(IF($K222="%",CC222-CB222,CC222/CB222-1),""))</f>
        <v/>
      </c>
      <c r="CE222" s="5" t="str">
        <f aca="false">IF(OR(CB222="",CC222=""),"",IF($F222="Maior Melhor",IF(CC222&gt;=CB222,"Sim","Não"),IF(CC222&lt;=CB222,"Sim","Não")))</f>
        <v/>
      </c>
      <c r="CF222" s="6"/>
      <c r="CG222" s="6"/>
      <c r="CH222" s="4" t="str">
        <f aca="false">IF(OR(CF222="",CG222=""),"",IFERROR(IF($K222="%",CG222-CF222,CG222/CF222-1),""))</f>
        <v/>
      </c>
      <c r="CI222" s="5" t="str">
        <f aca="false">IF(OR(CF222="",CG222=""),"",IF($F222="Maior Melhor",IF(CG222&gt;=CF222,"Sim","Não"),IF(CG222&lt;=CF222,"Sim","Não")))</f>
        <v/>
      </c>
      <c r="CJ222" s="6"/>
      <c r="CK222" s="6"/>
      <c r="CL222" s="4" t="str">
        <f aca="false">IF(OR(CJ222="",CK222=""),"",IFERROR(IF($K222="%",CK222-CJ222,CK222/CJ222-1),""))</f>
        <v/>
      </c>
      <c r="CM222" s="5" t="str">
        <f aca="false">IF(OR(CJ222="",CK222=""),"",IF($F222="Maior Melhor",IF(CK222&gt;=CJ222,"Sim","Não"),IF(CK222&lt;=CJ222,"Sim","Não")))</f>
        <v/>
      </c>
      <c r="CN222" s="6"/>
      <c r="CO222" s="6"/>
      <c r="CP222" s="4" t="str">
        <f aca="false">IF(OR(CN222="",CO222=""),"",IFERROR(IF($K222="%",CO222-CN222,CO222/CN222-1),""))</f>
        <v/>
      </c>
      <c r="CQ222" s="5" t="str">
        <f aca="false">IF(OR(CN222="",CO222=""),"",IF($F222="Maior Melhor",IF(CO222&gt;=CN222,"Sim","Não"),IF(CO222&lt;=CN222,"Sim","Não")))</f>
        <v/>
      </c>
      <c r="CR222" s="2" t="s">
        <v>112</v>
      </c>
    </row>
    <row r="223" customFormat="false" ht="15" hidden="false" customHeight="false" outlineLevel="0" collapsed="false">
      <c r="A223" s="2" t="s">
        <v>96</v>
      </c>
      <c r="B223" s="2" t="s">
        <v>106</v>
      </c>
      <c r="C223" s="2" t="s">
        <v>113</v>
      </c>
      <c r="D223" s="2" t="s">
        <v>181</v>
      </c>
      <c r="E223" s="2" t="str">
        <f aca="false">C223&amp;D223</f>
        <v>UTD BOM JESUS DA LAPALigação Nova Atendida na primeira visita</v>
      </c>
      <c r="F223" s="2" t="s">
        <v>100</v>
      </c>
      <c r="G223" s="2" t="s">
        <v>182</v>
      </c>
      <c r="H223" s="2" t="s">
        <v>102</v>
      </c>
      <c r="I223" s="2" t="s">
        <v>103</v>
      </c>
      <c r="J223" s="2" t="n">
        <v>2</v>
      </c>
      <c r="K223" s="2" t="s">
        <v>104</v>
      </c>
      <c r="L223" s="3" t="n">
        <v>0.64</v>
      </c>
      <c r="M223" s="3" t="n">
        <v>0.7149</v>
      </c>
      <c r="N223" s="4" t="n">
        <f aca="false">IF(OR(L223="",M223=""),"",IFERROR(IF($K223="%",M223-L223,M223/L223-1),""))</f>
        <v>0.0749</v>
      </c>
      <c r="O223" s="5" t="str">
        <f aca="false">IF(OR(L223="",M223=""),"",IF($F223="Maior Melhor",IF(M223&gt;=L223,"Sim","Não"),IF(M223&lt;=L223,"Sim","Não")))</f>
        <v>Sim</v>
      </c>
      <c r="P223" s="3" t="n">
        <v>0.6479</v>
      </c>
      <c r="Q223" s="3" t="n">
        <v>0.6575</v>
      </c>
      <c r="R223" s="4" t="n">
        <f aca="false">IF(OR(P223="",Q223=""),"",IFERROR(IF($K223="%",Q223-P223,Q223/P223-1),""))</f>
        <v>0.00959999999999994</v>
      </c>
      <c r="S223" s="5" t="str">
        <f aca="false">IF(OR(P223="",Q223=""),"",IF($F223="Maior Melhor",IF(Q223&gt;=P223,"Sim","Não"),IF(Q223&lt;=P223,"Sim","Não")))</f>
        <v>Sim</v>
      </c>
      <c r="T223" s="3" t="n">
        <v>0.6558</v>
      </c>
      <c r="U223" s="3" t="n">
        <v>0.6667</v>
      </c>
      <c r="V223" s="4" t="n">
        <f aca="false">IF(OR(T223="",U223=""),"",IFERROR(IF($K223="%",U223-T223,U223/T223-1),""))</f>
        <v>0.0108999999999999</v>
      </c>
      <c r="W223" s="5" t="str">
        <f aca="false">IF(OR(T223="",U223=""),"",IF($F223="Maior Melhor",IF(U223&gt;=T223,"Sim","Não"),IF(U223&lt;=T223,"Sim","Não")))</f>
        <v>Sim</v>
      </c>
      <c r="X223" s="3"/>
      <c r="Y223" s="3"/>
      <c r="Z223" s="4" t="str">
        <f aca="false">IF(OR(X223="",Y223=""),"",IFERROR(IF($K223="%",Y223-X223,Y223/X223-1),""))</f>
        <v/>
      </c>
      <c r="AA223" s="5" t="str">
        <f aca="false">IF(OR(X223="",Y223=""),"",IF($F223="Maior Melhor",IF(Y223&gt;=X223,"Sim","Não"),IF(Y223&lt;=X223,"Sim","Não")))</f>
        <v/>
      </c>
      <c r="AB223" s="3"/>
      <c r="AC223" s="3"/>
      <c r="AD223" s="4" t="str">
        <f aca="false">IF(OR(AB223="",AC223=""),"",IFERROR(IF($K223="%",AC223-AB223,AC223/AB223-1),""))</f>
        <v/>
      </c>
      <c r="AE223" s="5" t="str">
        <f aca="false">IF(OR(AB223="",AC223=""),"",IF($F223="Maior Melhor",IF(AC223&gt;=AB223,"Sim","Não"),IF(AC223&lt;=AB223,"Sim","Não")))</f>
        <v/>
      </c>
      <c r="AF223" s="3"/>
      <c r="AG223" s="3"/>
      <c r="AH223" s="4" t="str">
        <f aca="false">IF(OR(AF223="",AG223=""),"",IFERROR(IF($K223="%",AG223-AF223,AG223/AF223-1),""))</f>
        <v/>
      </c>
      <c r="AI223" s="5" t="str">
        <f aca="false">IF(OR(AF223="",AG223=""),"",IF($F223="Maior Melhor",IF(AG223&gt;=AF223,"Sim","Não"),IF(AG223&lt;=AF223,"Sim","Não")))</f>
        <v/>
      </c>
      <c r="AJ223" s="3"/>
      <c r="AK223" s="3"/>
      <c r="AL223" s="4" t="str">
        <f aca="false">IF(OR(AJ223="",AK223=""),"",IFERROR(IF($K223="%",AK223-AJ223,AK223/AJ223-1),""))</f>
        <v/>
      </c>
      <c r="AM223" s="5" t="str">
        <f aca="false">IF(OR(AJ223="",AK223=""),"",IF($F223="Maior Melhor",IF(AK223&gt;=AJ223,"Sim","Não"),IF(AK223&lt;=AJ223,"Sim","Não")))</f>
        <v/>
      </c>
      <c r="AN223" s="3"/>
      <c r="AO223" s="3"/>
      <c r="AP223" s="4" t="str">
        <f aca="false">IF(OR(AN223="",AO223=""),"",IFERROR(IF($K223="%",AO223-AN223,AO223/AN223-1),""))</f>
        <v/>
      </c>
      <c r="AQ223" s="5" t="str">
        <f aca="false">IF(OR(AN223="",AO223=""),"",IF($F223="Maior Melhor",IF(AO223&gt;=AN223,"Sim","Não"),IF(AO223&lt;=AN223,"Sim","Não")))</f>
        <v/>
      </c>
      <c r="AR223" s="3"/>
      <c r="AS223" s="3"/>
      <c r="AT223" s="4" t="str">
        <f aca="false">IF(OR(AR223="",AS223=""),"",IFERROR(IF($K223="%",AS223-AR223,AS223/AR223-1),""))</f>
        <v/>
      </c>
      <c r="AU223" s="5" t="str">
        <f aca="false">IF(OR(AR223="",AS223=""),"",IF($F223="Maior Melhor",IF(AS223&gt;=AR223,"Sim","Não"),IF(AS223&lt;=AR223,"Sim","Não")))</f>
        <v/>
      </c>
      <c r="AV223" s="3" t="n">
        <v>0.68</v>
      </c>
      <c r="AW223" s="3" t="n">
        <v>0.72</v>
      </c>
      <c r="AX223" s="4" t="n">
        <f aca="false">IF(OR(AV223="",AW223=""),"",IFERROR(IF($K223="%",AW223-AV223,AW223/AV223-1),""))</f>
        <v>0.0399999999999999</v>
      </c>
      <c r="AY223" s="5" t="str">
        <f aca="false">IF(OR(AV223="",AW223=""),"",IF($F223="Maior Melhor",IF(AW223&gt;=AV223,"Sim","Não"),IF(AW223&lt;=AV223,"Sim","Não")))</f>
        <v>Sim</v>
      </c>
      <c r="AZ223" s="3" t="n">
        <v>0.68</v>
      </c>
      <c r="BA223" s="3" t="n">
        <v>0.71</v>
      </c>
      <c r="BB223" s="4" t="n">
        <f aca="false">IF(OR(AZ223="",BA223=""),"",IFERROR(IF($K223="%",BA223-AZ223,BA223/AZ223-1),""))</f>
        <v>0.0299999999999999</v>
      </c>
      <c r="BC223" s="5" t="str">
        <f aca="false">IF(OR(AZ223="",BA223=""),"",IF($F223="Maior Melhor",IF(BA223&gt;=AZ223,"Sim","Não"),IF(BA223&lt;=AZ223,"Sim","Não")))</f>
        <v>Sim</v>
      </c>
      <c r="BD223" s="3" t="n">
        <v>0.7</v>
      </c>
      <c r="BE223" s="3" t="n">
        <v>0.69</v>
      </c>
      <c r="BF223" s="4" t="n">
        <f aca="false">IF(OR(BD223="",BE223=""),"",IFERROR(IF($K223="%",BE223-BD223,BE223/BD223-1),""))</f>
        <v>-0.01</v>
      </c>
      <c r="BG223" s="5" t="str">
        <f aca="false">IF(OR(BD223="",BE223=""),"",IF($F223="Maior Melhor",IF(BE223&gt;=BD223,"Sim","Não"),IF(BE223&lt;=BD223,"Sim","Não")))</f>
        <v>Não</v>
      </c>
      <c r="BH223" s="3" t="n">
        <v>0.7</v>
      </c>
      <c r="BI223" s="3" t="n">
        <v>0.69</v>
      </c>
      <c r="BJ223" s="4" t="n">
        <f aca="false">IF(OR(BH223="",BI223=""),"",IFERROR(IF($K223="%",BI223-BH223,BI223/BH223-1),""))</f>
        <v>-0.01</v>
      </c>
      <c r="BK223" s="5" t="str">
        <f aca="false">IF(OR(BH223="",BI223=""),"",IF($F223="Maior Melhor",IF(BI223&gt;=BH223,"Sim","Não"),IF(BI223&lt;=BH223,"Sim","Não")))</f>
        <v>Não</v>
      </c>
      <c r="BL223" s="6"/>
      <c r="BM223" s="6"/>
      <c r="BN223" s="4" t="str">
        <f aca="false">IF(OR(BL223="",BM223=""),"",IFERROR(IF($K223="%",BM223-BL223,BM223/BL223-1),""))</f>
        <v/>
      </c>
      <c r="BO223" s="5" t="str">
        <f aca="false">IF(OR(BL223="",BM223=""),"",IF($F223="Maior Melhor",IF(BM223&gt;=BL223,"Sim","Não"),IF(BM223&lt;=BL223,"Sim","Não")))</f>
        <v/>
      </c>
      <c r="BP223" s="6"/>
      <c r="BQ223" s="6"/>
      <c r="BR223" s="4" t="str">
        <f aca="false">IF(OR(BP223="",BQ223=""),"",IFERROR(IF($K223="%",BQ223-BP223,BQ223/BP223-1),""))</f>
        <v/>
      </c>
      <c r="BS223" s="5" t="str">
        <f aca="false">IF(OR(BP223="",BQ223=""),"",IF($F223="Maior Melhor",IF(BQ223&gt;=BP223,"Sim","Não"),IF(BQ223&lt;=BP223,"Sim","Não")))</f>
        <v/>
      </c>
      <c r="BT223" s="6"/>
      <c r="BU223" s="6"/>
      <c r="BV223" s="4" t="str">
        <f aca="false">IF(OR(BT223="",BU223=""),"",IFERROR(IF($K223="%",BU223-BT223,BU223/BT223-1),""))</f>
        <v/>
      </c>
      <c r="BW223" s="5" t="str">
        <f aca="false">IF(OR(BT223="",BU223=""),"",IF($F223="Maior Melhor",IF(BU223&gt;=BT223,"Sim","Não"),IF(BU223&lt;=BT223,"Sim","Não")))</f>
        <v/>
      </c>
      <c r="BX223" s="6"/>
      <c r="BY223" s="6"/>
      <c r="BZ223" s="4" t="str">
        <f aca="false">IF(OR(BX223="",BY223=""),"",IFERROR(IF($K223="%",BY223-BX223,BY223/BX223-1),""))</f>
        <v/>
      </c>
      <c r="CA223" s="5" t="str">
        <f aca="false">IF(OR(BX223="",BY223=""),"",IF($F223="Maior Melhor",IF(BY223&gt;=BX223,"Sim","Não"),IF(BY223&lt;=BX223,"Sim","Não")))</f>
        <v/>
      </c>
      <c r="CB223" s="6"/>
      <c r="CC223" s="6"/>
      <c r="CD223" s="4" t="str">
        <f aca="false">IF(OR(CB223="",CC223=""),"",IFERROR(IF($K223="%",CC223-CB223,CC223/CB223-1),""))</f>
        <v/>
      </c>
      <c r="CE223" s="5" t="str">
        <f aca="false">IF(OR(CB223="",CC223=""),"",IF($F223="Maior Melhor",IF(CC223&gt;=CB223,"Sim","Não"),IF(CC223&lt;=CB223,"Sim","Não")))</f>
        <v/>
      </c>
      <c r="CF223" s="6"/>
      <c r="CG223" s="6"/>
      <c r="CH223" s="4" t="str">
        <f aca="false">IF(OR(CF223="",CG223=""),"",IFERROR(IF($K223="%",CG223-CF223,CG223/CF223-1),""))</f>
        <v/>
      </c>
      <c r="CI223" s="5" t="str">
        <f aca="false">IF(OR(CF223="",CG223=""),"",IF($F223="Maior Melhor",IF(CG223&gt;=CF223,"Sim","Não"),IF(CG223&lt;=CF223,"Sim","Não")))</f>
        <v/>
      </c>
      <c r="CJ223" s="6"/>
      <c r="CK223" s="6"/>
      <c r="CL223" s="4" t="str">
        <f aca="false">IF(OR(CJ223="",CK223=""),"",IFERROR(IF($K223="%",CK223-CJ223,CK223/CJ223-1),""))</f>
        <v/>
      </c>
      <c r="CM223" s="5" t="str">
        <f aca="false">IF(OR(CJ223="",CK223=""),"",IF($F223="Maior Melhor",IF(CK223&gt;=CJ223,"Sim","Não"),IF(CK223&lt;=CJ223,"Sim","Não")))</f>
        <v/>
      </c>
      <c r="CN223" s="6"/>
      <c r="CO223" s="6"/>
      <c r="CP223" s="4" t="str">
        <f aca="false">IF(OR(CN223="",CO223=""),"",IFERROR(IF($K223="%",CO223-CN223,CO223/CN223-1),""))</f>
        <v/>
      </c>
      <c r="CQ223" s="5" t="str">
        <f aca="false">IF(OR(CN223="",CO223=""),"",IF($F223="Maior Melhor",IF(CO223&gt;=CN223,"Sim","Não"),IF(CO223&lt;=CN223,"Sim","Não")))</f>
        <v/>
      </c>
      <c r="CR223" s="2" t="s">
        <v>114</v>
      </c>
    </row>
    <row r="224" customFormat="false" ht="15" hidden="false" customHeight="false" outlineLevel="0" collapsed="false">
      <c r="A224" s="2" t="s">
        <v>96</v>
      </c>
      <c r="B224" s="2" t="s">
        <v>108</v>
      </c>
      <c r="C224" s="2" t="s">
        <v>115</v>
      </c>
      <c r="D224" s="2" t="s">
        <v>181</v>
      </c>
      <c r="E224" s="2" t="str">
        <f aca="false">C224&amp;D224</f>
        <v>UTD BRUMADOLigação Nova Atendida na primeira visita</v>
      </c>
      <c r="F224" s="2" t="s">
        <v>100</v>
      </c>
      <c r="G224" s="2" t="s">
        <v>182</v>
      </c>
      <c r="H224" s="2" t="s">
        <v>102</v>
      </c>
      <c r="I224" s="2" t="s">
        <v>103</v>
      </c>
      <c r="J224" s="2" t="n">
        <v>2</v>
      </c>
      <c r="K224" s="2" t="s">
        <v>104</v>
      </c>
      <c r="L224" s="3" t="n">
        <v>0.6354</v>
      </c>
      <c r="M224" s="3" t="n">
        <v>0.5981</v>
      </c>
      <c r="N224" s="4" t="n">
        <f aca="false">IF(OR(L224="",M224=""),"",IFERROR(IF($K224="%",M224-L224,M224/L224-1),""))</f>
        <v>-0.0373</v>
      </c>
      <c r="O224" s="5" t="str">
        <f aca="false">IF(OR(L224="",M224=""),"",IF($F224="Maior Melhor",IF(M224&gt;=L224,"Sim","Não"),IF(M224&lt;=L224,"Sim","Não")))</f>
        <v>Não</v>
      </c>
      <c r="P224" s="3" t="n">
        <v>0.6458</v>
      </c>
      <c r="Q224" s="3" t="n">
        <v>0.5833</v>
      </c>
      <c r="R224" s="4" t="n">
        <f aca="false">IF(OR(P224="",Q224=""),"",IFERROR(IF($K224="%",Q224-P224,Q224/P224-1),""))</f>
        <v>-0.0625</v>
      </c>
      <c r="S224" s="5" t="str">
        <f aca="false">IF(OR(P224="",Q224=""),"",IF($F224="Maior Melhor",IF(Q224&gt;=P224,"Sim","Não"),IF(Q224&lt;=P224,"Sim","Não")))</f>
        <v>Não</v>
      </c>
      <c r="T224" s="3" t="n">
        <v>0.6563</v>
      </c>
      <c r="U224" s="3" t="n">
        <v>0.6359</v>
      </c>
      <c r="V224" s="4" t="n">
        <f aca="false">IF(OR(T224="",U224=""),"",IFERROR(IF($K224="%",U224-T224,U224/T224-1),""))</f>
        <v>-0.0204</v>
      </c>
      <c r="W224" s="5" t="str">
        <f aca="false">IF(OR(T224="",U224=""),"",IF($F224="Maior Melhor",IF(U224&gt;=T224,"Sim","Não"),IF(U224&lt;=T224,"Sim","Não")))</f>
        <v>Não</v>
      </c>
      <c r="X224" s="3"/>
      <c r="Y224" s="3"/>
      <c r="Z224" s="4" t="str">
        <f aca="false">IF(OR(X224="",Y224=""),"",IFERROR(IF($K224="%",Y224-X224,Y224/X224-1),""))</f>
        <v/>
      </c>
      <c r="AA224" s="5" t="str">
        <f aca="false">IF(OR(X224="",Y224=""),"",IF($F224="Maior Melhor",IF(Y224&gt;=X224,"Sim","Não"),IF(Y224&lt;=X224,"Sim","Não")))</f>
        <v/>
      </c>
      <c r="AB224" s="3"/>
      <c r="AC224" s="3"/>
      <c r="AD224" s="4" t="str">
        <f aca="false">IF(OR(AB224="",AC224=""),"",IFERROR(IF($K224="%",AC224-AB224,AC224/AB224-1),""))</f>
        <v/>
      </c>
      <c r="AE224" s="5" t="str">
        <f aca="false">IF(OR(AB224="",AC224=""),"",IF($F224="Maior Melhor",IF(AC224&gt;=AB224,"Sim","Não"),IF(AC224&lt;=AB224,"Sim","Não")))</f>
        <v/>
      </c>
      <c r="AF224" s="3"/>
      <c r="AG224" s="3"/>
      <c r="AH224" s="4" t="str">
        <f aca="false">IF(OR(AF224="",AG224=""),"",IFERROR(IF($K224="%",AG224-AF224,AG224/AF224-1),""))</f>
        <v/>
      </c>
      <c r="AI224" s="5" t="str">
        <f aca="false">IF(OR(AF224="",AG224=""),"",IF($F224="Maior Melhor",IF(AG224&gt;=AF224,"Sim","Não"),IF(AG224&lt;=AF224,"Sim","Não")))</f>
        <v/>
      </c>
      <c r="AJ224" s="3"/>
      <c r="AK224" s="3"/>
      <c r="AL224" s="4" t="str">
        <f aca="false">IF(OR(AJ224="",AK224=""),"",IFERROR(IF($K224="%",AK224-AJ224,AK224/AJ224-1),""))</f>
        <v/>
      </c>
      <c r="AM224" s="5" t="str">
        <f aca="false">IF(OR(AJ224="",AK224=""),"",IF($F224="Maior Melhor",IF(AK224&gt;=AJ224,"Sim","Não"),IF(AK224&lt;=AJ224,"Sim","Não")))</f>
        <v/>
      </c>
      <c r="AN224" s="3"/>
      <c r="AO224" s="3"/>
      <c r="AP224" s="4" t="str">
        <f aca="false">IF(OR(AN224="",AO224=""),"",IFERROR(IF($K224="%",AO224-AN224,AO224/AN224-1),""))</f>
        <v/>
      </c>
      <c r="AQ224" s="5" t="str">
        <f aca="false">IF(OR(AN224="",AO224=""),"",IF($F224="Maior Melhor",IF(AO224&gt;=AN224,"Sim","Não"),IF(AO224&lt;=AN224,"Sim","Não")))</f>
        <v/>
      </c>
      <c r="AR224" s="3"/>
      <c r="AS224" s="3"/>
      <c r="AT224" s="4" t="str">
        <f aca="false">IF(OR(AR224="",AS224=""),"",IFERROR(IF($K224="%",AS224-AR224,AS224/AR224-1),""))</f>
        <v/>
      </c>
      <c r="AU224" s="5" t="str">
        <f aca="false">IF(OR(AR224="",AS224=""),"",IF($F224="Maior Melhor",IF(AS224&gt;=AR224,"Sim","Não"),IF(AS224&lt;=AR224,"Sim","Não")))</f>
        <v/>
      </c>
      <c r="AV224" s="3" t="n">
        <v>0.69</v>
      </c>
      <c r="AW224" s="3" t="n">
        <v>0.78</v>
      </c>
      <c r="AX224" s="4" t="n">
        <f aca="false">IF(OR(AV224="",AW224=""),"",IFERROR(IF($K224="%",AW224-AV224,AW224/AV224-1),""))</f>
        <v>0.0900000000000001</v>
      </c>
      <c r="AY224" s="5" t="str">
        <f aca="false">IF(OR(AV224="",AW224=""),"",IF($F224="Maior Melhor",IF(AW224&gt;=AV224,"Sim","Não"),IF(AW224&lt;=AV224,"Sim","Não")))</f>
        <v>Sim</v>
      </c>
      <c r="AZ224" s="3" t="n">
        <v>0.69</v>
      </c>
      <c r="BA224" s="3" t="n">
        <v>0.7</v>
      </c>
      <c r="BB224" s="4" t="n">
        <f aca="false">IF(OR(AZ224="",BA224=""),"",IFERROR(IF($K224="%",BA224-AZ224,BA224/AZ224-1),""))</f>
        <v>0.01</v>
      </c>
      <c r="BC224" s="5" t="str">
        <f aca="false">IF(OR(AZ224="",BA224=""),"",IF($F224="Maior Melhor",IF(BA224&gt;=AZ224,"Sim","Não"),IF(BA224&lt;=AZ224,"Sim","Não")))</f>
        <v>Sim</v>
      </c>
      <c r="BD224" s="3" t="n">
        <v>0.71</v>
      </c>
      <c r="BE224" s="3" t="n">
        <v>0.7</v>
      </c>
      <c r="BF224" s="4" t="n">
        <f aca="false">IF(OR(BD224="",BE224=""),"",IFERROR(IF($K224="%",BE224-BD224,BE224/BD224-1),""))</f>
        <v>-0.01</v>
      </c>
      <c r="BG224" s="5" t="str">
        <f aca="false">IF(OR(BD224="",BE224=""),"",IF($F224="Maior Melhor",IF(BE224&gt;=BD224,"Sim","Não"),IF(BE224&lt;=BD224,"Sim","Não")))</f>
        <v>Não</v>
      </c>
      <c r="BH224" s="3" t="n">
        <v>0.71</v>
      </c>
      <c r="BI224" s="3" t="n">
        <v>0.7</v>
      </c>
      <c r="BJ224" s="4" t="n">
        <f aca="false">IF(OR(BH224="",BI224=""),"",IFERROR(IF($K224="%",BI224-BH224,BI224/BH224-1),""))</f>
        <v>-0.01</v>
      </c>
      <c r="BK224" s="5" t="str">
        <f aca="false">IF(OR(BH224="",BI224=""),"",IF($F224="Maior Melhor",IF(BI224&gt;=BH224,"Sim","Não"),IF(BI224&lt;=BH224,"Sim","Não")))</f>
        <v>Não</v>
      </c>
      <c r="BL224" s="6"/>
      <c r="BM224" s="6"/>
      <c r="BN224" s="4" t="str">
        <f aca="false">IF(OR(BL224="",BM224=""),"",IFERROR(IF($K224="%",BM224-BL224,BM224/BL224-1),""))</f>
        <v/>
      </c>
      <c r="BO224" s="5" t="str">
        <f aca="false">IF(OR(BL224="",BM224=""),"",IF($F224="Maior Melhor",IF(BM224&gt;=BL224,"Sim","Não"),IF(BM224&lt;=BL224,"Sim","Não")))</f>
        <v/>
      </c>
      <c r="BP224" s="6"/>
      <c r="BQ224" s="6"/>
      <c r="BR224" s="4" t="str">
        <f aca="false">IF(OR(BP224="",BQ224=""),"",IFERROR(IF($K224="%",BQ224-BP224,BQ224/BP224-1),""))</f>
        <v/>
      </c>
      <c r="BS224" s="5" t="str">
        <f aca="false">IF(OR(BP224="",BQ224=""),"",IF($F224="Maior Melhor",IF(BQ224&gt;=BP224,"Sim","Não"),IF(BQ224&lt;=BP224,"Sim","Não")))</f>
        <v/>
      </c>
      <c r="BT224" s="6"/>
      <c r="BU224" s="6"/>
      <c r="BV224" s="4" t="str">
        <f aca="false">IF(OR(BT224="",BU224=""),"",IFERROR(IF($K224="%",BU224-BT224,BU224/BT224-1),""))</f>
        <v/>
      </c>
      <c r="BW224" s="5" t="str">
        <f aca="false">IF(OR(BT224="",BU224=""),"",IF($F224="Maior Melhor",IF(BU224&gt;=BT224,"Sim","Não"),IF(BU224&lt;=BT224,"Sim","Não")))</f>
        <v/>
      </c>
      <c r="BX224" s="6"/>
      <c r="BY224" s="6"/>
      <c r="BZ224" s="4" t="str">
        <f aca="false">IF(OR(BX224="",BY224=""),"",IFERROR(IF($K224="%",BY224-BX224,BY224/BX224-1),""))</f>
        <v/>
      </c>
      <c r="CA224" s="5" t="str">
        <f aca="false">IF(OR(BX224="",BY224=""),"",IF($F224="Maior Melhor",IF(BY224&gt;=BX224,"Sim","Não"),IF(BY224&lt;=BX224,"Sim","Não")))</f>
        <v/>
      </c>
      <c r="CB224" s="6"/>
      <c r="CC224" s="6"/>
      <c r="CD224" s="4" t="str">
        <f aca="false">IF(OR(CB224="",CC224=""),"",IFERROR(IF($K224="%",CC224-CB224,CC224/CB224-1),""))</f>
        <v/>
      </c>
      <c r="CE224" s="5" t="str">
        <f aca="false">IF(OR(CB224="",CC224=""),"",IF($F224="Maior Melhor",IF(CC224&gt;=CB224,"Sim","Não"),IF(CC224&lt;=CB224,"Sim","Não")))</f>
        <v/>
      </c>
      <c r="CF224" s="6"/>
      <c r="CG224" s="6"/>
      <c r="CH224" s="4" t="str">
        <f aca="false">IF(OR(CF224="",CG224=""),"",IFERROR(IF($K224="%",CG224-CF224,CG224/CF224-1),""))</f>
        <v/>
      </c>
      <c r="CI224" s="5" t="str">
        <f aca="false">IF(OR(CF224="",CG224=""),"",IF($F224="Maior Melhor",IF(CG224&gt;=CF224,"Sim","Não"),IF(CG224&lt;=CF224,"Sim","Não")))</f>
        <v/>
      </c>
      <c r="CJ224" s="6"/>
      <c r="CK224" s="6"/>
      <c r="CL224" s="4" t="str">
        <f aca="false">IF(OR(CJ224="",CK224=""),"",IFERROR(IF($K224="%",CK224-CJ224,CK224/CJ224-1),""))</f>
        <v/>
      </c>
      <c r="CM224" s="5" t="str">
        <f aca="false">IF(OR(CJ224="",CK224=""),"",IF($F224="Maior Melhor",IF(CK224&gt;=CJ224,"Sim","Não"),IF(CK224&lt;=CJ224,"Sim","Não")))</f>
        <v/>
      </c>
      <c r="CN224" s="6"/>
      <c r="CO224" s="6"/>
      <c r="CP224" s="4" t="str">
        <f aca="false">IF(OR(CN224="",CO224=""),"",IFERROR(IF($K224="%",CO224-CN224,CO224/CN224-1),""))</f>
        <v/>
      </c>
      <c r="CQ224" s="5" t="str">
        <f aca="false">IF(OR(CN224="",CO224=""),"",IF($F224="Maior Melhor",IF(CO224&gt;=CN224,"Sim","Não"),IF(CO224&lt;=CN224,"Sim","Não")))</f>
        <v/>
      </c>
      <c r="CR224" s="2" t="s">
        <v>105</v>
      </c>
    </row>
    <row r="225" customFormat="false" ht="15" hidden="false" customHeight="false" outlineLevel="0" collapsed="false">
      <c r="A225" s="2" t="s">
        <v>96</v>
      </c>
      <c r="B225" s="2" t="s">
        <v>108</v>
      </c>
      <c r="C225" s="2" t="s">
        <v>117</v>
      </c>
      <c r="D225" s="2" t="s">
        <v>181</v>
      </c>
      <c r="E225" s="2" t="str">
        <f aca="false">C225&amp;D225</f>
        <v>UTD GUANAMBILigação Nova Atendida na primeira visita</v>
      </c>
      <c r="F225" s="2" t="s">
        <v>100</v>
      </c>
      <c r="G225" s="2" t="s">
        <v>182</v>
      </c>
      <c r="H225" s="2" t="s">
        <v>102</v>
      </c>
      <c r="I225" s="2" t="s">
        <v>103</v>
      </c>
      <c r="J225" s="2" t="n">
        <v>2</v>
      </c>
      <c r="K225" s="2" t="s">
        <v>104</v>
      </c>
      <c r="L225" s="3" t="n">
        <v>0.6087</v>
      </c>
      <c r="M225" s="3" t="n">
        <v>0.6376</v>
      </c>
      <c r="N225" s="4" t="n">
        <f aca="false">IF(OR(L225="",M225=""),"",IFERROR(IF($K225="%",M225-L225,M225/L225-1),""))</f>
        <v>0.0288999999999999</v>
      </c>
      <c r="O225" s="5" t="str">
        <f aca="false">IF(OR(L225="",M225=""),"",IF($F225="Maior Melhor",IF(M225&gt;=L225,"Sim","Não"),IF(M225&lt;=L225,"Sim","Não")))</f>
        <v>Sim</v>
      </c>
      <c r="P225" s="3" t="n">
        <v>0.6187</v>
      </c>
      <c r="Q225" s="3" t="n">
        <v>0.5926</v>
      </c>
      <c r="R225" s="4" t="n">
        <f aca="false">IF(OR(P225="",Q225=""),"",IFERROR(IF($K225="%",Q225-P225,Q225/P225-1),""))</f>
        <v>-0.0261</v>
      </c>
      <c r="S225" s="5" t="str">
        <f aca="false">IF(OR(P225="",Q225=""),"",IF($F225="Maior Melhor",IF(Q225&gt;=P225,"Sim","Não"),IF(Q225&lt;=P225,"Sim","Não")))</f>
        <v>Não</v>
      </c>
      <c r="T225" s="3" t="n">
        <v>0.6287</v>
      </c>
      <c r="U225" s="3" t="n">
        <v>0.6188</v>
      </c>
      <c r="V225" s="4" t="n">
        <f aca="false">IF(OR(T225="",U225=""),"",IFERROR(IF($K225="%",U225-T225,U225/T225-1),""))</f>
        <v>-0.00990000000000002</v>
      </c>
      <c r="W225" s="5" t="str">
        <f aca="false">IF(OR(T225="",U225=""),"",IF($F225="Maior Melhor",IF(U225&gt;=T225,"Sim","Não"),IF(U225&lt;=T225,"Sim","Não")))</f>
        <v>Não</v>
      </c>
      <c r="X225" s="3"/>
      <c r="Y225" s="3"/>
      <c r="Z225" s="4" t="str">
        <f aca="false">IF(OR(X225="",Y225=""),"",IFERROR(IF($K225="%",Y225-X225,Y225/X225-1),""))</f>
        <v/>
      </c>
      <c r="AA225" s="5" t="str">
        <f aca="false">IF(OR(X225="",Y225=""),"",IF($F225="Maior Melhor",IF(Y225&gt;=X225,"Sim","Não"),IF(Y225&lt;=X225,"Sim","Não")))</f>
        <v/>
      </c>
      <c r="AB225" s="3"/>
      <c r="AC225" s="3"/>
      <c r="AD225" s="4" t="str">
        <f aca="false">IF(OR(AB225="",AC225=""),"",IFERROR(IF($K225="%",AC225-AB225,AC225/AB225-1),""))</f>
        <v/>
      </c>
      <c r="AE225" s="5" t="str">
        <f aca="false">IF(OR(AB225="",AC225=""),"",IF($F225="Maior Melhor",IF(AC225&gt;=AB225,"Sim","Não"),IF(AC225&lt;=AB225,"Sim","Não")))</f>
        <v/>
      </c>
      <c r="AF225" s="3"/>
      <c r="AG225" s="3"/>
      <c r="AH225" s="4" t="str">
        <f aca="false">IF(OR(AF225="",AG225=""),"",IFERROR(IF($K225="%",AG225-AF225,AG225/AF225-1),""))</f>
        <v/>
      </c>
      <c r="AI225" s="5" t="str">
        <f aca="false">IF(OR(AF225="",AG225=""),"",IF($F225="Maior Melhor",IF(AG225&gt;=AF225,"Sim","Não"),IF(AG225&lt;=AF225,"Sim","Não")))</f>
        <v/>
      </c>
      <c r="AJ225" s="3"/>
      <c r="AK225" s="3"/>
      <c r="AL225" s="4" t="str">
        <f aca="false">IF(OR(AJ225="",AK225=""),"",IFERROR(IF($K225="%",AK225-AJ225,AK225/AJ225-1),""))</f>
        <v/>
      </c>
      <c r="AM225" s="5" t="str">
        <f aca="false">IF(OR(AJ225="",AK225=""),"",IF($F225="Maior Melhor",IF(AK225&gt;=AJ225,"Sim","Não"),IF(AK225&lt;=AJ225,"Sim","Não")))</f>
        <v/>
      </c>
      <c r="AN225" s="3"/>
      <c r="AO225" s="3"/>
      <c r="AP225" s="4" t="str">
        <f aca="false">IF(OR(AN225="",AO225=""),"",IFERROR(IF($K225="%",AO225-AN225,AO225/AN225-1),""))</f>
        <v/>
      </c>
      <c r="AQ225" s="5" t="str">
        <f aca="false">IF(OR(AN225="",AO225=""),"",IF($F225="Maior Melhor",IF(AO225&gt;=AN225,"Sim","Não"),IF(AO225&lt;=AN225,"Sim","Não")))</f>
        <v/>
      </c>
      <c r="AR225" s="3"/>
      <c r="AS225" s="3"/>
      <c r="AT225" s="4" t="str">
        <f aca="false">IF(OR(AR225="",AS225=""),"",IFERROR(IF($K225="%",AS225-AR225,AS225/AR225-1),""))</f>
        <v/>
      </c>
      <c r="AU225" s="5" t="str">
        <f aca="false">IF(OR(AR225="",AS225=""),"",IF($F225="Maior Melhor",IF(AS225&gt;=AR225,"Sim","Não"),IF(AS225&lt;=AR225,"Sim","Não")))</f>
        <v/>
      </c>
      <c r="AV225" s="3" t="n">
        <v>0.66</v>
      </c>
      <c r="AW225" s="3" t="n">
        <v>0.55</v>
      </c>
      <c r="AX225" s="4" t="n">
        <f aca="false">IF(OR(AV225="",AW225=""),"",IFERROR(IF($K225="%",AW225-AV225,AW225/AV225-1),""))</f>
        <v>-0.11</v>
      </c>
      <c r="AY225" s="5" t="str">
        <f aca="false">IF(OR(AV225="",AW225=""),"",IF($F225="Maior Melhor",IF(AW225&gt;=AV225,"Sim","Não"),IF(AW225&lt;=AV225,"Sim","Não")))</f>
        <v>Não</v>
      </c>
      <c r="AZ225" s="3" t="n">
        <v>0.66</v>
      </c>
      <c r="BA225" s="3" t="n">
        <v>0.62</v>
      </c>
      <c r="BB225" s="4" t="n">
        <f aca="false">IF(OR(AZ225="",BA225=""),"",IFERROR(IF($K225="%",BA225-AZ225,BA225/AZ225-1),""))</f>
        <v>-0.04</v>
      </c>
      <c r="BC225" s="5" t="str">
        <f aca="false">IF(OR(AZ225="",BA225=""),"",IF($F225="Maior Melhor",IF(BA225&gt;=AZ225,"Sim","Não"),IF(BA225&lt;=AZ225,"Sim","Não")))</f>
        <v>Não</v>
      </c>
      <c r="BD225" s="3" t="n">
        <v>0.68</v>
      </c>
      <c r="BE225" s="3" t="n">
        <v>0.55</v>
      </c>
      <c r="BF225" s="4" t="n">
        <f aca="false">IF(OR(BD225="",BE225=""),"",IFERROR(IF($K225="%",BE225-BD225,BE225/BD225-1),""))</f>
        <v>-0.13</v>
      </c>
      <c r="BG225" s="5" t="str">
        <f aca="false">IF(OR(BD225="",BE225=""),"",IF($F225="Maior Melhor",IF(BE225&gt;=BD225,"Sim","Não"),IF(BE225&lt;=BD225,"Sim","Não")))</f>
        <v>Não</v>
      </c>
      <c r="BH225" s="3" t="n">
        <v>0.68</v>
      </c>
      <c r="BI225" s="3" t="n">
        <v>0.55</v>
      </c>
      <c r="BJ225" s="4" t="n">
        <f aca="false">IF(OR(BH225="",BI225=""),"",IFERROR(IF($K225="%",BI225-BH225,BI225/BH225-1),""))</f>
        <v>-0.13</v>
      </c>
      <c r="BK225" s="5" t="str">
        <f aca="false">IF(OR(BH225="",BI225=""),"",IF($F225="Maior Melhor",IF(BI225&gt;=BH225,"Sim","Não"),IF(BI225&lt;=BH225,"Sim","Não")))</f>
        <v>Não</v>
      </c>
      <c r="BL225" s="6"/>
      <c r="BM225" s="6"/>
      <c r="BN225" s="4" t="str">
        <f aca="false">IF(OR(BL225="",BM225=""),"",IFERROR(IF($K225="%",BM225-BL225,BM225/BL225-1),""))</f>
        <v/>
      </c>
      <c r="BO225" s="5" t="str">
        <f aca="false">IF(OR(BL225="",BM225=""),"",IF($F225="Maior Melhor",IF(BM225&gt;=BL225,"Sim","Não"),IF(BM225&lt;=BL225,"Sim","Não")))</f>
        <v/>
      </c>
      <c r="BP225" s="6"/>
      <c r="BQ225" s="6"/>
      <c r="BR225" s="4" t="str">
        <f aca="false">IF(OR(BP225="",BQ225=""),"",IFERROR(IF($K225="%",BQ225-BP225,BQ225/BP225-1),""))</f>
        <v/>
      </c>
      <c r="BS225" s="5" t="str">
        <f aca="false">IF(OR(BP225="",BQ225=""),"",IF($F225="Maior Melhor",IF(BQ225&gt;=BP225,"Sim","Não"),IF(BQ225&lt;=BP225,"Sim","Não")))</f>
        <v/>
      </c>
      <c r="BT225" s="6"/>
      <c r="BU225" s="6"/>
      <c r="BV225" s="4" t="str">
        <f aca="false">IF(OR(BT225="",BU225=""),"",IFERROR(IF($K225="%",BU225-BT225,BU225/BT225-1),""))</f>
        <v/>
      </c>
      <c r="BW225" s="5" t="str">
        <f aca="false">IF(OR(BT225="",BU225=""),"",IF($F225="Maior Melhor",IF(BU225&gt;=BT225,"Sim","Não"),IF(BU225&lt;=BT225,"Sim","Não")))</f>
        <v/>
      </c>
      <c r="BX225" s="6"/>
      <c r="BY225" s="6"/>
      <c r="BZ225" s="4" t="str">
        <f aca="false">IF(OR(BX225="",BY225=""),"",IFERROR(IF($K225="%",BY225-BX225,BY225/BX225-1),""))</f>
        <v/>
      </c>
      <c r="CA225" s="5" t="str">
        <f aca="false">IF(OR(BX225="",BY225=""),"",IF($F225="Maior Melhor",IF(BY225&gt;=BX225,"Sim","Não"),IF(BY225&lt;=BX225,"Sim","Não")))</f>
        <v/>
      </c>
      <c r="CB225" s="6"/>
      <c r="CC225" s="6"/>
      <c r="CD225" s="4" t="str">
        <f aca="false">IF(OR(CB225="",CC225=""),"",IFERROR(IF($K225="%",CC225-CB225,CC225/CB225-1),""))</f>
        <v/>
      </c>
      <c r="CE225" s="5" t="str">
        <f aca="false">IF(OR(CB225="",CC225=""),"",IF($F225="Maior Melhor",IF(CC225&gt;=CB225,"Sim","Não"),IF(CC225&lt;=CB225,"Sim","Não")))</f>
        <v/>
      </c>
      <c r="CF225" s="6"/>
      <c r="CG225" s="6"/>
      <c r="CH225" s="4" t="str">
        <f aca="false">IF(OR(CF225="",CG225=""),"",IFERROR(IF($K225="%",CG225-CF225,CG225/CF225-1),""))</f>
        <v/>
      </c>
      <c r="CI225" s="5" t="str">
        <f aca="false">IF(OR(CF225="",CG225=""),"",IF($F225="Maior Melhor",IF(CG225&gt;=CF225,"Sim","Não"),IF(CG225&lt;=CF225,"Sim","Não")))</f>
        <v/>
      </c>
      <c r="CJ225" s="6"/>
      <c r="CK225" s="6"/>
      <c r="CL225" s="4" t="str">
        <f aca="false">IF(OR(CJ225="",CK225=""),"",IFERROR(IF($K225="%",CK225-CJ225,CK225/CJ225-1),""))</f>
        <v/>
      </c>
      <c r="CM225" s="5" t="str">
        <f aca="false">IF(OR(CJ225="",CK225=""),"",IF($F225="Maior Melhor",IF(CK225&gt;=CJ225,"Sim","Não"),IF(CK225&lt;=CJ225,"Sim","Não")))</f>
        <v/>
      </c>
      <c r="CN225" s="6"/>
      <c r="CO225" s="6"/>
      <c r="CP225" s="4" t="str">
        <f aca="false">IF(OR(CN225="",CO225=""),"",IFERROR(IF($K225="%",CO225-CN225,CO225/CN225-1),""))</f>
        <v/>
      </c>
      <c r="CQ225" s="5" t="str">
        <f aca="false">IF(OR(CN225="",CO225=""),"",IF($F225="Maior Melhor",IF(CO225&gt;=CN225,"Sim","Não"),IF(CO225&lt;=CN225,"Sim","Não")))</f>
        <v/>
      </c>
      <c r="CR225" s="2" t="s">
        <v>105</v>
      </c>
    </row>
    <row r="226" customFormat="false" ht="15" hidden="false" customHeight="false" outlineLevel="0" collapsed="false">
      <c r="A226" s="2" t="s">
        <v>96</v>
      </c>
      <c r="B226" s="2" t="s">
        <v>106</v>
      </c>
      <c r="C226" s="2" t="s">
        <v>118</v>
      </c>
      <c r="D226" s="2" t="s">
        <v>181</v>
      </c>
      <c r="E226" s="2" t="str">
        <f aca="false">C226&amp;D226</f>
        <v>UTD IBOTIRAMALigação Nova Atendida na primeira visita</v>
      </c>
      <c r="F226" s="2" t="s">
        <v>100</v>
      </c>
      <c r="G226" s="2" t="s">
        <v>182</v>
      </c>
      <c r="H226" s="2" t="s">
        <v>119</v>
      </c>
      <c r="I226" s="2" t="s">
        <v>103</v>
      </c>
      <c r="J226" s="2" t="n">
        <v>2</v>
      </c>
      <c r="K226" s="2" t="s">
        <v>104</v>
      </c>
      <c r="L226" s="3" t="n">
        <v>0.6912</v>
      </c>
      <c r="M226" s="3" t="n">
        <v>0.765</v>
      </c>
      <c r="N226" s="4" t="n">
        <f aca="false">IF(OR(L226="",M226=""),"",IFERROR(IF($K226="%",M226-L226,M226/L226-1),""))</f>
        <v>0.0738</v>
      </c>
      <c r="O226" s="5" t="str">
        <f aca="false">IF(OR(L226="",M226=""),"",IF($F226="Maior Melhor",IF(M226&gt;=L226,"Sim","Não"),IF(M226&lt;=L226,"Sim","Não")))</f>
        <v>Sim</v>
      </c>
      <c r="P226" s="3" t="n">
        <v>0.6997</v>
      </c>
      <c r="Q226" s="3" t="n">
        <v>0.7889</v>
      </c>
      <c r="R226" s="4" t="n">
        <f aca="false">IF(OR(P226="",Q226=""),"",IFERROR(IF($K226="%",Q226-P226,Q226/P226-1),""))</f>
        <v>0.0892000000000001</v>
      </c>
      <c r="S226" s="5" t="str">
        <f aca="false">IF(OR(P226="",Q226=""),"",IF($F226="Maior Melhor",IF(Q226&gt;=P226,"Sim","Não"),IF(Q226&lt;=P226,"Sim","Não")))</f>
        <v>Sim</v>
      </c>
      <c r="T226" s="3" t="n">
        <v>0.7083</v>
      </c>
      <c r="U226" s="3" t="n">
        <v>0.7543</v>
      </c>
      <c r="V226" s="4" t="n">
        <f aca="false">IF(OR(T226="",U226=""),"",IFERROR(IF($K226="%",U226-T226,U226/T226-1),""))</f>
        <v>0.0459999999999999</v>
      </c>
      <c r="W226" s="5" t="str">
        <f aca="false">IF(OR(T226="",U226=""),"",IF($F226="Maior Melhor",IF(U226&gt;=T226,"Sim","Não"),IF(U226&lt;=T226,"Sim","Não")))</f>
        <v>Sim</v>
      </c>
      <c r="X226" s="3"/>
      <c r="Y226" s="3"/>
      <c r="Z226" s="4" t="str">
        <f aca="false">IF(OR(X226="",Y226=""),"",IFERROR(IF($K226="%",Y226-X226,Y226/X226-1),""))</f>
        <v/>
      </c>
      <c r="AA226" s="5" t="str">
        <f aca="false">IF(OR(X226="",Y226=""),"",IF($F226="Maior Melhor",IF(Y226&gt;=X226,"Sim","Não"),IF(Y226&lt;=X226,"Sim","Não")))</f>
        <v/>
      </c>
      <c r="AB226" s="3"/>
      <c r="AC226" s="3"/>
      <c r="AD226" s="4" t="str">
        <f aca="false">IF(OR(AB226="",AC226=""),"",IFERROR(IF($K226="%",AC226-AB226,AC226/AB226-1),""))</f>
        <v/>
      </c>
      <c r="AE226" s="5" t="str">
        <f aca="false">IF(OR(AB226="",AC226=""),"",IF($F226="Maior Melhor",IF(AC226&gt;=AB226,"Sim","Não"),IF(AC226&lt;=AB226,"Sim","Não")))</f>
        <v/>
      </c>
      <c r="AF226" s="3"/>
      <c r="AG226" s="3"/>
      <c r="AH226" s="4" t="str">
        <f aca="false">IF(OR(AF226="",AG226=""),"",IFERROR(IF($K226="%",AG226-AF226,AG226/AF226-1),""))</f>
        <v/>
      </c>
      <c r="AI226" s="5" t="str">
        <f aca="false">IF(OR(AF226="",AG226=""),"",IF($F226="Maior Melhor",IF(AG226&gt;=AF226,"Sim","Não"),IF(AG226&lt;=AF226,"Sim","Não")))</f>
        <v/>
      </c>
      <c r="AJ226" s="3"/>
      <c r="AK226" s="3"/>
      <c r="AL226" s="4" t="str">
        <f aca="false">IF(OR(AJ226="",AK226=""),"",IFERROR(IF($K226="%",AK226-AJ226,AK226/AJ226-1),""))</f>
        <v/>
      </c>
      <c r="AM226" s="5" t="str">
        <f aca="false">IF(OR(AJ226="",AK226=""),"",IF($F226="Maior Melhor",IF(AK226&gt;=AJ226,"Sim","Não"),IF(AK226&lt;=AJ226,"Sim","Não")))</f>
        <v/>
      </c>
      <c r="AN226" s="3"/>
      <c r="AO226" s="3"/>
      <c r="AP226" s="4" t="str">
        <f aca="false">IF(OR(AN226="",AO226=""),"",IFERROR(IF($K226="%",AO226-AN226,AO226/AN226-1),""))</f>
        <v/>
      </c>
      <c r="AQ226" s="5" t="str">
        <f aca="false">IF(OR(AN226="",AO226=""),"",IF($F226="Maior Melhor",IF(AO226&gt;=AN226,"Sim","Não"),IF(AO226&lt;=AN226,"Sim","Não")))</f>
        <v/>
      </c>
      <c r="AR226" s="3"/>
      <c r="AS226" s="3"/>
      <c r="AT226" s="4" t="str">
        <f aca="false">IF(OR(AR226="",AS226=""),"",IFERROR(IF($K226="%",AS226-AR226,AS226/AR226-1),""))</f>
        <v/>
      </c>
      <c r="AU226" s="5" t="str">
        <f aca="false">IF(OR(AR226="",AS226=""),"",IF($F226="Maior Melhor",IF(AS226&gt;=AR226,"Sim","Não"),IF(AS226&lt;=AR226,"Sim","Não")))</f>
        <v/>
      </c>
      <c r="AV226" s="3" t="n">
        <v>0.73</v>
      </c>
      <c r="AW226" s="3" t="n">
        <v>0.81</v>
      </c>
      <c r="AX226" s="4" t="n">
        <f aca="false">IF(OR(AV226="",AW226=""),"",IFERROR(IF($K226="%",AW226-AV226,AW226/AV226-1),""))</f>
        <v>0.0800000000000001</v>
      </c>
      <c r="AY226" s="5" t="str">
        <f aca="false">IF(OR(AV226="",AW226=""),"",IF($F226="Maior Melhor",IF(AW226&gt;=AV226,"Sim","Não"),IF(AW226&lt;=AV226,"Sim","Não")))</f>
        <v>Sim</v>
      </c>
      <c r="AZ226" s="3" t="n">
        <v>0.73</v>
      </c>
      <c r="BA226" s="3" t="n">
        <v>0.82</v>
      </c>
      <c r="BB226" s="4" t="n">
        <f aca="false">IF(OR(AZ226="",BA226=""),"",IFERROR(IF($K226="%",BA226-AZ226,BA226/AZ226-1),""))</f>
        <v>0.09</v>
      </c>
      <c r="BC226" s="5" t="str">
        <f aca="false">IF(OR(AZ226="",BA226=""),"",IF($F226="Maior Melhor",IF(BA226&gt;=AZ226,"Sim","Não"),IF(BA226&lt;=AZ226,"Sim","Não")))</f>
        <v>Sim</v>
      </c>
      <c r="BD226" s="3" t="n">
        <v>0.75</v>
      </c>
      <c r="BE226" s="3" t="n">
        <v>0.74</v>
      </c>
      <c r="BF226" s="4" t="n">
        <f aca="false">IF(OR(BD226="",BE226=""),"",IFERROR(IF($K226="%",BE226-BD226,BE226/BD226-1),""))</f>
        <v>-0.01</v>
      </c>
      <c r="BG226" s="5" t="str">
        <f aca="false">IF(OR(BD226="",BE226=""),"",IF($F226="Maior Melhor",IF(BE226&gt;=BD226,"Sim","Não"),IF(BE226&lt;=BD226,"Sim","Não")))</f>
        <v>Não</v>
      </c>
      <c r="BH226" s="3" t="n">
        <v>0.75</v>
      </c>
      <c r="BI226" s="3" t="n">
        <v>0.74</v>
      </c>
      <c r="BJ226" s="4" t="n">
        <f aca="false">IF(OR(BH226="",BI226=""),"",IFERROR(IF($K226="%",BI226-BH226,BI226/BH226-1),""))</f>
        <v>-0.01</v>
      </c>
      <c r="BK226" s="5" t="str">
        <f aca="false">IF(OR(BH226="",BI226=""),"",IF($F226="Maior Melhor",IF(BI226&gt;=BH226,"Sim","Não"),IF(BI226&lt;=BH226,"Sim","Não")))</f>
        <v>Não</v>
      </c>
      <c r="BL226" s="6"/>
      <c r="BM226" s="6"/>
      <c r="BN226" s="4" t="str">
        <f aca="false">IF(OR(BL226="",BM226=""),"",IFERROR(IF($K226="%",BM226-BL226,BM226/BL226-1),""))</f>
        <v/>
      </c>
      <c r="BO226" s="5" t="str">
        <f aca="false">IF(OR(BL226="",BM226=""),"",IF($F226="Maior Melhor",IF(BM226&gt;=BL226,"Sim","Não"),IF(BM226&lt;=BL226,"Sim","Não")))</f>
        <v/>
      </c>
      <c r="BP226" s="6"/>
      <c r="BQ226" s="6"/>
      <c r="BR226" s="4" t="str">
        <f aca="false">IF(OR(BP226="",BQ226=""),"",IFERROR(IF($K226="%",BQ226-BP226,BQ226/BP226-1),""))</f>
        <v/>
      </c>
      <c r="BS226" s="5" t="str">
        <f aca="false">IF(OR(BP226="",BQ226=""),"",IF($F226="Maior Melhor",IF(BQ226&gt;=BP226,"Sim","Não"),IF(BQ226&lt;=BP226,"Sim","Não")))</f>
        <v/>
      </c>
      <c r="BT226" s="6"/>
      <c r="BU226" s="6"/>
      <c r="BV226" s="4" t="str">
        <f aca="false">IF(OR(BT226="",BU226=""),"",IFERROR(IF($K226="%",BU226-BT226,BU226/BT226-1),""))</f>
        <v/>
      </c>
      <c r="BW226" s="5" t="str">
        <f aca="false">IF(OR(BT226="",BU226=""),"",IF($F226="Maior Melhor",IF(BU226&gt;=BT226,"Sim","Não"),IF(BU226&lt;=BT226,"Sim","Não")))</f>
        <v/>
      </c>
      <c r="BX226" s="6"/>
      <c r="BY226" s="6"/>
      <c r="BZ226" s="4" t="str">
        <f aca="false">IF(OR(BX226="",BY226=""),"",IFERROR(IF($K226="%",BY226-BX226,BY226/BX226-1),""))</f>
        <v/>
      </c>
      <c r="CA226" s="5" t="str">
        <f aca="false">IF(OR(BX226="",BY226=""),"",IF($F226="Maior Melhor",IF(BY226&gt;=BX226,"Sim","Não"),IF(BY226&lt;=BX226,"Sim","Não")))</f>
        <v/>
      </c>
      <c r="CB226" s="6"/>
      <c r="CC226" s="6"/>
      <c r="CD226" s="4" t="str">
        <f aca="false">IF(OR(CB226="",CC226=""),"",IFERROR(IF($K226="%",CC226-CB226,CC226/CB226-1),""))</f>
        <v/>
      </c>
      <c r="CE226" s="5" t="str">
        <f aca="false">IF(OR(CB226="",CC226=""),"",IF($F226="Maior Melhor",IF(CC226&gt;=CB226,"Sim","Não"),IF(CC226&lt;=CB226,"Sim","Não")))</f>
        <v/>
      </c>
      <c r="CF226" s="6"/>
      <c r="CG226" s="6"/>
      <c r="CH226" s="4" t="str">
        <f aca="false">IF(OR(CF226="",CG226=""),"",IFERROR(IF($K226="%",CG226-CF226,CG226/CF226-1),""))</f>
        <v/>
      </c>
      <c r="CI226" s="5" t="str">
        <f aca="false">IF(OR(CF226="",CG226=""),"",IF($F226="Maior Melhor",IF(CG226&gt;=CF226,"Sim","Não"),IF(CG226&lt;=CF226,"Sim","Não")))</f>
        <v/>
      </c>
      <c r="CJ226" s="6"/>
      <c r="CK226" s="6"/>
      <c r="CL226" s="4" t="str">
        <f aca="false">IF(OR(CJ226="",CK226=""),"",IFERROR(IF($K226="%",CK226-CJ226,CK226/CJ226-1),""))</f>
        <v/>
      </c>
      <c r="CM226" s="5" t="str">
        <f aca="false">IF(OR(CJ226="",CK226=""),"",IF($F226="Maior Melhor",IF(CK226&gt;=CJ226,"Sim","Não"),IF(CK226&lt;=CJ226,"Sim","Não")))</f>
        <v/>
      </c>
      <c r="CN226" s="6"/>
      <c r="CO226" s="6"/>
      <c r="CP226" s="4" t="str">
        <f aca="false">IF(OR(CN226="",CO226=""),"",IFERROR(IF($K226="%",CO226-CN226,CO226/CN226-1),""))</f>
        <v/>
      </c>
      <c r="CQ226" s="5" t="str">
        <f aca="false">IF(OR(CN226="",CO226=""),"",IF($F226="Maior Melhor",IF(CO226&gt;=CN226,"Sim","Não"),IF(CO226&lt;=CN226,"Sim","Não")))</f>
        <v/>
      </c>
      <c r="CR226" s="2" t="s">
        <v>134</v>
      </c>
    </row>
    <row r="227" customFormat="false" ht="15" hidden="false" customHeight="false" outlineLevel="0" collapsed="false">
      <c r="A227" s="2" t="s">
        <v>96</v>
      </c>
      <c r="B227" s="2" t="s">
        <v>97</v>
      </c>
      <c r="C227" s="2" t="s">
        <v>121</v>
      </c>
      <c r="D227" s="2" t="s">
        <v>181</v>
      </c>
      <c r="E227" s="2" t="str">
        <f aca="false">C227&amp;D227</f>
        <v>UTD IRECÊLigação Nova Atendida na primeira visita</v>
      </c>
      <c r="F227" s="2" t="s">
        <v>100</v>
      </c>
      <c r="G227" s="2" t="s">
        <v>182</v>
      </c>
      <c r="H227" s="2" t="s">
        <v>102</v>
      </c>
      <c r="I227" s="2" t="s">
        <v>103</v>
      </c>
      <c r="J227" s="2" t="n">
        <v>2</v>
      </c>
      <c r="K227" s="2" t="s">
        <v>104</v>
      </c>
      <c r="L227" s="3" t="n">
        <v>0.6365</v>
      </c>
      <c r="M227" s="3" t="n">
        <v>0.7288</v>
      </c>
      <c r="N227" s="4" t="n">
        <f aca="false">IF(OR(L227="",M227=""),"",IFERROR(IF($K227="%",M227-L227,M227/L227-1),""))</f>
        <v>0.0923000000000001</v>
      </c>
      <c r="O227" s="5" t="str">
        <f aca="false">IF(OR(L227="",M227=""),"",IF($F227="Maior Melhor",IF(M227&gt;=L227,"Sim","Não"),IF(M227&lt;=L227,"Sim","Não")))</f>
        <v>Sim</v>
      </c>
      <c r="P227" s="3" t="n">
        <v>0.6444</v>
      </c>
      <c r="Q227" s="3" t="n">
        <v>0.7461</v>
      </c>
      <c r="R227" s="4" t="n">
        <f aca="false">IF(OR(P227="",Q227=""),"",IFERROR(IF($K227="%",Q227-P227,Q227/P227-1),""))</f>
        <v>0.1017</v>
      </c>
      <c r="S227" s="5" t="str">
        <f aca="false">IF(OR(P227="",Q227=""),"",IF($F227="Maior Melhor",IF(Q227&gt;=P227,"Sim","Não"),IF(Q227&lt;=P227,"Sim","Não")))</f>
        <v>Sim</v>
      </c>
      <c r="T227" s="3" t="n">
        <v>0.6522</v>
      </c>
      <c r="U227" s="3" t="n">
        <v>0.7305</v>
      </c>
      <c r="V227" s="4" t="n">
        <f aca="false">IF(OR(T227="",U227=""),"",IFERROR(IF($K227="%",U227-T227,U227/T227-1),""))</f>
        <v>0.0783</v>
      </c>
      <c r="W227" s="5" t="str">
        <f aca="false">IF(OR(T227="",U227=""),"",IF($F227="Maior Melhor",IF(U227&gt;=T227,"Sim","Não"),IF(U227&lt;=T227,"Sim","Não")))</f>
        <v>Sim</v>
      </c>
      <c r="X227" s="3"/>
      <c r="Y227" s="3"/>
      <c r="Z227" s="4" t="str">
        <f aca="false">IF(OR(X227="",Y227=""),"",IFERROR(IF($K227="%",Y227-X227,Y227/X227-1),""))</f>
        <v/>
      </c>
      <c r="AA227" s="5" t="str">
        <f aca="false">IF(OR(X227="",Y227=""),"",IF($F227="Maior Melhor",IF(Y227&gt;=X227,"Sim","Não"),IF(Y227&lt;=X227,"Sim","Não")))</f>
        <v/>
      </c>
      <c r="AB227" s="3"/>
      <c r="AC227" s="3"/>
      <c r="AD227" s="4" t="str">
        <f aca="false">IF(OR(AB227="",AC227=""),"",IFERROR(IF($K227="%",AC227-AB227,AC227/AB227-1),""))</f>
        <v/>
      </c>
      <c r="AE227" s="5" t="str">
        <f aca="false">IF(OR(AB227="",AC227=""),"",IF($F227="Maior Melhor",IF(AC227&gt;=AB227,"Sim","Não"),IF(AC227&lt;=AB227,"Sim","Não")))</f>
        <v/>
      </c>
      <c r="AF227" s="3"/>
      <c r="AG227" s="3"/>
      <c r="AH227" s="4" t="str">
        <f aca="false">IF(OR(AF227="",AG227=""),"",IFERROR(IF($K227="%",AG227-AF227,AG227/AF227-1),""))</f>
        <v/>
      </c>
      <c r="AI227" s="5" t="str">
        <f aca="false">IF(OR(AF227="",AG227=""),"",IF($F227="Maior Melhor",IF(AG227&gt;=AF227,"Sim","Não"),IF(AG227&lt;=AF227,"Sim","Não")))</f>
        <v/>
      </c>
      <c r="AJ227" s="3"/>
      <c r="AK227" s="3"/>
      <c r="AL227" s="4" t="str">
        <f aca="false">IF(OR(AJ227="",AK227=""),"",IFERROR(IF($K227="%",AK227-AJ227,AK227/AJ227-1),""))</f>
        <v/>
      </c>
      <c r="AM227" s="5" t="str">
        <f aca="false">IF(OR(AJ227="",AK227=""),"",IF($F227="Maior Melhor",IF(AK227&gt;=AJ227,"Sim","Não"),IF(AK227&lt;=AJ227,"Sim","Não")))</f>
        <v/>
      </c>
      <c r="AN227" s="3"/>
      <c r="AO227" s="3"/>
      <c r="AP227" s="4" t="str">
        <f aca="false">IF(OR(AN227="",AO227=""),"",IFERROR(IF($K227="%",AO227-AN227,AO227/AN227-1),""))</f>
        <v/>
      </c>
      <c r="AQ227" s="5" t="str">
        <f aca="false">IF(OR(AN227="",AO227=""),"",IF($F227="Maior Melhor",IF(AO227&gt;=AN227,"Sim","Não"),IF(AO227&lt;=AN227,"Sim","Não")))</f>
        <v/>
      </c>
      <c r="AR227" s="3"/>
      <c r="AS227" s="3"/>
      <c r="AT227" s="4" t="str">
        <f aca="false">IF(OR(AR227="",AS227=""),"",IFERROR(IF($K227="%",AS227-AR227,AS227/AR227-1),""))</f>
        <v/>
      </c>
      <c r="AU227" s="5" t="str">
        <f aca="false">IF(OR(AR227="",AS227=""),"",IF($F227="Maior Melhor",IF(AS227&gt;=AR227,"Sim","Não"),IF(AS227&lt;=AR227,"Sim","Não")))</f>
        <v/>
      </c>
      <c r="AV227" s="3" t="n">
        <v>0.68</v>
      </c>
      <c r="AW227" s="3" t="n">
        <v>0.65</v>
      </c>
      <c r="AX227" s="4" t="n">
        <f aca="false">IF(OR(AV227="",AW227=""),"",IFERROR(IF($K227="%",AW227-AV227,AW227/AV227-1),""))</f>
        <v>-0.03</v>
      </c>
      <c r="AY227" s="5" t="str">
        <f aca="false">IF(OR(AV227="",AW227=""),"",IF($F227="Maior Melhor",IF(AW227&gt;=AV227,"Sim","Não"),IF(AW227&lt;=AV227,"Sim","Não")))</f>
        <v>Não</v>
      </c>
      <c r="AZ227" s="3" t="n">
        <v>0.68</v>
      </c>
      <c r="BA227" s="3" t="n">
        <v>0.72</v>
      </c>
      <c r="BB227" s="4" t="n">
        <f aca="false">IF(OR(AZ227="",BA227=""),"",IFERROR(IF($K227="%",BA227-AZ227,BA227/AZ227-1),""))</f>
        <v>0.0399999999999999</v>
      </c>
      <c r="BC227" s="5" t="str">
        <f aca="false">IF(OR(AZ227="",BA227=""),"",IF($F227="Maior Melhor",IF(BA227&gt;=AZ227,"Sim","Não"),IF(BA227&lt;=AZ227,"Sim","Não")))</f>
        <v>Sim</v>
      </c>
      <c r="BD227" s="3" t="n">
        <v>0.69</v>
      </c>
      <c r="BE227" s="3" t="n">
        <v>0.65</v>
      </c>
      <c r="BF227" s="4" t="n">
        <f aca="false">IF(OR(BD227="",BE227=""),"",IFERROR(IF($K227="%",BE227-BD227,BE227/BD227-1),""))</f>
        <v>-0.0399999999999999</v>
      </c>
      <c r="BG227" s="5" t="str">
        <f aca="false">IF(OR(BD227="",BE227=""),"",IF($F227="Maior Melhor",IF(BE227&gt;=BD227,"Sim","Não"),IF(BE227&lt;=BD227,"Sim","Não")))</f>
        <v>Não</v>
      </c>
      <c r="BH227" s="3" t="n">
        <v>0.69</v>
      </c>
      <c r="BI227" s="3" t="n">
        <v>0.65</v>
      </c>
      <c r="BJ227" s="4" t="n">
        <f aca="false">IF(OR(BH227="",BI227=""),"",IFERROR(IF($K227="%",BI227-BH227,BI227/BH227-1),""))</f>
        <v>-0.0399999999999999</v>
      </c>
      <c r="BK227" s="5" t="str">
        <f aca="false">IF(OR(BH227="",BI227=""),"",IF($F227="Maior Melhor",IF(BI227&gt;=BH227,"Sim","Não"),IF(BI227&lt;=BH227,"Sim","Não")))</f>
        <v>Não</v>
      </c>
      <c r="BL227" s="6"/>
      <c r="BM227" s="6"/>
      <c r="BN227" s="4" t="str">
        <f aca="false">IF(OR(BL227="",BM227=""),"",IFERROR(IF($K227="%",BM227-BL227,BM227/BL227-1),""))</f>
        <v/>
      </c>
      <c r="BO227" s="5" t="str">
        <f aca="false">IF(OR(BL227="",BM227=""),"",IF($F227="Maior Melhor",IF(BM227&gt;=BL227,"Sim","Não"),IF(BM227&lt;=BL227,"Sim","Não")))</f>
        <v/>
      </c>
      <c r="BP227" s="6"/>
      <c r="BQ227" s="6"/>
      <c r="BR227" s="4" t="str">
        <f aca="false">IF(OR(BP227="",BQ227=""),"",IFERROR(IF($K227="%",BQ227-BP227,BQ227/BP227-1),""))</f>
        <v/>
      </c>
      <c r="BS227" s="5" t="str">
        <f aca="false">IF(OR(BP227="",BQ227=""),"",IF($F227="Maior Melhor",IF(BQ227&gt;=BP227,"Sim","Não"),IF(BQ227&lt;=BP227,"Sim","Não")))</f>
        <v/>
      </c>
      <c r="BT227" s="6"/>
      <c r="BU227" s="6"/>
      <c r="BV227" s="4" t="str">
        <f aca="false">IF(OR(BT227="",BU227=""),"",IFERROR(IF($K227="%",BU227-BT227,BU227/BT227-1),""))</f>
        <v/>
      </c>
      <c r="BW227" s="5" t="str">
        <f aca="false">IF(OR(BT227="",BU227=""),"",IF($F227="Maior Melhor",IF(BU227&gt;=BT227,"Sim","Não"),IF(BU227&lt;=BT227,"Sim","Não")))</f>
        <v/>
      </c>
      <c r="BX227" s="6"/>
      <c r="BY227" s="6"/>
      <c r="BZ227" s="4" t="str">
        <f aca="false">IF(OR(BX227="",BY227=""),"",IFERROR(IF($K227="%",BY227-BX227,BY227/BX227-1),""))</f>
        <v/>
      </c>
      <c r="CA227" s="5" t="str">
        <f aca="false">IF(OR(BX227="",BY227=""),"",IF($F227="Maior Melhor",IF(BY227&gt;=BX227,"Sim","Não"),IF(BY227&lt;=BX227,"Sim","Não")))</f>
        <v/>
      </c>
      <c r="CB227" s="6"/>
      <c r="CC227" s="6"/>
      <c r="CD227" s="4" t="str">
        <f aca="false">IF(OR(CB227="",CC227=""),"",IFERROR(IF($K227="%",CC227-CB227,CC227/CB227-1),""))</f>
        <v/>
      </c>
      <c r="CE227" s="5" t="str">
        <f aca="false">IF(OR(CB227="",CC227=""),"",IF($F227="Maior Melhor",IF(CC227&gt;=CB227,"Sim","Não"),IF(CC227&lt;=CB227,"Sim","Não")))</f>
        <v/>
      </c>
      <c r="CF227" s="6"/>
      <c r="CG227" s="6"/>
      <c r="CH227" s="4" t="str">
        <f aca="false">IF(OR(CF227="",CG227=""),"",IFERROR(IF($K227="%",CG227-CF227,CG227/CF227-1),""))</f>
        <v/>
      </c>
      <c r="CI227" s="5" t="str">
        <f aca="false">IF(OR(CF227="",CG227=""),"",IF($F227="Maior Melhor",IF(CG227&gt;=CF227,"Sim","Não"),IF(CG227&lt;=CF227,"Sim","Não")))</f>
        <v/>
      </c>
      <c r="CJ227" s="6"/>
      <c r="CK227" s="6"/>
      <c r="CL227" s="4" t="str">
        <f aca="false">IF(OR(CJ227="",CK227=""),"",IFERROR(IF($K227="%",CK227-CJ227,CK227/CJ227-1),""))</f>
        <v/>
      </c>
      <c r="CM227" s="5" t="str">
        <f aca="false">IF(OR(CJ227="",CK227=""),"",IF($F227="Maior Melhor",IF(CK227&gt;=CJ227,"Sim","Não"),IF(CK227&lt;=CJ227,"Sim","Não")))</f>
        <v/>
      </c>
      <c r="CN227" s="6"/>
      <c r="CO227" s="6"/>
      <c r="CP227" s="4" t="str">
        <f aca="false">IF(OR(CN227="",CO227=""),"",IFERROR(IF($K227="%",CO227-CN227,CO227/CN227-1),""))</f>
        <v/>
      </c>
      <c r="CQ227" s="5" t="str">
        <f aca="false">IF(OR(CN227="",CO227=""),"",IF($F227="Maior Melhor",IF(CO227&gt;=CN227,"Sim","Não"),IF(CO227&lt;=CN227,"Sim","Não")))</f>
        <v/>
      </c>
      <c r="CR227" s="2" t="s">
        <v>105</v>
      </c>
    </row>
    <row r="228" customFormat="false" ht="15" hidden="false" customHeight="false" outlineLevel="0" collapsed="false">
      <c r="A228" s="2" t="s">
        <v>96</v>
      </c>
      <c r="B228" s="2" t="s">
        <v>97</v>
      </c>
      <c r="C228" s="2" t="s">
        <v>122</v>
      </c>
      <c r="D228" s="2" t="s">
        <v>181</v>
      </c>
      <c r="E228" s="2" t="str">
        <f aca="false">C228&amp;D228</f>
        <v>UTD ITABERABALigação Nova Atendida na primeira visita</v>
      </c>
      <c r="F228" s="2" t="s">
        <v>100</v>
      </c>
      <c r="G228" s="2" t="s">
        <v>182</v>
      </c>
      <c r="H228" s="2" t="s">
        <v>102</v>
      </c>
      <c r="I228" s="2" t="s">
        <v>103</v>
      </c>
      <c r="J228" s="2" t="n">
        <v>2</v>
      </c>
      <c r="K228" s="2" t="s">
        <v>104</v>
      </c>
      <c r="L228" s="3" t="n">
        <v>0.7393</v>
      </c>
      <c r="M228" s="3" t="n">
        <v>0.8026</v>
      </c>
      <c r="N228" s="4" t="n">
        <f aca="false">IF(OR(L228="",M228=""),"",IFERROR(IF($K228="%",M228-L228,M228/L228-1),""))</f>
        <v>0.0633</v>
      </c>
      <c r="O228" s="5" t="str">
        <f aca="false">IF(OR(L228="",M228=""),"",IF($F228="Maior Melhor",IF(M228&gt;=L228,"Sim","Não"),IF(M228&lt;=L228,"Sim","Não")))</f>
        <v>Sim</v>
      </c>
      <c r="P228" s="3" t="n">
        <v>0.7424</v>
      </c>
      <c r="Q228" s="3" t="n">
        <v>0.806</v>
      </c>
      <c r="R228" s="4" t="n">
        <f aca="false">IF(OR(P228="",Q228=""),"",IFERROR(IF($K228="%",Q228-P228,Q228/P228-1),""))</f>
        <v>0.0636000000000001</v>
      </c>
      <c r="S228" s="5" t="str">
        <f aca="false">IF(OR(P228="",Q228=""),"",IF($F228="Maior Melhor",IF(Q228&gt;=P228,"Sim","Não"),IF(Q228&lt;=P228,"Sim","Não")))</f>
        <v>Sim</v>
      </c>
      <c r="T228" s="3" t="n">
        <v>0.7455</v>
      </c>
      <c r="U228" s="3" t="n">
        <v>0.8453</v>
      </c>
      <c r="V228" s="4" t="n">
        <f aca="false">IF(OR(T228="",U228=""),"",IFERROR(IF($K228="%",U228-T228,U228/T228-1),""))</f>
        <v>0.0998</v>
      </c>
      <c r="W228" s="5" t="str">
        <f aca="false">IF(OR(T228="",U228=""),"",IF($F228="Maior Melhor",IF(U228&gt;=T228,"Sim","Não"),IF(U228&lt;=T228,"Sim","Não")))</f>
        <v>Sim</v>
      </c>
      <c r="X228" s="3"/>
      <c r="Y228" s="3"/>
      <c r="Z228" s="4" t="str">
        <f aca="false">IF(OR(X228="",Y228=""),"",IFERROR(IF($K228="%",Y228-X228,Y228/X228-1),""))</f>
        <v/>
      </c>
      <c r="AA228" s="5" t="str">
        <f aca="false">IF(OR(X228="",Y228=""),"",IF($F228="Maior Melhor",IF(Y228&gt;=X228,"Sim","Não"),IF(Y228&lt;=X228,"Sim","Não")))</f>
        <v/>
      </c>
      <c r="AB228" s="3"/>
      <c r="AC228" s="3"/>
      <c r="AD228" s="4" t="str">
        <f aca="false">IF(OR(AB228="",AC228=""),"",IFERROR(IF($K228="%",AC228-AB228,AC228/AB228-1),""))</f>
        <v/>
      </c>
      <c r="AE228" s="5" t="str">
        <f aca="false">IF(OR(AB228="",AC228=""),"",IF($F228="Maior Melhor",IF(AC228&gt;=AB228,"Sim","Não"),IF(AC228&lt;=AB228,"Sim","Não")))</f>
        <v/>
      </c>
      <c r="AF228" s="3"/>
      <c r="AG228" s="3"/>
      <c r="AH228" s="4" t="str">
        <f aca="false">IF(OR(AF228="",AG228=""),"",IFERROR(IF($K228="%",AG228-AF228,AG228/AF228-1),""))</f>
        <v/>
      </c>
      <c r="AI228" s="5" t="str">
        <f aca="false">IF(OR(AF228="",AG228=""),"",IF($F228="Maior Melhor",IF(AG228&gt;=AF228,"Sim","Não"),IF(AG228&lt;=AF228,"Sim","Não")))</f>
        <v/>
      </c>
      <c r="AJ228" s="3"/>
      <c r="AK228" s="3"/>
      <c r="AL228" s="4" t="str">
        <f aca="false">IF(OR(AJ228="",AK228=""),"",IFERROR(IF($K228="%",AK228-AJ228,AK228/AJ228-1),""))</f>
        <v/>
      </c>
      <c r="AM228" s="5" t="str">
        <f aca="false">IF(OR(AJ228="",AK228=""),"",IF($F228="Maior Melhor",IF(AK228&gt;=AJ228,"Sim","Não"),IF(AK228&lt;=AJ228,"Sim","Não")))</f>
        <v/>
      </c>
      <c r="AN228" s="3"/>
      <c r="AO228" s="3"/>
      <c r="AP228" s="4" t="str">
        <f aca="false">IF(OR(AN228="",AO228=""),"",IFERROR(IF($K228="%",AO228-AN228,AO228/AN228-1),""))</f>
        <v/>
      </c>
      <c r="AQ228" s="5" t="str">
        <f aca="false">IF(OR(AN228="",AO228=""),"",IF($F228="Maior Melhor",IF(AO228&gt;=AN228,"Sim","Não"),IF(AO228&lt;=AN228,"Sim","Não")))</f>
        <v/>
      </c>
      <c r="AR228" s="3"/>
      <c r="AS228" s="3"/>
      <c r="AT228" s="4" t="str">
        <f aca="false">IF(OR(AR228="",AS228=""),"",IFERROR(IF($K228="%",AS228-AR228,AS228/AR228-1),""))</f>
        <v/>
      </c>
      <c r="AU228" s="5" t="str">
        <f aca="false">IF(OR(AR228="",AS228=""),"",IF($F228="Maior Melhor",IF(AS228&gt;=AR228,"Sim","Não"),IF(AS228&lt;=AR228,"Sim","Não")))</f>
        <v/>
      </c>
      <c r="AV228" s="3" t="n">
        <v>0.75</v>
      </c>
      <c r="AW228" s="3" t="n">
        <v>0.63</v>
      </c>
      <c r="AX228" s="4" t="n">
        <f aca="false">IF(OR(AV228="",AW228=""),"",IFERROR(IF($K228="%",AW228-AV228,AW228/AV228-1),""))</f>
        <v>-0.12</v>
      </c>
      <c r="AY228" s="5" t="str">
        <f aca="false">IF(OR(AV228="",AW228=""),"",IF($F228="Maior Melhor",IF(AW228&gt;=AV228,"Sim","Não"),IF(AW228&lt;=AV228,"Sim","Não")))</f>
        <v>Não</v>
      </c>
      <c r="AZ228" s="3" t="n">
        <v>0.75</v>
      </c>
      <c r="BA228" s="3" t="n">
        <v>0.76</v>
      </c>
      <c r="BB228" s="4" t="n">
        <f aca="false">IF(OR(AZ228="",BA228=""),"",IFERROR(IF($K228="%",BA228-AZ228,BA228/AZ228-1),""))</f>
        <v>0.01</v>
      </c>
      <c r="BC228" s="5" t="str">
        <f aca="false">IF(OR(AZ228="",BA228=""),"",IF($F228="Maior Melhor",IF(BA228&gt;=AZ228,"Sim","Não"),IF(BA228&lt;=AZ228,"Sim","Não")))</f>
        <v>Sim</v>
      </c>
      <c r="BD228" s="3" t="n">
        <v>0.76</v>
      </c>
      <c r="BE228" s="3" t="n">
        <v>0.66</v>
      </c>
      <c r="BF228" s="4" t="n">
        <f aca="false">IF(OR(BD228="",BE228=""),"",IFERROR(IF($K228="%",BE228-BD228,BE228/BD228-1),""))</f>
        <v>-0.1</v>
      </c>
      <c r="BG228" s="5" t="str">
        <f aca="false">IF(OR(BD228="",BE228=""),"",IF($F228="Maior Melhor",IF(BE228&gt;=BD228,"Sim","Não"),IF(BE228&lt;=BD228,"Sim","Não")))</f>
        <v>Não</v>
      </c>
      <c r="BH228" s="3" t="n">
        <v>0.76</v>
      </c>
      <c r="BI228" s="3" t="n">
        <v>0.66</v>
      </c>
      <c r="BJ228" s="4" t="n">
        <f aca="false">IF(OR(BH228="",BI228=""),"",IFERROR(IF($K228="%",BI228-BH228,BI228/BH228-1),""))</f>
        <v>-0.1</v>
      </c>
      <c r="BK228" s="5" t="str">
        <f aca="false">IF(OR(BH228="",BI228=""),"",IF($F228="Maior Melhor",IF(BI228&gt;=BH228,"Sim","Não"),IF(BI228&lt;=BH228,"Sim","Não")))</f>
        <v>Não</v>
      </c>
      <c r="BL228" s="6"/>
      <c r="BM228" s="6"/>
      <c r="BN228" s="4" t="str">
        <f aca="false">IF(OR(BL228="",BM228=""),"",IFERROR(IF($K228="%",BM228-BL228,BM228/BL228-1),""))</f>
        <v/>
      </c>
      <c r="BO228" s="5" t="str">
        <f aca="false">IF(OR(BL228="",BM228=""),"",IF($F228="Maior Melhor",IF(BM228&gt;=BL228,"Sim","Não"),IF(BM228&lt;=BL228,"Sim","Não")))</f>
        <v/>
      </c>
      <c r="BP228" s="6"/>
      <c r="BQ228" s="6"/>
      <c r="BR228" s="4" t="str">
        <f aca="false">IF(OR(BP228="",BQ228=""),"",IFERROR(IF($K228="%",BQ228-BP228,BQ228/BP228-1),""))</f>
        <v/>
      </c>
      <c r="BS228" s="5" t="str">
        <f aca="false">IF(OR(BP228="",BQ228=""),"",IF($F228="Maior Melhor",IF(BQ228&gt;=BP228,"Sim","Não"),IF(BQ228&lt;=BP228,"Sim","Não")))</f>
        <v/>
      </c>
      <c r="BT228" s="6"/>
      <c r="BU228" s="6"/>
      <c r="BV228" s="4" t="str">
        <f aca="false">IF(OR(BT228="",BU228=""),"",IFERROR(IF($K228="%",BU228-BT228,BU228/BT228-1),""))</f>
        <v/>
      </c>
      <c r="BW228" s="5" t="str">
        <f aca="false">IF(OR(BT228="",BU228=""),"",IF($F228="Maior Melhor",IF(BU228&gt;=BT228,"Sim","Não"),IF(BU228&lt;=BT228,"Sim","Não")))</f>
        <v/>
      </c>
      <c r="BX228" s="6"/>
      <c r="BY228" s="6"/>
      <c r="BZ228" s="4" t="str">
        <f aca="false">IF(OR(BX228="",BY228=""),"",IFERROR(IF($K228="%",BY228-BX228,BY228/BX228-1),""))</f>
        <v/>
      </c>
      <c r="CA228" s="5" t="str">
        <f aca="false">IF(OR(BX228="",BY228=""),"",IF($F228="Maior Melhor",IF(BY228&gt;=BX228,"Sim","Não"),IF(BY228&lt;=BX228,"Sim","Não")))</f>
        <v/>
      </c>
      <c r="CB228" s="6"/>
      <c r="CC228" s="6"/>
      <c r="CD228" s="4" t="str">
        <f aca="false">IF(OR(CB228="",CC228=""),"",IFERROR(IF($K228="%",CC228-CB228,CC228/CB228-1),""))</f>
        <v/>
      </c>
      <c r="CE228" s="5" t="str">
        <f aca="false">IF(OR(CB228="",CC228=""),"",IF($F228="Maior Melhor",IF(CC228&gt;=CB228,"Sim","Não"),IF(CC228&lt;=CB228,"Sim","Não")))</f>
        <v/>
      </c>
      <c r="CF228" s="6"/>
      <c r="CG228" s="6"/>
      <c r="CH228" s="4" t="str">
        <f aca="false">IF(OR(CF228="",CG228=""),"",IFERROR(IF($K228="%",CG228-CF228,CG228/CF228-1),""))</f>
        <v/>
      </c>
      <c r="CI228" s="5" t="str">
        <f aca="false">IF(OR(CF228="",CG228=""),"",IF($F228="Maior Melhor",IF(CG228&gt;=CF228,"Sim","Não"),IF(CG228&lt;=CF228,"Sim","Não")))</f>
        <v/>
      </c>
      <c r="CJ228" s="6"/>
      <c r="CK228" s="6"/>
      <c r="CL228" s="4" t="str">
        <f aca="false">IF(OR(CJ228="",CK228=""),"",IFERROR(IF($K228="%",CK228-CJ228,CK228/CJ228-1),""))</f>
        <v/>
      </c>
      <c r="CM228" s="5" t="str">
        <f aca="false">IF(OR(CJ228="",CK228=""),"",IF($F228="Maior Melhor",IF(CK228&gt;=CJ228,"Sim","Não"),IF(CK228&lt;=CJ228,"Sim","Não")))</f>
        <v/>
      </c>
      <c r="CN228" s="6"/>
      <c r="CO228" s="6"/>
      <c r="CP228" s="4" t="str">
        <f aca="false">IF(OR(CN228="",CO228=""),"",IFERROR(IF($K228="%",CO228-CN228,CO228/CN228-1),""))</f>
        <v/>
      </c>
      <c r="CQ228" s="5" t="str">
        <f aca="false">IF(OR(CN228="",CO228=""),"",IF($F228="Maior Melhor",IF(CO228&gt;=CN228,"Sim","Não"),IF(CO228&lt;=CN228,"Sim","Não")))</f>
        <v/>
      </c>
      <c r="CR228" s="2" t="s">
        <v>123</v>
      </c>
    </row>
    <row r="229" customFormat="false" ht="15" hidden="false" customHeight="false" outlineLevel="0" collapsed="false">
      <c r="A229" s="2" t="s">
        <v>96</v>
      </c>
      <c r="B229" s="2" t="s">
        <v>108</v>
      </c>
      <c r="C229" s="2" t="s">
        <v>124</v>
      </c>
      <c r="D229" s="2" t="s">
        <v>181</v>
      </c>
      <c r="E229" s="2" t="str">
        <f aca="false">C229&amp;D229</f>
        <v>UTD ITAPETINGALigação Nova Atendida na primeira visita</v>
      </c>
      <c r="F229" s="2" t="s">
        <v>100</v>
      </c>
      <c r="G229" s="2" t="s">
        <v>182</v>
      </c>
      <c r="H229" s="2" t="s">
        <v>102</v>
      </c>
      <c r="I229" s="2" t="s">
        <v>103</v>
      </c>
      <c r="J229" s="2" t="n">
        <v>2</v>
      </c>
      <c r="K229" s="2" t="s">
        <v>104</v>
      </c>
      <c r="L229" s="3" t="n">
        <v>0.6593</v>
      </c>
      <c r="M229" s="3" t="n">
        <v>0.6102</v>
      </c>
      <c r="N229" s="4" t="n">
        <f aca="false">IF(OR(L229="",M229=""),"",IFERROR(IF($K229="%",M229-L229,M229/L229-1),""))</f>
        <v>-0.0491</v>
      </c>
      <c r="O229" s="5" t="str">
        <f aca="false">IF(OR(L229="",M229=""),"",IF($F229="Maior Melhor",IF(M229&gt;=L229,"Sim","Não"),IF(M229&lt;=L229,"Sim","Não")))</f>
        <v>Não</v>
      </c>
      <c r="P229" s="3" t="n">
        <v>0.6674</v>
      </c>
      <c r="Q229" s="3" t="n">
        <v>0.5889</v>
      </c>
      <c r="R229" s="4" t="n">
        <f aca="false">IF(OR(P229="",Q229=""),"",IFERROR(IF($K229="%",Q229-P229,Q229/P229-1),""))</f>
        <v>-0.0785</v>
      </c>
      <c r="S229" s="5" t="str">
        <f aca="false">IF(OR(P229="",Q229=""),"",IF($F229="Maior Melhor",IF(Q229&gt;=P229,"Sim","Não"),IF(Q229&lt;=P229,"Sim","Não")))</f>
        <v>Não</v>
      </c>
      <c r="T229" s="3" t="n">
        <v>0.6756</v>
      </c>
      <c r="U229" s="3" t="n">
        <v>0.7143</v>
      </c>
      <c r="V229" s="4" t="n">
        <f aca="false">IF(OR(T229="",U229=""),"",IFERROR(IF($K229="%",U229-T229,U229/T229-1),""))</f>
        <v>0.0387000000000001</v>
      </c>
      <c r="W229" s="5" t="str">
        <f aca="false">IF(OR(T229="",U229=""),"",IF($F229="Maior Melhor",IF(U229&gt;=T229,"Sim","Não"),IF(U229&lt;=T229,"Sim","Não")))</f>
        <v>Sim</v>
      </c>
      <c r="X229" s="3"/>
      <c r="Y229" s="3"/>
      <c r="Z229" s="4" t="str">
        <f aca="false">IF(OR(X229="",Y229=""),"",IFERROR(IF($K229="%",Y229-X229,Y229/X229-1),""))</f>
        <v/>
      </c>
      <c r="AA229" s="5" t="str">
        <f aca="false">IF(OR(X229="",Y229=""),"",IF($F229="Maior Melhor",IF(Y229&gt;=X229,"Sim","Não"),IF(Y229&lt;=X229,"Sim","Não")))</f>
        <v/>
      </c>
      <c r="AB229" s="3"/>
      <c r="AC229" s="3"/>
      <c r="AD229" s="4" t="str">
        <f aca="false">IF(OR(AB229="",AC229=""),"",IFERROR(IF($K229="%",AC229-AB229,AC229/AB229-1),""))</f>
        <v/>
      </c>
      <c r="AE229" s="5" t="str">
        <f aca="false">IF(OR(AB229="",AC229=""),"",IF($F229="Maior Melhor",IF(AC229&gt;=AB229,"Sim","Não"),IF(AC229&lt;=AB229,"Sim","Não")))</f>
        <v/>
      </c>
      <c r="AF229" s="3"/>
      <c r="AG229" s="3"/>
      <c r="AH229" s="4" t="str">
        <f aca="false">IF(OR(AF229="",AG229=""),"",IFERROR(IF($K229="%",AG229-AF229,AG229/AF229-1),""))</f>
        <v/>
      </c>
      <c r="AI229" s="5" t="str">
        <f aca="false">IF(OR(AF229="",AG229=""),"",IF($F229="Maior Melhor",IF(AG229&gt;=AF229,"Sim","Não"),IF(AG229&lt;=AF229,"Sim","Não")))</f>
        <v/>
      </c>
      <c r="AJ229" s="3"/>
      <c r="AK229" s="3"/>
      <c r="AL229" s="4" t="str">
        <f aca="false">IF(OR(AJ229="",AK229=""),"",IFERROR(IF($K229="%",AK229-AJ229,AK229/AJ229-1),""))</f>
        <v/>
      </c>
      <c r="AM229" s="5" t="str">
        <f aca="false">IF(OR(AJ229="",AK229=""),"",IF($F229="Maior Melhor",IF(AK229&gt;=AJ229,"Sim","Não"),IF(AK229&lt;=AJ229,"Sim","Não")))</f>
        <v/>
      </c>
      <c r="AN229" s="3"/>
      <c r="AO229" s="3"/>
      <c r="AP229" s="4" t="str">
        <f aca="false">IF(OR(AN229="",AO229=""),"",IFERROR(IF($K229="%",AO229-AN229,AO229/AN229-1),""))</f>
        <v/>
      </c>
      <c r="AQ229" s="5" t="str">
        <f aca="false">IF(OR(AN229="",AO229=""),"",IF($F229="Maior Melhor",IF(AO229&gt;=AN229,"Sim","Não"),IF(AO229&lt;=AN229,"Sim","Não")))</f>
        <v/>
      </c>
      <c r="AR229" s="3"/>
      <c r="AS229" s="3"/>
      <c r="AT229" s="4" t="str">
        <f aca="false">IF(OR(AR229="",AS229=""),"",IFERROR(IF($K229="%",AS229-AR229,AS229/AR229-1),""))</f>
        <v/>
      </c>
      <c r="AU229" s="5" t="str">
        <f aca="false">IF(OR(AR229="",AS229=""),"",IF($F229="Maior Melhor",IF(AS229&gt;=AR229,"Sim","Não"),IF(AS229&lt;=AR229,"Sim","Não")))</f>
        <v/>
      </c>
      <c r="AV229" s="3" t="n">
        <v>0.7</v>
      </c>
      <c r="AW229" s="3" t="n">
        <v>0.74</v>
      </c>
      <c r="AX229" s="4" t="n">
        <f aca="false">IF(OR(AV229="",AW229=""),"",IFERROR(IF($K229="%",AW229-AV229,AW229/AV229-1),""))</f>
        <v>0.04</v>
      </c>
      <c r="AY229" s="5" t="str">
        <f aca="false">IF(OR(AV229="",AW229=""),"",IF($F229="Maior Melhor",IF(AW229&gt;=AV229,"Sim","Não"),IF(AW229&lt;=AV229,"Sim","Não")))</f>
        <v>Sim</v>
      </c>
      <c r="AZ229" s="3" t="n">
        <v>0.7</v>
      </c>
      <c r="BA229" s="3" t="n">
        <v>0.7</v>
      </c>
      <c r="BB229" s="4" t="n">
        <f aca="false">IF(OR(AZ229="",BA229=""),"",IFERROR(IF($K229="%",BA229-AZ229,BA229/AZ229-1),""))</f>
        <v>0</v>
      </c>
      <c r="BC229" s="5" t="str">
        <f aca="false">IF(OR(AZ229="",BA229=""),"",IF($F229="Maior Melhor",IF(BA229&gt;=AZ229,"Sim","Não"),IF(BA229&lt;=AZ229,"Sim","Não")))</f>
        <v>Sim</v>
      </c>
      <c r="BD229" s="3" t="n">
        <v>0.72</v>
      </c>
      <c r="BE229" s="3" t="n">
        <v>0.73</v>
      </c>
      <c r="BF229" s="4" t="n">
        <f aca="false">IF(OR(BD229="",BE229=""),"",IFERROR(IF($K229="%",BE229-BD229,BE229/BD229-1),""))</f>
        <v>0.01</v>
      </c>
      <c r="BG229" s="5" t="str">
        <f aca="false">IF(OR(BD229="",BE229=""),"",IF($F229="Maior Melhor",IF(BE229&gt;=BD229,"Sim","Não"),IF(BE229&lt;=BD229,"Sim","Não")))</f>
        <v>Sim</v>
      </c>
      <c r="BH229" s="3" t="n">
        <v>0.72</v>
      </c>
      <c r="BI229" s="3" t="n">
        <v>0.73</v>
      </c>
      <c r="BJ229" s="4" t="n">
        <f aca="false">IF(OR(BH229="",BI229=""),"",IFERROR(IF($K229="%",BI229-BH229,BI229/BH229-1),""))</f>
        <v>0.01</v>
      </c>
      <c r="BK229" s="5" t="str">
        <f aca="false">IF(OR(BH229="",BI229=""),"",IF($F229="Maior Melhor",IF(BI229&gt;=BH229,"Sim","Não"),IF(BI229&lt;=BH229,"Sim","Não")))</f>
        <v>Sim</v>
      </c>
      <c r="BL229" s="6"/>
      <c r="BM229" s="6"/>
      <c r="BN229" s="4" t="str">
        <f aca="false">IF(OR(BL229="",BM229=""),"",IFERROR(IF($K229="%",BM229-BL229,BM229/BL229-1),""))</f>
        <v/>
      </c>
      <c r="BO229" s="5" t="str">
        <f aca="false">IF(OR(BL229="",BM229=""),"",IF($F229="Maior Melhor",IF(BM229&gt;=BL229,"Sim","Não"),IF(BM229&lt;=BL229,"Sim","Não")))</f>
        <v/>
      </c>
      <c r="BP229" s="6"/>
      <c r="BQ229" s="6"/>
      <c r="BR229" s="4" t="str">
        <f aca="false">IF(OR(BP229="",BQ229=""),"",IFERROR(IF($K229="%",BQ229-BP229,BQ229/BP229-1),""))</f>
        <v/>
      </c>
      <c r="BS229" s="5" t="str">
        <f aca="false">IF(OR(BP229="",BQ229=""),"",IF($F229="Maior Melhor",IF(BQ229&gt;=BP229,"Sim","Não"),IF(BQ229&lt;=BP229,"Sim","Não")))</f>
        <v/>
      </c>
      <c r="BT229" s="6"/>
      <c r="BU229" s="6"/>
      <c r="BV229" s="4" t="str">
        <f aca="false">IF(OR(BT229="",BU229=""),"",IFERROR(IF($K229="%",BU229-BT229,BU229/BT229-1),""))</f>
        <v/>
      </c>
      <c r="BW229" s="5" t="str">
        <f aca="false">IF(OR(BT229="",BU229=""),"",IF($F229="Maior Melhor",IF(BU229&gt;=BT229,"Sim","Não"),IF(BU229&lt;=BT229,"Sim","Não")))</f>
        <v/>
      </c>
      <c r="BX229" s="6"/>
      <c r="BY229" s="6"/>
      <c r="BZ229" s="4" t="str">
        <f aca="false">IF(OR(BX229="",BY229=""),"",IFERROR(IF($K229="%",BY229-BX229,BY229/BX229-1),""))</f>
        <v/>
      </c>
      <c r="CA229" s="5" t="str">
        <f aca="false">IF(OR(BX229="",BY229=""),"",IF($F229="Maior Melhor",IF(BY229&gt;=BX229,"Sim","Não"),IF(BY229&lt;=BX229,"Sim","Não")))</f>
        <v/>
      </c>
      <c r="CB229" s="6"/>
      <c r="CC229" s="6"/>
      <c r="CD229" s="4" t="str">
        <f aca="false">IF(OR(CB229="",CC229=""),"",IFERROR(IF($K229="%",CC229-CB229,CC229/CB229-1),""))</f>
        <v/>
      </c>
      <c r="CE229" s="5" t="str">
        <f aca="false">IF(OR(CB229="",CC229=""),"",IF($F229="Maior Melhor",IF(CC229&gt;=CB229,"Sim","Não"),IF(CC229&lt;=CB229,"Sim","Não")))</f>
        <v/>
      </c>
      <c r="CF229" s="6"/>
      <c r="CG229" s="6"/>
      <c r="CH229" s="4" t="str">
        <f aca="false">IF(OR(CF229="",CG229=""),"",IFERROR(IF($K229="%",CG229-CF229,CG229/CF229-1),""))</f>
        <v/>
      </c>
      <c r="CI229" s="5" t="str">
        <f aca="false">IF(OR(CF229="",CG229=""),"",IF($F229="Maior Melhor",IF(CG229&gt;=CF229,"Sim","Não"),IF(CG229&lt;=CF229,"Sim","Não")))</f>
        <v/>
      </c>
      <c r="CJ229" s="6"/>
      <c r="CK229" s="6"/>
      <c r="CL229" s="4" t="str">
        <f aca="false">IF(OR(CJ229="",CK229=""),"",IFERROR(IF($K229="%",CK229-CJ229,CK229/CJ229-1),""))</f>
        <v/>
      </c>
      <c r="CM229" s="5" t="str">
        <f aca="false">IF(OR(CJ229="",CK229=""),"",IF($F229="Maior Melhor",IF(CK229&gt;=CJ229,"Sim","Não"),IF(CK229&lt;=CJ229,"Sim","Não")))</f>
        <v/>
      </c>
      <c r="CN229" s="6"/>
      <c r="CO229" s="6"/>
      <c r="CP229" s="4" t="str">
        <f aca="false">IF(OR(CN229="",CO229=""),"",IFERROR(IF($K229="%",CO229-CN229,CO229/CN229-1),""))</f>
        <v/>
      </c>
      <c r="CQ229" s="5" t="str">
        <f aca="false">IF(OR(CN229="",CO229=""),"",IF($F229="Maior Melhor",IF(CO229&gt;=CN229,"Sim","Não"),IF(CO229&lt;=CN229,"Sim","Não")))</f>
        <v/>
      </c>
      <c r="CR229" s="2" t="s">
        <v>105</v>
      </c>
    </row>
    <row r="230" customFormat="false" ht="15" hidden="false" customHeight="false" outlineLevel="0" collapsed="false">
      <c r="A230" s="2" t="s">
        <v>96</v>
      </c>
      <c r="B230" s="2" t="s">
        <v>97</v>
      </c>
      <c r="C230" s="2" t="s">
        <v>125</v>
      </c>
      <c r="D230" s="2" t="s">
        <v>181</v>
      </c>
      <c r="E230" s="2" t="str">
        <f aca="false">C230&amp;D230</f>
        <v>UTD JEQUIÉLigação Nova Atendida na primeira visita</v>
      </c>
      <c r="F230" s="2" t="s">
        <v>100</v>
      </c>
      <c r="G230" s="2" t="s">
        <v>182</v>
      </c>
      <c r="H230" s="2" t="s">
        <v>102</v>
      </c>
      <c r="I230" s="2" t="s">
        <v>103</v>
      </c>
      <c r="J230" s="2" t="n">
        <v>2</v>
      </c>
      <c r="K230" s="2" t="s">
        <v>104</v>
      </c>
      <c r="L230" s="3" t="n">
        <v>0.6906</v>
      </c>
      <c r="M230" s="3" t="n">
        <v>0.6611</v>
      </c>
      <c r="N230" s="4" t="n">
        <f aca="false">IF(OR(L230="",M230=""),"",IFERROR(IF($K230="%",M230-L230,M230/L230-1),""))</f>
        <v>-0.0295</v>
      </c>
      <c r="O230" s="5" t="str">
        <f aca="false">IF(OR(L230="",M230=""),"",IF($F230="Maior Melhor",IF(M230&gt;=L230,"Sim","Não"),IF(M230&lt;=L230,"Sim","Não")))</f>
        <v>Não</v>
      </c>
      <c r="P230" s="3" t="n">
        <v>0.6991</v>
      </c>
      <c r="Q230" s="3" t="n">
        <v>0.6687</v>
      </c>
      <c r="R230" s="4" t="n">
        <f aca="false">IF(OR(P230="",Q230=""),"",IFERROR(IF($K230="%",Q230-P230,Q230/P230-1),""))</f>
        <v>-0.0304000000000001</v>
      </c>
      <c r="S230" s="5" t="str">
        <f aca="false">IF(OR(P230="",Q230=""),"",IF($F230="Maior Melhor",IF(Q230&gt;=P230,"Sim","Não"),IF(Q230&lt;=P230,"Sim","Não")))</f>
        <v>Não</v>
      </c>
      <c r="T230" s="3" t="n">
        <v>0.7077</v>
      </c>
      <c r="U230" s="3" t="n">
        <v>0.6809</v>
      </c>
      <c r="V230" s="4" t="n">
        <f aca="false">IF(OR(T230="",U230=""),"",IFERROR(IF($K230="%",U230-T230,U230/T230-1),""))</f>
        <v>-0.0268</v>
      </c>
      <c r="W230" s="5" t="str">
        <f aca="false">IF(OR(T230="",U230=""),"",IF($F230="Maior Melhor",IF(U230&gt;=T230,"Sim","Não"),IF(U230&lt;=T230,"Sim","Não")))</f>
        <v>Não</v>
      </c>
      <c r="X230" s="3"/>
      <c r="Y230" s="3"/>
      <c r="Z230" s="4" t="str">
        <f aca="false">IF(OR(X230="",Y230=""),"",IFERROR(IF($K230="%",Y230-X230,Y230/X230-1),""))</f>
        <v/>
      </c>
      <c r="AA230" s="5" t="str">
        <f aca="false">IF(OR(X230="",Y230=""),"",IF($F230="Maior Melhor",IF(Y230&gt;=X230,"Sim","Não"),IF(Y230&lt;=X230,"Sim","Não")))</f>
        <v/>
      </c>
      <c r="AB230" s="3"/>
      <c r="AC230" s="3"/>
      <c r="AD230" s="4" t="str">
        <f aca="false">IF(OR(AB230="",AC230=""),"",IFERROR(IF($K230="%",AC230-AB230,AC230/AB230-1),""))</f>
        <v/>
      </c>
      <c r="AE230" s="5" t="str">
        <f aca="false">IF(OR(AB230="",AC230=""),"",IF($F230="Maior Melhor",IF(AC230&gt;=AB230,"Sim","Não"),IF(AC230&lt;=AB230,"Sim","Não")))</f>
        <v/>
      </c>
      <c r="AF230" s="3"/>
      <c r="AG230" s="3"/>
      <c r="AH230" s="4" t="str">
        <f aca="false">IF(OR(AF230="",AG230=""),"",IFERROR(IF($K230="%",AG230-AF230,AG230/AF230-1),""))</f>
        <v/>
      </c>
      <c r="AI230" s="5" t="str">
        <f aca="false">IF(OR(AF230="",AG230=""),"",IF($F230="Maior Melhor",IF(AG230&gt;=AF230,"Sim","Não"),IF(AG230&lt;=AF230,"Sim","Não")))</f>
        <v/>
      </c>
      <c r="AJ230" s="3"/>
      <c r="AK230" s="3"/>
      <c r="AL230" s="4" t="str">
        <f aca="false">IF(OR(AJ230="",AK230=""),"",IFERROR(IF($K230="%",AK230-AJ230,AK230/AJ230-1),""))</f>
        <v/>
      </c>
      <c r="AM230" s="5" t="str">
        <f aca="false">IF(OR(AJ230="",AK230=""),"",IF($F230="Maior Melhor",IF(AK230&gt;=AJ230,"Sim","Não"),IF(AK230&lt;=AJ230,"Sim","Não")))</f>
        <v/>
      </c>
      <c r="AN230" s="3"/>
      <c r="AO230" s="3"/>
      <c r="AP230" s="4" t="str">
        <f aca="false">IF(OR(AN230="",AO230=""),"",IFERROR(IF($K230="%",AO230-AN230,AO230/AN230-1),""))</f>
        <v/>
      </c>
      <c r="AQ230" s="5" t="str">
        <f aca="false">IF(OR(AN230="",AO230=""),"",IF($F230="Maior Melhor",IF(AO230&gt;=AN230,"Sim","Não"),IF(AO230&lt;=AN230,"Sim","Não")))</f>
        <v/>
      </c>
      <c r="AR230" s="3"/>
      <c r="AS230" s="3"/>
      <c r="AT230" s="4" t="str">
        <f aca="false">IF(OR(AR230="",AS230=""),"",IFERROR(IF($K230="%",AS230-AR230,AS230/AR230-1),""))</f>
        <v/>
      </c>
      <c r="AU230" s="5" t="str">
        <f aca="false">IF(OR(AR230="",AS230=""),"",IF($F230="Maior Melhor",IF(AS230&gt;=AR230,"Sim","Não"),IF(AS230&lt;=AR230,"Sim","Não")))</f>
        <v/>
      </c>
      <c r="AV230" s="3" t="n">
        <v>0.73</v>
      </c>
      <c r="AW230" s="3" t="n">
        <v>0.71</v>
      </c>
      <c r="AX230" s="4" t="n">
        <f aca="false">IF(OR(AV230="",AW230=""),"",IFERROR(IF($K230="%",AW230-AV230,AW230/AV230-1),""))</f>
        <v>-0.02</v>
      </c>
      <c r="AY230" s="5" t="str">
        <f aca="false">IF(OR(AV230="",AW230=""),"",IF($F230="Maior Melhor",IF(AW230&gt;=AV230,"Sim","Não"),IF(AW230&lt;=AV230,"Sim","Não")))</f>
        <v>Não</v>
      </c>
      <c r="AZ230" s="3" t="n">
        <v>0.73</v>
      </c>
      <c r="BA230" s="3" t="n">
        <v>0.72</v>
      </c>
      <c r="BB230" s="4" t="n">
        <f aca="false">IF(OR(AZ230="",BA230=""),"",IFERROR(IF($K230="%",BA230-AZ230,BA230/AZ230-1),""))</f>
        <v>-0.01</v>
      </c>
      <c r="BC230" s="5" t="str">
        <f aca="false">IF(OR(AZ230="",BA230=""),"",IF($F230="Maior Melhor",IF(BA230&gt;=AZ230,"Sim","Não"),IF(BA230&lt;=AZ230,"Sim","Não")))</f>
        <v>Não</v>
      </c>
      <c r="BD230" s="3" t="n">
        <v>0.75</v>
      </c>
      <c r="BE230" s="3" t="n">
        <v>0.69</v>
      </c>
      <c r="BF230" s="4" t="n">
        <f aca="false">IF(OR(BD230="",BE230=""),"",IFERROR(IF($K230="%",BE230-BD230,BE230/BD230-1),""))</f>
        <v>-0.0600000000000001</v>
      </c>
      <c r="BG230" s="5" t="str">
        <f aca="false">IF(OR(BD230="",BE230=""),"",IF($F230="Maior Melhor",IF(BE230&gt;=BD230,"Sim","Não"),IF(BE230&lt;=BD230,"Sim","Não")))</f>
        <v>Não</v>
      </c>
      <c r="BH230" s="3" t="n">
        <v>0.75</v>
      </c>
      <c r="BI230" s="3" t="n">
        <v>0.69</v>
      </c>
      <c r="BJ230" s="4" t="n">
        <f aca="false">IF(OR(BH230="",BI230=""),"",IFERROR(IF($K230="%",BI230-BH230,BI230/BH230-1),""))</f>
        <v>-0.0600000000000001</v>
      </c>
      <c r="BK230" s="5" t="str">
        <f aca="false">IF(OR(BH230="",BI230=""),"",IF($F230="Maior Melhor",IF(BI230&gt;=BH230,"Sim","Não"),IF(BI230&lt;=BH230,"Sim","Não")))</f>
        <v>Não</v>
      </c>
      <c r="BL230" s="6"/>
      <c r="BM230" s="6"/>
      <c r="BN230" s="4" t="str">
        <f aca="false">IF(OR(BL230="",BM230=""),"",IFERROR(IF($K230="%",BM230-BL230,BM230/BL230-1),""))</f>
        <v/>
      </c>
      <c r="BO230" s="5" t="str">
        <f aca="false">IF(OR(BL230="",BM230=""),"",IF($F230="Maior Melhor",IF(BM230&gt;=BL230,"Sim","Não"),IF(BM230&lt;=BL230,"Sim","Não")))</f>
        <v/>
      </c>
      <c r="BP230" s="6"/>
      <c r="BQ230" s="6"/>
      <c r="BR230" s="4" t="str">
        <f aca="false">IF(OR(BP230="",BQ230=""),"",IFERROR(IF($K230="%",BQ230-BP230,BQ230/BP230-1),""))</f>
        <v/>
      </c>
      <c r="BS230" s="5" t="str">
        <f aca="false">IF(OR(BP230="",BQ230=""),"",IF($F230="Maior Melhor",IF(BQ230&gt;=BP230,"Sim","Não"),IF(BQ230&lt;=BP230,"Sim","Não")))</f>
        <v/>
      </c>
      <c r="BT230" s="6"/>
      <c r="BU230" s="6"/>
      <c r="BV230" s="4" t="str">
        <f aca="false">IF(OR(BT230="",BU230=""),"",IFERROR(IF($K230="%",BU230-BT230,BU230/BT230-1),""))</f>
        <v/>
      </c>
      <c r="BW230" s="5" t="str">
        <f aca="false">IF(OR(BT230="",BU230=""),"",IF($F230="Maior Melhor",IF(BU230&gt;=BT230,"Sim","Não"),IF(BU230&lt;=BT230,"Sim","Não")))</f>
        <v/>
      </c>
      <c r="BX230" s="6"/>
      <c r="BY230" s="6"/>
      <c r="BZ230" s="4" t="str">
        <f aca="false">IF(OR(BX230="",BY230=""),"",IFERROR(IF($K230="%",BY230-BX230,BY230/BX230-1),""))</f>
        <v/>
      </c>
      <c r="CA230" s="5" t="str">
        <f aca="false">IF(OR(BX230="",BY230=""),"",IF($F230="Maior Melhor",IF(BY230&gt;=BX230,"Sim","Não"),IF(BY230&lt;=BX230,"Sim","Não")))</f>
        <v/>
      </c>
      <c r="CB230" s="6"/>
      <c r="CC230" s="6"/>
      <c r="CD230" s="4" t="str">
        <f aca="false">IF(OR(CB230="",CC230=""),"",IFERROR(IF($K230="%",CC230-CB230,CC230/CB230-1),""))</f>
        <v/>
      </c>
      <c r="CE230" s="5" t="str">
        <f aca="false">IF(OR(CB230="",CC230=""),"",IF($F230="Maior Melhor",IF(CC230&gt;=CB230,"Sim","Não"),IF(CC230&lt;=CB230,"Sim","Não")))</f>
        <v/>
      </c>
      <c r="CF230" s="6"/>
      <c r="CG230" s="6"/>
      <c r="CH230" s="4" t="str">
        <f aca="false">IF(OR(CF230="",CG230=""),"",IFERROR(IF($K230="%",CG230-CF230,CG230/CF230-1),""))</f>
        <v/>
      </c>
      <c r="CI230" s="5" t="str">
        <f aca="false">IF(OR(CF230="",CG230=""),"",IF($F230="Maior Melhor",IF(CG230&gt;=CF230,"Sim","Não"),IF(CG230&lt;=CF230,"Sim","Não")))</f>
        <v/>
      </c>
      <c r="CJ230" s="6"/>
      <c r="CK230" s="6"/>
      <c r="CL230" s="4" t="str">
        <f aca="false">IF(OR(CJ230="",CK230=""),"",IFERROR(IF($K230="%",CK230-CJ230,CK230/CJ230-1),""))</f>
        <v/>
      </c>
      <c r="CM230" s="5" t="str">
        <f aca="false">IF(OR(CJ230="",CK230=""),"",IF($F230="Maior Melhor",IF(CK230&gt;=CJ230,"Sim","Não"),IF(CK230&lt;=CJ230,"Sim","Não")))</f>
        <v/>
      </c>
      <c r="CN230" s="6"/>
      <c r="CO230" s="6"/>
      <c r="CP230" s="4" t="str">
        <f aca="false">IF(OR(CN230="",CO230=""),"",IFERROR(IF($K230="%",CO230-CN230,CO230/CN230-1),""))</f>
        <v/>
      </c>
      <c r="CQ230" s="5" t="str">
        <f aca="false">IF(OR(CN230="",CO230=""),"",IF($F230="Maior Melhor",IF(CO230&gt;=CN230,"Sim","Não"),IF(CO230&lt;=CN230,"Sim","Não")))</f>
        <v/>
      </c>
      <c r="CR230" s="2" t="s">
        <v>105</v>
      </c>
    </row>
    <row r="231" customFormat="false" ht="15" hidden="false" customHeight="false" outlineLevel="0" collapsed="false">
      <c r="A231" s="2" t="s">
        <v>96</v>
      </c>
      <c r="B231" s="2" t="s">
        <v>97</v>
      </c>
      <c r="C231" s="2" t="s">
        <v>126</v>
      </c>
      <c r="D231" s="2" t="s">
        <v>181</v>
      </c>
      <c r="E231" s="2" t="str">
        <f aca="false">C231&amp;D231</f>
        <v>UTD LIVRAMENTO DE NOSSA SENHORALigação Nova Atendida na primeira visita</v>
      </c>
      <c r="F231" s="2" t="s">
        <v>100</v>
      </c>
      <c r="G231" s="2" t="s">
        <v>182</v>
      </c>
      <c r="H231" s="2" t="s">
        <v>102</v>
      </c>
      <c r="I231" s="2" t="s">
        <v>103</v>
      </c>
      <c r="J231" s="2" t="n">
        <v>2</v>
      </c>
      <c r="K231" s="2" t="s">
        <v>104</v>
      </c>
      <c r="L231" s="3" t="n">
        <v>0.5659</v>
      </c>
      <c r="M231" s="3" t="n">
        <v>0.5569</v>
      </c>
      <c r="N231" s="4" t="n">
        <f aca="false">IF(OR(L231="",M231=""),"",IFERROR(IF($K231="%",M231-L231,M231/L231-1),""))</f>
        <v>-0.00900000000000001</v>
      </c>
      <c r="O231" s="5" t="str">
        <f aca="false">IF(OR(L231="",M231=""),"",IF($F231="Maior Melhor",IF(M231&gt;=L231,"Sim","Não"),IF(M231&lt;=L231,"Sim","Não")))</f>
        <v>Não</v>
      </c>
      <c r="P231" s="3" t="n">
        <v>0.5797</v>
      </c>
      <c r="Q231" s="3" t="n">
        <v>0.6469</v>
      </c>
      <c r="R231" s="4" t="n">
        <f aca="false">IF(OR(P231="",Q231=""),"",IFERROR(IF($K231="%",Q231-P231,Q231/P231-1),""))</f>
        <v>0.0672</v>
      </c>
      <c r="S231" s="5" t="str">
        <f aca="false">IF(OR(P231="",Q231=""),"",IF($F231="Maior Melhor",IF(Q231&gt;=P231,"Sim","Não"),IF(Q231&lt;=P231,"Sim","Não")))</f>
        <v>Sim</v>
      </c>
      <c r="T231" s="3" t="n">
        <v>0.5935</v>
      </c>
      <c r="U231" s="3" t="n">
        <v>0.6257</v>
      </c>
      <c r="V231" s="4" t="n">
        <f aca="false">IF(OR(T231="",U231=""),"",IFERROR(IF($K231="%",U231-T231,U231/T231-1),""))</f>
        <v>0.0322</v>
      </c>
      <c r="W231" s="5" t="str">
        <f aca="false">IF(OR(T231="",U231=""),"",IF($F231="Maior Melhor",IF(U231&gt;=T231,"Sim","Não"),IF(U231&lt;=T231,"Sim","Não")))</f>
        <v>Sim</v>
      </c>
      <c r="X231" s="3"/>
      <c r="Y231" s="3"/>
      <c r="Z231" s="4" t="str">
        <f aca="false">IF(OR(X231="",Y231=""),"",IFERROR(IF($K231="%",Y231-X231,Y231/X231-1),""))</f>
        <v/>
      </c>
      <c r="AA231" s="5" t="str">
        <f aca="false">IF(OR(X231="",Y231=""),"",IF($F231="Maior Melhor",IF(Y231&gt;=X231,"Sim","Não"),IF(Y231&lt;=X231,"Sim","Não")))</f>
        <v/>
      </c>
      <c r="AB231" s="3"/>
      <c r="AC231" s="3"/>
      <c r="AD231" s="4" t="str">
        <f aca="false">IF(OR(AB231="",AC231=""),"",IFERROR(IF($K231="%",AC231-AB231,AC231/AB231-1),""))</f>
        <v/>
      </c>
      <c r="AE231" s="5" t="str">
        <f aca="false">IF(OR(AB231="",AC231=""),"",IF($F231="Maior Melhor",IF(AC231&gt;=AB231,"Sim","Não"),IF(AC231&lt;=AB231,"Sim","Não")))</f>
        <v/>
      </c>
      <c r="AF231" s="3"/>
      <c r="AG231" s="3"/>
      <c r="AH231" s="4" t="str">
        <f aca="false">IF(OR(AF231="",AG231=""),"",IFERROR(IF($K231="%",AG231-AF231,AG231/AF231-1),""))</f>
        <v/>
      </c>
      <c r="AI231" s="5" t="str">
        <f aca="false">IF(OR(AF231="",AG231=""),"",IF($F231="Maior Melhor",IF(AG231&gt;=AF231,"Sim","Não"),IF(AG231&lt;=AF231,"Sim","Não")))</f>
        <v/>
      </c>
      <c r="AJ231" s="3"/>
      <c r="AK231" s="3"/>
      <c r="AL231" s="4" t="str">
        <f aca="false">IF(OR(AJ231="",AK231=""),"",IFERROR(IF($K231="%",AK231-AJ231,AK231/AJ231-1),""))</f>
        <v/>
      </c>
      <c r="AM231" s="5" t="str">
        <f aca="false">IF(OR(AJ231="",AK231=""),"",IF($F231="Maior Melhor",IF(AK231&gt;=AJ231,"Sim","Não"),IF(AK231&lt;=AJ231,"Sim","Não")))</f>
        <v/>
      </c>
      <c r="AN231" s="3"/>
      <c r="AO231" s="3"/>
      <c r="AP231" s="4" t="str">
        <f aca="false">IF(OR(AN231="",AO231=""),"",IFERROR(IF($K231="%",AO231-AN231,AO231/AN231-1),""))</f>
        <v/>
      </c>
      <c r="AQ231" s="5" t="str">
        <f aca="false">IF(OR(AN231="",AO231=""),"",IF($F231="Maior Melhor",IF(AO231&gt;=AN231,"Sim","Não"),IF(AO231&lt;=AN231,"Sim","Não")))</f>
        <v/>
      </c>
      <c r="AR231" s="3"/>
      <c r="AS231" s="3"/>
      <c r="AT231" s="4" t="str">
        <f aca="false">IF(OR(AR231="",AS231=""),"",IFERROR(IF($K231="%",AS231-AR231,AS231/AR231-1),""))</f>
        <v/>
      </c>
      <c r="AU231" s="5" t="str">
        <f aca="false">IF(OR(AR231="",AS231=""),"",IF($F231="Maior Melhor",IF(AS231&gt;=AR231,"Sim","Não"),IF(AS231&lt;=AR231,"Sim","Não")))</f>
        <v/>
      </c>
      <c r="AV231" s="3" t="n">
        <v>0.63</v>
      </c>
      <c r="AW231" s="3" t="n">
        <v>0.71</v>
      </c>
      <c r="AX231" s="4" t="n">
        <f aca="false">IF(OR(AV231="",AW231=""),"",IFERROR(IF($K231="%",AW231-AV231,AW231/AV231-1),""))</f>
        <v>0.08</v>
      </c>
      <c r="AY231" s="5" t="str">
        <f aca="false">IF(OR(AV231="",AW231=""),"",IF($F231="Maior Melhor",IF(AW231&gt;=AV231,"Sim","Não"),IF(AW231&lt;=AV231,"Sim","Não")))</f>
        <v>Sim</v>
      </c>
      <c r="AZ231" s="3" t="n">
        <v>0.63</v>
      </c>
      <c r="BA231" s="3" t="n">
        <v>0.67</v>
      </c>
      <c r="BB231" s="4" t="n">
        <f aca="false">IF(OR(AZ231="",BA231=""),"",IFERROR(IF($K231="%",BA231-AZ231,BA231/AZ231-1),""))</f>
        <v>0.04</v>
      </c>
      <c r="BC231" s="5" t="str">
        <f aca="false">IF(OR(AZ231="",BA231=""),"",IF($F231="Maior Melhor",IF(BA231&gt;=AZ231,"Sim","Não"),IF(BA231&lt;=AZ231,"Sim","Não")))</f>
        <v>Sim</v>
      </c>
      <c r="BD231" s="3" t="n">
        <v>0.66</v>
      </c>
      <c r="BE231" s="3" t="n">
        <v>0.62</v>
      </c>
      <c r="BF231" s="4" t="n">
        <f aca="false">IF(OR(BD231="",BE231=""),"",IFERROR(IF($K231="%",BE231-BD231,BE231/BD231-1),""))</f>
        <v>-0.04</v>
      </c>
      <c r="BG231" s="5" t="str">
        <f aca="false">IF(OR(BD231="",BE231=""),"",IF($F231="Maior Melhor",IF(BE231&gt;=BD231,"Sim","Não"),IF(BE231&lt;=BD231,"Sim","Não")))</f>
        <v>Não</v>
      </c>
      <c r="BH231" s="3" t="n">
        <v>0.66</v>
      </c>
      <c r="BI231" s="3" t="n">
        <v>0.62</v>
      </c>
      <c r="BJ231" s="4" t="n">
        <f aca="false">IF(OR(BH231="",BI231=""),"",IFERROR(IF($K231="%",BI231-BH231,BI231/BH231-1),""))</f>
        <v>-0.04</v>
      </c>
      <c r="BK231" s="5" t="str">
        <f aca="false">IF(OR(BH231="",BI231=""),"",IF($F231="Maior Melhor",IF(BI231&gt;=BH231,"Sim","Não"),IF(BI231&lt;=BH231,"Sim","Não")))</f>
        <v>Não</v>
      </c>
      <c r="BL231" s="6"/>
      <c r="BM231" s="6"/>
      <c r="BN231" s="4" t="str">
        <f aca="false">IF(OR(BL231="",BM231=""),"",IFERROR(IF($K231="%",BM231-BL231,BM231/BL231-1),""))</f>
        <v/>
      </c>
      <c r="BO231" s="5" t="str">
        <f aca="false">IF(OR(BL231="",BM231=""),"",IF($F231="Maior Melhor",IF(BM231&gt;=BL231,"Sim","Não"),IF(BM231&lt;=BL231,"Sim","Não")))</f>
        <v/>
      </c>
      <c r="BP231" s="6"/>
      <c r="BQ231" s="6"/>
      <c r="BR231" s="4" t="str">
        <f aca="false">IF(OR(BP231="",BQ231=""),"",IFERROR(IF($K231="%",BQ231-BP231,BQ231/BP231-1),""))</f>
        <v/>
      </c>
      <c r="BS231" s="5" t="str">
        <f aca="false">IF(OR(BP231="",BQ231=""),"",IF($F231="Maior Melhor",IF(BQ231&gt;=BP231,"Sim","Não"),IF(BQ231&lt;=BP231,"Sim","Não")))</f>
        <v/>
      </c>
      <c r="BT231" s="6"/>
      <c r="BU231" s="6"/>
      <c r="BV231" s="4" t="str">
        <f aca="false">IF(OR(BT231="",BU231=""),"",IFERROR(IF($K231="%",BU231-BT231,BU231/BT231-1),""))</f>
        <v/>
      </c>
      <c r="BW231" s="5" t="str">
        <f aca="false">IF(OR(BT231="",BU231=""),"",IF($F231="Maior Melhor",IF(BU231&gt;=BT231,"Sim","Não"),IF(BU231&lt;=BT231,"Sim","Não")))</f>
        <v/>
      </c>
      <c r="BX231" s="6"/>
      <c r="BY231" s="6"/>
      <c r="BZ231" s="4" t="str">
        <f aca="false">IF(OR(BX231="",BY231=""),"",IFERROR(IF($K231="%",BY231-BX231,BY231/BX231-1),""))</f>
        <v/>
      </c>
      <c r="CA231" s="5" t="str">
        <f aca="false">IF(OR(BX231="",BY231=""),"",IF($F231="Maior Melhor",IF(BY231&gt;=BX231,"Sim","Não"),IF(BY231&lt;=BX231,"Sim","Não")))</f>
        <v/>
      </c>
      <c r="CB231" s="6"/>
      <c r="CC231" s="6"/>
      <c r="CD231" s="4" t="str">
        <f aca="false">IF(OR(CB231="",CC231=""),"",IFERROR(IF($K231="%",CC231-CB231,CC231/CB231-1),""))</f>
        <v/>
      </c>
      <c r="CE231" s="5" t="str">
        <f aca="false">IF(OR(CB231="",CC231=""),"",IF($F231="Maior Melhor",IF(CC231&gt;=CB231,"Sim","Não"),IF(CC231&lt;=CB231,"Sim","Não")))</f>
        <v/>
      </c>
      <c r="CF231" s="6"/>
      <c r="CG231" s="6"/>
      <c r="CH231" s="4" t="str">
        <f aca="false">IF(OR(CF231="",CG231=""),"",IFERROR(IF($K231="%",CG231-CF231,CG231/CF231-1),""))</f>
        <v/>
      </c>
      <c r="CI231" s="5" t="str">
        <f aca="false">IF(OR(CF231="",CG231=""),"",IF($F231="Maior Melhor",IF(CG231&gt;=CF231,"Sim","Não"),IF(CG231&lt;=CF231,"Sim","Não")))</f>
        <v/>
      </c>
      <c r="CJ231" s="6"/>
      <c r="CK231" s="6"/>
      <c r="CL231" s="4" t="str">
        <f aca="false">IF(OR(CJ231="",CK231=""),"",IFERROR(IF($K231="%",CK231-CJ231,CK231/CJ231-1),""))</f>
        <v/>
      </c>
      <c r="CM231" s="5" t="str">
        <f aca="false">IF(OR(CJ231="",CK231=""),"",IF($F231="Maior Melhor",IF(CK231&gt;=CJ231,"Sim","Não"),IF(CK231&lt;=CJ231,"Sim","Não")))</f>
        <v/>
      </c>
      <c r="CN231" s="6"/>
      <c r="CO231" s="6"/>
      <c r="CP231" s="4" t="str">
        <f aca="false">IF(OR(CN231="",CO231=""),"",IFERROR(IF($K231="%",CO231-CN231,CO231/CN231-1),""))</f>
        <v/>
      </c>
      <c r="CQ231" s="5" t="str">
        <f aca="false">IF(OR(CN231="",CO231=""),"",IF($F231="Maior Melhor",IF(CO231&gt;=CN231,"Sim","Não"),IF(CO231&lt;=CN231,"Sim","Não")))</f>
        <v/>
      </c>
      <c r="CR231" s="2" t="s">
        <v>105</v>
      </c>
    </row>
    <row r="232" customFormat="false" ht="15" hidden="false" customHeight="false" outlineLevel="0" collapsed="false">
      <c r="A232" s="2" t="s">
        <v>96</v>
      </c>
      <c r="B232" s="2" t="s">
        <v>106</v>
      </c>
      <c r="C232" s="2" t="s">
        <v>127</v>
      </c>
      <c r="D232" s="2" t="s">
        <v>181</v>
      </c>
      <c r="E232" s="2" t="str">
        <f aca="false">C232&amp;D232</f>
        <v>UTD LUIS EDUARDO MAGALHAESLigação Nova Atendida na primeira visita</v>
      </c>
      <c r="F232" s="2" t="s">
        <v>100</v>
      </c>
      <c r="G232" s="2" t="s">
        <v>182</v>
      </c>
      <c r="H232" s="2" t="s">
        <v>102</v>
      </c>
      <c r="I232" s="2" t="s">
        <v>103</v>
      </c>
      <c r="J232" s="2" t="n">
        <v>2</v>
      </c>
      <c r="K232" s="2" t="s">
        <v>104</v>
      </c>
      <c r="L232" s="3" t="n">
        <v>0.6125</v>
      </c>
      <c r="M232" s="3" t="n">
        <v>0.6716</v>
      </c>
      <c r="N232" s="4" t="n">
        <f aca="false">IF(OR(L232="",M232=""),"",IFERROR(IF($K232="%",M232-L232,M232/L232-1),""))</f>
        <v>0.0590999999999999</v>
      </c>
      <c r="O232" s="5" t="str">
        <f aca="false">IF(OR(L232="",M232=""),"",IF($F232="Maior Melhor",IF(M232&gt;=L232,"Sim","Não"),IF(M232&lt;=L232,"Sim","Não")))</f>
        <v>Sim</v>
      </c>
      <c r="P232" s="3" t="n">
        <v>0.6225</v>
      </c>
      <c r="Q232" s="3" t="n">
        <v>0.5559</v>
      </c>
      <c r="R232" s="4" t="n">
        <f aca="false">IF(OR(P232="",Q232=""),"",IFERROR(IF($K232="%",Q232-P232,Q232/P232-1),""))</f>
        <v>-0.0666000000000001</v>
      </c>
      <c r="S232" s="5" t="str">
        <f aca="false">IF(OR(P232="",Q232=""),"",IF($F232="Maior Melhor",IF(Q232&gt;=P232,"Sim","Não"),IF(Q232&lt;=P232,"Sim","Não")))</f>
        <v>Não</v>
      </c>
      <c r="T232" s="3" t="n">
        <v>0.6326</v>
      </c>
      <c r="U232" s="3" t="n">
        <v>0.6881</v>
      </c>
      <c r="V232" s="4" t="n">
        <f aca="false">IF(OR(T232="",U232=""),"",IFERROR(IF($K232="%",U232-T232,U232/T232-1),""))</f>
        <v>0.0555</v>
      </c>
      <c r="W232" s="5" t="str">
        <f aca="false">IF(OR(T232="",U232=""),"",IF($F232="Maior Melhor",IF(U232&gt;=T232,"Sim","Não"),IF(U232&lt;=T232,"Sim","Não")))</f>
        <v>Sim</v>
      </c>
      <c r="X232" s="3"/>
      <c r="Y232" s="3"/>
      <c r="Z232" s="4" t="str">
        <f aca="false">IF(OR(X232="",Y232=""),"",IFERROR(IF($K232="%",Y232-X232,Y232/X232-1),""))</f>
        <v/>
      </c>
      <c r="AA232" s="5" t="str">
        <f aca="false">IF(OR(X232="",Y232=""),"",IF($F232="Maior Melhor",IF(Y232&gt;=X232,"Sim","Não"),IF(Y232&lt;=X232,"Sim","Não")))</f>
        <v/>
      </c>
      <c r="AB232" s="3"/>
      <c r="AC232" s="3"/>
      <c r="AD232" s="4" t="str">
        <f aca="false">IF(OR(AB232="",AC232=""),"",IFERROR(IF($K232="%",AC232-AB232,AC232/AB232-1),""))</f>
        <v/>
      </c>
      <c r="AE232" s="5" t="str">
        <f aca="false">IF(OR(AB232="",AC232=""),"",IF($F232="Maior Melhor",IF(AC232&gt;=AB232,"Sim","Não"),IF(AC232&lt;=AB232,"Sim","Não")))</f>
        <v/>
      </c>
      <c r="AF232" s="3"/>
      <c r="AG232" s="3"/>
      <c r="AH232" s="4" t="str">
        <f aca="false">IF(OR(AF232="",AG232=""),"",IFERROR(IF($K232="%",AG232-AF232,AG232/AF232-1),""))</f>
        <v/>
      </c>
      <c r="AI232" s="5" t="str">
        <f aca="false">IF(OR(AF232="",AG232=""),"",IF($F232="Maior Melhor",IF(AG232&gt;=AF232,"Sim","Não"),IF(AG232&lt;=AF232,"Sim","Não")))</f>
        <v/>
      </c>
      <c r="AJ232" s="3"/>
      <c r="AK232" s="3"/>
      <c r="AL232" s="4" t="str">
        <f aca="false">IF(OR(AJ232="",AK232=""),"",IFERROR(IF($K232="%",AK232-AJ232,AK232/AJ232-1),""))</f>
        <v/>
      </c>
      <c r="AM232" s="5" t="str">
        <f aca="false">IF(OR(AJ232="",AK232=""),"",IF($F232="Maior Melhor",IF(AK232&gt;=AJ232,"Sim","Não"),IF(AK232&lt;=AJ232,"Sim","Não")))</f>
        <v/>
      </c>
      <c r="AN232" s="3"/>
      <c r="AO232" s="3"/>
      <c r="AP232" s="4" t="str">
        <f aca="false">IF(OR(AN232="",AO232=""),"",IFERROR(IF($K232="%",AO232-AN232,AO232/AN232-1),""))</f>
        <v/>
      </c>
      <c r="AQ232" s="5" t="str">
        <f aca="false">IF(OR(AN232="",AO232=""),"",IF($F232="Maior Melhor",IF(AO232&gt;=AN232,"Sim","Não"),IF(AO232&lt;=AN232,"Sim","Não")))</f>
        <v/>
      </c>
      <c r="AR232" s="3"/>
      <c r="AS232" s="3"/>
      <c r="AT232" s="4" t="str">
        <f aca="false">IF(OR(AR232="",AS232=""),"",IFERROR(IF($K232="%",AS232-AR232,AS232/AR232-1),""))</f>
        <v/>
      </c>
      <c r="AU232" s="5" t="str">
        <f aca="false">IF(OR(AR232="",AS232=""),"",IF($F232="Maior Melhor",IF(AS232&gt;=AR232,"Sim","Não"),IF(AS232&lt;=AR232,"Sim","Não")))</f>
        <v/>
      </c>
      <c r="AV232" s="3" t="n">
        <v>0.66</v>
      </c>
      <c r="AW232" s="3" t="n">
        <v>0.57</v>
      </c>
      <c r="AX232" s="4" t="n">
        <f aca="false">IF(OR(AV232="",AW232=""),"",IFERROR(IF($K232="%",AW232-AV232,AW232/AV232-1),""))</f>
        <v>-0.0900000000000001</v>
      </c>
      <c r="AY232" s="5" t="str">
        <f aca="false">IF(OR(AV232="",AW232=""),"",IF($F232="Maior Melhor",IF(AW232&gt;=AV232,"Sim","Não"),IF(AW232&lt;=AV232,"Sim","Não")))</f>
        <v>Não</v>
      </c>
      <c r="AZ232" s="3" t="n">
        <v>0.66</v>
      </c>
      <c r="BA232" s="3" t="n">
        <v>0.67</v>
      </c>
      <c r="BB232" s="4" t="n">
        <f aca="false">IF(OR(AZ232="",BA232=""),"",IFERROR(IF($K232="%",BA232-AZ232,BA232/AZ232-1),""))</f>
        <v>0.01</v>
      </c>
      <c r="BC232" s="5" t="str">
        <f aca="false">IF(OR(AZ232="",BA232=""),"",IF($F232="Maior Melhor",IF(BA232&gt;=AZ232,"Sim","Não"),IF(BA232&lt;=AZ232,"Sim","Não")))</f>
        <v>Sim</v>
      </c>
      <c r="BD232" s="3" t="n">
        <v>0.68</v>
      </c>
      <c r="BE232" s="3" t="n">
        <v>0.61</v>
      </c>
      <c r="BF232" s="4" t="n">
        <f aca="false">IF(OR(BD232="",BE232=""),"",IFERROR(IF($K232="%",BE232-BD232,BE232/BD232-1),""))</f>
        <v>-0.0700000000000001</v>
      </c>
      <c r="BG232" s="5" t="str">
        <f aca="false">IF(OR(BD232="",BE232=""),"",IF($F232="Maior Melhor",IF(BE232&gt;=BD232,"Sim","Não"),IF(BE232&lt;=BD232,"Sim","Não")))</f>
        <v>Não</v>
      </c>
      <c r="BH232" s="3" t="n">
        <v>0.68</v>
      </c>
      <c r="BI232" s="3" t="n">
        <v>0.61</v>
      </c>
      <c r="BJ232" s="4" t="n">
        <f aca="false">IF(OR(BH232="",BI232=""),"",IFERROR(IF($K232="%",BI232-BH232,BI232/BH232-1),""))</f>
        <v>-0.0700000000000001</v>
      </c>
      <c r="BK232" s="5" t="str">
        <f aca="false">IF(OR(BH232="",BI232=""),"",IF($F232="Maior Melhor",IF(BI232&gt;=BH232,"Sim","Não"),IF(BI232&lt;=BH232,"Sim","Não")))</f>
        <v>Não</v>
      </c>
      <c r="BL232" s="6"/>
      <c r="BM232" s="6"/>
      <c r="BN232" s="4" t="str">
        <f aca="false">IF(OR(BL232="",BM232=""),"",IFERROR(IF($K232="%",BM232-BL232,BM232/BL232-1),""))</f>
        <v/>
      </c>
      <c r="BO232" s="5" t="str">
        <f aca="false">IF(OR(BL232="",BM232=""),"",IF($F232="Maior Melhor",IF(BM232&gt;=BL232,"Sim","Não"),IF(BM232&lt;=BL232,"Sim","Não")))</f>
        <v/>
      </c>
      <c r="BP232" s="6"/>
      <c r="BQ232" s="6"/>
      <c r="BR232" s="4" t="str">
        <f aca="false">IF(OR(BP232="",BQ232=""),"",IFERROR(IF($K232="%",BQ232-BP232,BQ232/BP232-1),""))</f>
        <v/>
      </c>
      <c r="BS232" s="5" t="str">
        <f aca="false">IF(OR(BP232="",BQ232=""),"",IF($F232="Maior Melhor",IF(BQ232&gt;=BP232,"Sim","Não"),IF(BQ232&lt;=BP232,"Sim","Não")))</f>
        <v/>
      </c>
      <c r="BT232" s="6"/>
      <c r="BU232" s="6"/>
      <c r="BV232" s="4" t="str">
        <f aca="false">IF(OR(BT232="",BU232=""),"",IFERROR(IF($K232="%",BU232-BT232,BU232/BT232-1),""))</f>
        <v/>
      </c>
      <c r="BW232" s="5" t="str">
        <f aca="false">IF(OR(BT232="",BU232=""),"",IF($F232="Maior Melhor",IF(BU232&gt;=BT232,"Sim","Não"),IF(BU232&lt;=BT232,"Sim","Não")))</f>
        <v/>
      </c>
      <c r="BX232" s="6"/>
      <c r="BY232" s="6"/>
      <c r="BZ232" s="4" t="str">
        <f aca="false">IF(OR(BX232="",BY232=""),"",IFERROR(IF($K232="%",BY232-BX232,BY232/BX232-1),""))</f>
        <v/>
      </c>
      <c r="CA232" s="5" t="str">
        <f aca="false">IF(OR(BX232="",BY232=""),"",IF($F232="Maior Melhor",IF(BY232&gt;=BX232,"Sim","Não"),IF(BY232&lt;=BX232,"Sim","Não")))</f>
        <v/>
      </c>
      <c r="CB232" s="6"/>
      <c r="CC232" s="6"/>
      <c r="CD232" s="4" t="str">
        <f aca="false">IF(OR(CB232="",CC232=""),"",IFERROR(IF($K232="%",CC232-CB232,CC232/CB232-1),""))</f>
        <v/>
      </c>
      <c r="CE232" s="5" t="str">
        <f aca="false">IF(OR(CB232="",CC232=""),"",IF($F232="Maior Melhor",IF(CC232&gt;=CB232,"Sim","Não"),IF(CC232&lt;=CB232,"Sim","Não")))</f>
        <v/>
      </c>
      <c r="CF232" s="6"/>
      <c r="CG232" s="6"/>
      <c r="CH232" s="4" t="str">
        <f aca="false">IF(OR(CF232="",CG232=""),"",IFERROR(IF($K232="%",CG232-CF232,CG232/CF232-1),""))</f>
        <v/>
      </c>
      <c r="CI232" s="5" t="str">
        <f aca="false">IF(OR(CF232="",CG232=""),"",IF($F232="Maior Melhor",IF(CG232&gt;=CF232,"Sim","Não"),IF(CG232&lt;=CF232,"Sim","Não")))</f>
        <v/>
      </c>
      <c r="CJ232" s="6"/>
      <c r="CK232" s="6"/>
      <c r="CL232" s="4" t="str">
        <f aca="false">IF(OR(CJ232="",CK232=""),"",IFERROR(IF($K232="%",CK232-CJ232,CK232/CJ232-1),""))</f>
        <v/>
      </c>
      <c r="CM232" s="5" t="str">
        <f aca="false">IF(OR(CJ232="",CK232=""),"",IF($F232="Maior Melhor",IF(CK232&gt;=CJ232,"Sim","Não"),IF(CK232&lt;=CJ232,"Sim","Não")))</f>
        <v/>
      </c>
      <c r="CN232" s="6"/>
      <c r="CO232" s="6"/>
      <c r="CP232" s="4" t="str">
        <f aca="false">IF(OR(CN232="",CO232=""),"",IFERROR(IF($K232="%",CO232-CN232,CO232/CN232-1),""))</f>
        <v/>
      </c>
      <c r="CQ232" s="5" t="str">
        <f aca="false">IF(OR(CN232="",CO232=""),"",IF($F232="Maior Melhor",IF(CO232&gt;=CN232,"Sim","Não"),IF(CO232&lt;=CN232,"Sim","Não")))</f>
        <v/>
      </c>
      <c r="CR232" s="2" t="s">
        <v>105</v>
      </c>
    </row>
    <row r="233" customFormat="false" ht="15" hidden="false" customHeight="false" outlineLevel="0" collapsed="false">
      <c r="A233" s="2" t="s">
        <v>96</v>
      </c>
      <c r="B233" s="2" t="s">
        <v>106</v>
      </c>
      <c r="C233" s="2" t="s">
        <v>128</v>
      </c>
      <c r="D233" s="2" t="s">
        <v>181</v>
      </c>
      <c r="E233" s="2" t="str">
        <f aca="false">C233&amp;D233</f>
        <v>UTD SANTA MARIA DA VITORIALigação Nova Atendida na primeira visita</v>
      </c>
      <c r="F233" s="2" t="s">
        <v>100</v>
      </c>
      <c r="G233" s="2" t="s">
        <v>182</v>
      </c>
      <c r="H233" s="2" t="s">
        <v>102</v>
      </c>
      <c r="I233" s="2" t="s">
        <v>103</v>
      </c>
      <c r="J233" s="2" t="n">
        <v>2</v>
      </c>
      <c r="K233" s="2" t="s">
        <v>104</v>
      </c>
      <c r="L233" s="3" t="n">
        <v>0.7304</v>
      </c>
      <c r="M233" s="3" t="n">
        <v>0.6207</v>
      </c>
      <c r="N233" s="4" t="n">
        <f aca="false">IF(OR(L233="",M233=""),"",IFERROR(IF($K233="%",M233-L233,M233/L233-1),""))</f>
        <v>-0.1097</v>
      </c>
      <c r="O233" s="5" t="str">
        <f aca="false">IF(OR(L233="",M233=""),"",IF($F233="Maior Melhor",IF(M233&gt;=L233,"Sim","Não"),IF(M233&lt;=L233,"Sim","Não")))</f>
        <v>Não</v>
      </c>
      <c r="P233" s="3" t="n">
        <v>0.7334</v>
      </c>
      <c r="Q233" s="3" t="n">
        <v>0.6942</v>
      </c>
      <c r="R233" s="4" t="n">
        <f aca="false">IF(OR(P233="",Q233=""),"",IFERROR(IF($K233="%",Q233-P233,Q233/P233-1),""))</f>
        <v>-0.0392</v>
      </c>
      <c r="S233" s="5" t="str">
        <f aca="false">IF(OR(P233="",Q233=""),"",IF($F233="Maior Melhor",IF(Q233&gt;=P233,"Sim","Não"),IF(Q233&lt;=P233,"Sim","Não")))</f>
        <v>Não</v>
      </c>
      <c r="T233" s="3" t="n">
        <v>0.7364</v>
      </c>
      <c r="U233" s="3" t="n">
        <v>0.7296</v>
      </c>
      <c r="V233" s="4" t="n">
        <f aca="false">IF(OR(T233="",U233=""),"",IFERROR(IF($K233="%",U233-T233,U233/T233-1),""))</f>
        <v>-0.00680000000000003</v>
      </c>
      <c r="W233" s="5" t="str">
        <f aca="false">IF(OR(T233="",U233=""),"",IF($F233="Maior Melhor",IF(U233&gt;=T233,"Sim","Não"),IF(U233&lt;=T233,"Sim","Não")))</f>
        <v>Não</v>
      </c>
      <c r="X233" s="3"/>
      <c r="Y233" s="3"/>
      <c r="Z233" s="4" t="str">
        <f aca="false">IF(OR(X233="",Y233=""),"",IFERROR(IF($K233="%",Y233-X233,Y233/X233-1),""))</f>
        <v/>
      </c>
      <c r="AA233" s="5" t="str">
        <f aca="false">IF(OR(X233="",Y233=""),"",IF($F233="Maior Melhor",IF(Y233&gt;=X233,"Sim","Não"),IF(Y233&lt;=X233,"Sim","Não")))</f>
        <v/>
      </c>
      <c r="AB233" s="3"/>
      <c r="AC233" s="3"/>
      <c r="AD233" s="4" t="str">
        <f aca="false">IF(OR(AB233="",AC233=""),"",IFERROR(IF($K233="%",AC233-AB233,AC233/AB233-1),""))</f>
        <v/>
      </c>
      <c r="AE233" s="5" t="str">
        <f aca="false">IF(OR(AB233="",AC233=""),"",IF($F233="Maior Melhor",IF(AC233&gt;=AB233,"Sim","Não"),IF(AC233&lt;=AB233,"Sim","Não")))</f>
        <v/>
      </c>
      <c r="AF233" s="3"/>
      <c r="AG233" s="3"/>
      <c r="AH233" s="4" t="str">
        <f aca="false">IF(OR(AF233="",AG233=""),"",IFERROR(IF($K233="%",AG233-AF233,AG233/AF233-1),""))</f>
        <v/>
      </c>
      <c r="AI233" s="5" t="str">
        <f aca="false">IF(OR(AF233="",AG233=""),"",IF($F233="Maior Melhor",IF(AG233&gt;=AF233,"Sim","Não"),IF(AG233&lt;=AF233,"Sim","Não")))</f>
        <v/>
      </c>
      <c r="AJ233" s="3"/>
      <c r="AK233" s="3"/>
      <c r="AL233" s="4" t="str">
        <f aca="false">IF(OR(AJ233="",AK233=""),"",IFERROR(IF($K233="%",AK233-AJ233,AK233/AJ233-1),""))</f>
        <v/>
      </c>
      <c r="AM233" s="5" t="str">
        <f aca="false">IF(OR(AJ233="",AK233=""),"",IF($F233="Maior Melhor",IF(AK233&gt;=AJ233,"Sim","Não"),IF(AK233&lt;=AJ233,"Sim","Não")))</f>
        <v/>
      </c>
      <c r="AN233" s="3"/>
      <c r="AO233" s="3"/>
      <c r="AP233" s="4" t="str">
        <f aca="false">IF(OR(AN233="",AO233=""),"",IFERROR(IF($K233="%",AO233-AN233,AO233/AN233-1),""))</f>
        <v/>
      </c>
      <c r="AQ233" s="5" t="str">
        <f aca="false">IF(OR(AN233="",AO233=""),"",IF($F233="Maior Melhor",IF(AO233&gt;=AN233,"Sim","Não"),IF(AO233&lt;=AN233,"Sim","Não")))</f>
        <v/>
      </c>
      <c r="AR233" s="3"/>
      <c r="AS233" s="3"/>
      <c r="AT233" s="4" t="str">
        <f aca="false">IF(OR(AR233="",AS233=""),"",IFERROR(IF($K233="%",AS233-AR233,AS233/AR233-1),""))</f>
        <v/>
      </c>
      <c r="AU233" s="5" t="str">
        <f aca="false">IF(OR(AR233="",AS233=""),"",IF($F233="Maior Melhor",IF(AS233&gt;=AR233,"Sim","Não"),IF(AS233&lt;=AR233,"Sim","Não")))</f>
        <v/>
      </c>
      <c r="AV233" s="3" t="n">
        <v>0.75</v>
      </c>
      <c r="AW233" s="3" t="n">
        <v>0.71</v>
      </c>
      <c r="AX233" s="4" t="n">
        <f aca="false">IF(OR(AV233="",AW233=""),"",IFERROR(IF($K233="%",AW233-AV233,AW233/AV233-1),""))</f>
        <v>-0.04</v>
      </c>
      <c r="AY233" s="5" t="str">
        <f aca="false">IF(OR(AV233="",AW233=""),"",IF($F233="Maior Melhor",IF(AW233&gt;=AV233,"Sim","Não"),IF(AW233&lt;=AV233,"Sim","Não")))</f>
        <v>Não</v>
      </c>
      <c r="AZ233" s="3" t="n">
        <v>0.75</v>
      </c>
      <c r="BA233" s="3" t="n">
        <v>0.72</v>
      </c>
      <c r="BB233" s="4" t="n">
        <f aca="false">IF(OR(AZ233="",BA233=""),"",IFERROR(IF($K233="%",BA233-AZ233,BA233/AZ233-1),""))</f>
        <v>-0.03</v>
      </c>
      <c r="BC233" s="5" t="str">
        <f aca="false">IF(OR(AZ233="",BA233=""),"",IF($F233="Maior Melhor",IF(BA233&gt;=AZ233,"Sim","Não"),IF(BA233&lt;=AZ233,"Sim","Não")))</f>
        <v>Não</v>
      </c>
      <c r="BD233" s="3" t="n">
        <v>0.75</v>
      </c>
      <c r="BE233" s="3" t="n">
        <v>0.69</v>
      </c>
      <c r="BF233" s="4" t="n">
        <f aca="false">IF(OR(BD233="",BE233=""),"",IFERROR(IF($K233="%",BE233-BD233,BE233/BD233-1),""))</f>
        <v>-0.0600000000000001</v>
      </c>
      <c r="BG233" s="5" t="str">
        <f aca="false">IF(OR(BD233="",BE233=""),"",IF($F233="Maior Melhor",IF(BE233&gt;=BD233,"Sim","Não"),IF(BE233&lt;=BD233,"Sim","Não")))</f>
        <v>Não</v>
      </c>
      <c r="BH233" s="3" t="n">
        <v>0.75</v>
      </c>
      <c r="BI233" s="3" t="n">
        <v>0.69</v>
      </c>
      <c r="BJ233" s="4" t="n">
        <f aca="false">IF(OR(BH233="",BI233=""),"",IFERROR(IF($K233="%",BI233-BH233,BI233/BH233-1),""))</f>
        <v>-0.0600000000000001</v>
      </c>
      <c r="BK233" s="5" t="str">
        <f aca="false">IF(OR(BH233="",BI233=""),"",IF($F233="Maior Melhor",IF(BI233&gt;=BH233,"Sim","Não"),IF(BI233&lt;=BH233,"Sim","Não")))</f>
        <v>Não</v>
      </c>
      <c r="BL233" s="6"/>
      <c r="BM233" s="6"/>
      <c r="BN233" s="4" t="str">
        <f aca="false">IF(OR(BL233="",BM233=""),"",IFERROR(IF($K233="%",BM233-BL233,BM233/BL233-1),""))</f>
        <v/>
      </c>
      <c r="BO233" s="5" t="str">
        <f aca="false">IF(OR(BL233="",BM233=""),"",IF($F233="Maior Melhor",IF(BM233&gt;=BL233,"Sim","Não"),IF(BM233&lt;=BL233,"Sim","Não")))</f>
        <v/>
      </c>
      <c r="BP233" s="6"/>
      <c r="BQ233" s="6"/>
      <c r="BR233" s="4" t="str">
        <f aca="false">IF(OR(BP233="",BQ233=""),"",IFERROR(IF($K233="%",BQ233-BP233,BQ233/BP233-1),""))</f>
        <v/>
      </c>
      <c r="BS233" s="5" t="str">
        <f aca="false">IF(OR(BP233="",BQ233=""),"",IF($F233="Maior Melhor",IF(BQ233&gt;=BP233,"Sim","Não"),IF(BQ233&lt;=BP233,"Sim","Não")))</f>
        <v/>
      </c>
      <c r="BT233" s="6"/>
      <c r="BU233" s="6"/>
      <c r="BV233" s="4" t="str">
        <f aca="false">IF(OR(BT233="",BU233=""),"",IFERROR(IF($K233="%",BU233-BT233,BU233/BT233-1),""))</f>
        <v/>
      </c>
      <c r="BW233" s="5" t="str">
        <f aca="false">IF(OR(BT233="",BU233=""),"",IF($F233="Maior Melhor",IF(BU233&gt;=BT233,"Sim","Não"),IF(BU233&lt;=BT233,"Sim","Não")))</f>
        <v/>
      </c>
      <c r="BX233" s="6"/>
      <c r="BY233" s="6"/>
      <c r="BZ233" s="4" t="str">
        <f aca="false">IF(OR(BX233="",BY233=""),"",IFERROR(IF($K233="%",BY233-BX233,BY233/BX233-1),""))</f>
        <v/>
      </c>
      <c r="CA233" s="5" t="str">
        <f aca="false">IF(OR(BX233="",BY233=""),"",IF($F233="Maior Melhor",IF(BY233&gt;=BX233,"Sim","Não"),IF(BY233&lt;=BX233,"Sim","Não")))</f>
        <v/>
      </c>
      <c r="CB233" s="6"/>
      <c r="CC233" s="6"/>
      <c r="CD233" s="4" t="str">
        <f aca="false">IF(OR(CB233="",CC233=""),"",IFERROR(IF($K233="%",CC233-CB233,CC233/CB233-1),""))</f>
        <v/>
      </c>
      <c r="CE233" s="5" t="str">
        <f aca="false">IF(OR(CB233="",CC233=""),"",IF($F233="Maior Melhor",IF(CC233&gt;=CB233,"Sim","Não"),IF(CC233&lt;=CB233,"Sim","Não")))</f>
        <v/>
      </c>
      <c r="CF233" s="6"/>
      <c r="CG233" s="6"/>
      <c r="CH233" s="4" t="str">
        <f aca="false">IF(OR(CF233="",CG233=""),"",IFERROR(IF($K233="%",CG233-CF233,CG233/CF233-1),""))</f>
        <v/>
      </c>
      <c r="CI233" s="5" t="str">
        <f aca="false">IF(OR(CF233="",CG233=""),"",IF($F233="Maior Melhor",IF(CG233&gt;=CF233,"Sim","Não"),IF(CG233&lt;=CF233,"Sim","Não")))</f>
        <v/>
      </c>
      <c r="CJ233" s="6"/>
      <c r="CK233" s="6"/>
      <c r="CL233" s="4" t="str">
        <f aca="false">IF(OR(CJ233="",CK233=""),"",IFERROR(IF($K233="%",CK233-CJ233,CK233/CJ233-1),""))</f>
        <v/>
      </c>
      <c r="CM233" s="5" t="str">
        <f aca="false">IF(OR(CJ233="",CK233=""),"",IF($F233="Maior Melhor",IF(CK233&gt;=CJ233,"Sim","Não"),IF(CK233&lt;=CJ233,"Sim","Não")))</f>
        <v/>
      </c>
      <c r="CN233" s="6"/>
      <c r="CO233" s="6"/>
      <c r="CP233" s="4" t="str">
        <f aca="false">IF(OR(CN233="",CO233=""),"",IFERROR(IF($K233="%",CO233-CN233,CO233/CN233-1),""))</f>
        <v/>
      </c>
      <c r="CQ233" s="5" t="str">
        <f aca="false">IF(OR(CN233="",CO233=""),"",IF($F233="Maior Melhor",IF(CO233&gt;=CN233,"Sim","Não"),IF(CO233&lt;=CN233,"Sim","Não")))</f>
        <v/>
      </c>
      <c r="CR233" s="2" t="s">
        <v>165</v>
      </c>
    </row>
    <row r="234" customFormat="false" ht="15" hidden="false" customHeight="false" outlineLevel="0" collapsed="false">
      <c r="A234" s="2" t="s">
        <v>96</v>
      </c>
      <c r="B234" s="2" t="s">
        <v>97</v>
      </c>
      <c r="C234" s="2" t="s">
        <v>130</v>
      </c>
      <c r="D234" s="2" t="s">
        <v>181</v>
      </c>
      <c r="E234" s="2" t="str">
        <f aca="false">C234&amp;D234</f>
        <v>UTD SEABRALigação Nova Atendida na primeira visita</v>
      </c>
      <c r="F234" s="2" t="s">
        <v>100</v>
      </c>
      <c r="G234" s="2" t="s">
        <v>182</v>
      </c>
      <c r="H234" s="2" t="s">
        <v>102</v>
      </c>
      <c r="I234" s="2" t="s">
        <v>103</v>
      </c>
      <c r="J234" s="2" t="n">
        <v>2</v>
      </c>
      <c r="K234" s="2" t="s">
        <v>104</v>
      </c>
      <c r="L234" s="3" t="n">
        <v>0.7143</v>
      </c>
      <c r="M234" s="3" t="n">
        <v>0.6855</v>
      </c>
      <c r="N234" s="4" t="n">
        <f aca="false">IF(OR(L234="",M234=""),"",IFERROR(IF($K234="%",M234-L234,M234/L234-1),""))</f>
        <v>-0.0288</v>
      </c>
      <c r="O234" s="5" t="str">
        <f aca="false">IF(OR(L234="",M234=""),"",IF($F234="Maior Melhor",IF(M234&gt;=L234,"Sim","Não"),IF(M234&lt;=L234,"Sim","Não")))</f>
        <v>Não</v>
      </c>
      <c r="P234" s="3" t="n">
        <v>0.7173</v>
      </c>
      <c r="Q234" s="3" t="n">
        <v>0.7245</v>
      </c>
      <c r="R234" s="4" t="n">
        <f aca="false">IF(OR(P234="",Q234=""),"",IFERROR(IF($K234="%",Q234-P234,Q234/P234-1),""))</f>
        <v>0.00719999999999998</v>
      </c>
      <c r="S234" s="5" t="str">
        <f aca="false">IF(OR(P234="",Q234=""),"",IF($F234="Maior Melhor",IF(Q234&gt;=P234,"Sim","Não"),IF(Q234&lt;=P234,"Sim","Não")))</f>
        <v>Sim</v>
      </c>
      <c r="T234" s="3" t="n">
        <v>0.7202</v>
      </c>
      <c r="U234" s="3" t="n">
        <v>0.8636</v>
      </c>
      <c r="V234" s="4" t="n">
        <f aca="false">IF(OR(T234="",U234=""),"",IFERROR(IF($K234="%",U234-T234,U234/T234-1),""))</f>
        <v>0.1434</v>
      </c>
      <c r="W234" s="5" t="str">
        <f aca="false">IF(OR(T234="",U234=""),"",IF($F234="Maior Melhor",IF(U234&gt;=T234,"Sim","Não"),IF(U234&lt;=T234,"Sim","Não")))</f>
        <v>Sim</v>
      </c>
      <c r="X234" s="3"/>
      <c r="Y234" s="3"/>
      <c r="Z234" s="4" t="str">
        <f aca="false">IF(OR(X234="",Y234=""),"",IFERROR(IF($K234="%",Y234-X234,Y234/X234-1),""))</f>
        <v/>
      </c>
      <c r="AA234" s="5" t="str">
        <f aca="false">IF(OR(X234="",Y234=""),"",IF($F234="Maior Melhor",IF(Y234&gt;=X234,"Sim","Não"),IF(Y234&lt;=X234,"Sim","Não")))</f>
        <v/>
      </c>
      <c r="AB234" s="3"/>
      <c r="AC234" s="3"/>
      <c r="AD234" s="4" t="str">
        <f aca="false">IF(OR(AB234="",AC234=""),"",IFERROR(IF($K234="%",AC234-AB234,AC234/AB234-1),""))</f>
        <v/>
      </c>
      <c r="AE234" s="5" t="str">
        <f aca="false">IF(OR(AB234="",AC234=""),"",IF($F234="Maior Melhor",IF(AC234&gt;=AB234,"Sim","Não"),IF(AC234&lt;=AB234,"Sim","Não")))</f>
        <v/>
      </c>
      <c r="AF234" s="3"/>
      <c r="AG234" s="3"/>
      <c r="AH234" s="4" t="str">
        <f aca="false">IF(OR(AF234="",AG234=""),"",IFERROR(IF($K234="%",AG234-AF234,AG234/AF234-1),""))</f>
        <v/>
      </c>
      <c r="AI234" s="5" t="str">
        <f aca="false">IF(OR(AF234="",AG234=""),"",IF($F234="Maior Melhor",IF(AG234&gt;=AF234,"Sim","Não"),IF(AG234&lt;=AF234,"Sim","Não")))</f>
        <v/>
      </c>
      <c r="AJ234" s="3"/>
      <c r="AK234" s="3"/>
      <c r="AL234" s="4" t="str">
        <f aca="false">IF(OR(AJ234="",AK234=""),"",IFERROR(IF($K234="%",AK234-AJ234,AK234/AJ234-1),""))</f>
        <v/>
      </c>
      <c r="AM234" s="5" t="str">
        <f aca="false">IF(OR(AJ234="",AK234=""),"",IF($F234="Maior Melhor",IF(AK234&gt;=AJ234,"Sim","Não"),IF(AK234&lt;=AJ234,"Sim","Não")))</f>
        <v/>
      </c>
      <c r="AN234" s="3"/>
      <c r="AO234" s="3"/>
      <c r="AP234" s="4" t="str">
        <f aca="false">IF(OR(AN234="",AO234=""),"",IFERROR(IF($K234="%",AO234-AN234,AO234/AN234-1),""))</f>
        <v/>
      </c>
      <c r="AQ234" s="5" t="str">
        <f aca="false">IF(OR(AN234="",AO234=""),"",IF($F234="Maior Melhor",IF(AO234&gt;=AN234,"Sim","Não"),IF(AO234&lt;=AN234,"Sim","Não")))</f>
        <v/>
      </c>
      <c r="AR234" s="3"/>
      <c r="AS234" s="3"/>
      <c r="AT234" s="4" t="str">
        <f aca="false">IF(OR(AR234="",AS234=""),"",IFERROR(IF($K234="%",AS234-AR234,AS234/AR234-1),""))</f>
        <v/>
      </c>
      <c r="AU234" s="5" t="str">
        <f aca="false">IF(OR(AR234="",AS234=""),"",IF($F234="Maior Melhor",IF(AS234&gt;=AR234,"Sim","Não"),IF(AS234&lt;=AR234,"Sim","Não")))</f>
        <v/>
      </c>
      <c r="AV234" s="3" t="n">
        <v>0.73</v>
      </c>
      <c r="AW234" s="3" t="n">
        <v>0.71</v>
      </c>
      <c r="AX234" s="4" t="n">
        <f aca="false">IF(OR(AV234="",AW234=""),"",IFERROR(IF($K234="%",AW234-AV234,AW234/AV234-1),""))</f>
        <v>-0.02</v>
      </c>
      <c r="AY234" s="5" t="str">
        <f aca="false">IF(OR(AV234="",AW234=""),"",IF($F234="Maior Melhor",IF(AW234&gt;=AV234,"Sim","Não"),IF(AW234&lt;=AV234,"Sim","Não")))</f>
        <v>Não</v>
      </c>
      <c r="AZ234" s="3" t="n">
        <v>0.73</v>
      </c>
      <c r="BA234" s="3" t="n">
        <v>0.78</v>
      </c>
      <c r="BB234" s="4" t="n">
        <f aca="false">IF(OR(AZ234="",BA234=""),"",IFERROR(IF($K234="%",BA234-AZ234,BA234/AZ234-1),""))</f>
        <v>0.05</v>
      </c>
      <c r="BC234" s="5" t="str">
        <f aca="false">IF(OR(AZ234="",BA234=""),"",IF($F234="Maior Melhor",IF(BA234&gt;=AZ234,"Sim","Não"),IF(BA234&lt;=AZ234,"Sim","Não")))</f>
        <v>Sim</v>
      </c>
      <c r="BD234" s="3" t="n">
        <v>0.74</v>
      </c>
      <c r="BE234" s="3" t="n">
        <v>0.7</v>
      </c>
      <c r="BF234" s="4" t="n">
        <f aca="false">IF(OR(BD234="",BE234=""),"",IFERROR(IF($K234="%",BE234-BD234,BE234/BD234-1),""))</f>
        <v>-0.04</v>
      </c>
      <c r="BG234" s="5" t="str">
        <f aca="false">IF(OR(BD234="",BE234=""),"",IF($F234="Maior Melhor",IF(BE234&gt;=BD234,"Sim","Não"),IF(BE234&lt;=BD234,"Sim","Não")))</f>
        <v>Não</v>
      </c>
      <c r="BH234" s="3" t="n">
        <v>0.74</v>
      </c>
      <c r="BI234" s="3" t="n">
        <v>0.7</v>
      </c>
      <c r="BJ234" s="4" t="n">
        <f aca="false">IF(OR(BH234="",BI234=""),"",IFERROR(IF($K234="%",BI234-BH234,BI234/BH234-1),""))</f>
        <v>-0.04</v>
      </c>
      <c r="BK234" s="5" t="str">
        <f aca="false">IF(OR(BH234="",BI234=""),"",IF($F234="Maior Melhor",IF(BI234&gt;=BH234,"Sim","Não"),IF(BI234&lt;=BH234,"Sim","Não")))</f>
        <v>Não</v>
      </c>
      <c r="BL234" s="6"/>
      <c r="BM234" s="6"/>
      <c r="BN234" s="4" t="str">
        <f aca="false">IF(OR(BL234="",BM234=""),"",IFERROR(IF($K234="%",BM234-BL234,BM234/BL234-1),""))</f>
        <v/>
      </c>
      <c r="BO234" s="5" t="str">
        <f aca="false">IF(OR(BL234="",BM234=""),"",IF($F234="Maior Melhor",IF(BM234&gt;=BL234,"Sim","Não"),IF(BM234&lt;=BL234,"Sim","Não")))</f>
        <v/>
      </c>
      <c r="BP234" s="6"/>
      <c r="BQ234" s="6"/>
      <c r="BR234" s="4" t="str">
        <f aca="false">IF(OR(BP234="",BQ234=""),"",IFERROR(IF($K234="%",BQ234-BP234,BQ234/BP234-1),""))</f>
        <v/>
      </c>
      <c r="BS234" s="5" t="str">
        <f aca="false">IF(OR(BP234="",BQ234=""),"",IF($F234="Maior Melhor",IF(BQ234&gt;=BP234,"Sim","Não"),IF(BQ234&lt;=BP234,"Sim","Não")))</f>
        <v/>
      </c>
      <c r="BT234" s="6"/>
      <c r="BU234" s="6"/>
      <c r="BV234" s="4" t="str">
        <f aca="false">IF(OR(BT234="",BU234=""),"",IFERROR(IF($K234="%",BU234-BT234,BU234/BT234-1),""))</f>
        <v/>
      </c>
      <c r="BW234" s="5" t="str">
        <f aca="false">IF(OR(BT234="",BU234=""),"",IF($F234="Maior Melhor",IF(BU234&gt;=BT234,"Sim","Não"),IF(BU234&lt;=BT234,"Sim","Não")))</f>
        <v/>
      </c>
      <c r="BX234" s="6"/>
      <c r="BY234" s="6"/>
      <c r="BZ234" s="4" t="str">
        <f aca="false">IF(OR(BX234="",BY234=""),"",IFERROR(IF($K234="%",BY234-BX234,BY234/BX234-1),""))</f>
        <v/>
      </c>
      <c r="CA234" s="5" t="str">
        <f aca="false">IF(OR(BX234="",BY234=""),"",IF($F234="Maior Melhor",IF(BY234&gt;=BX234,"Sim","Não"),IF(BY234&lt;=BX234,"Sim","Não")))</f>
        <v/>
      </c>
      <c r="CB234" s="6"/>
      <c r="CC234" s="6"/>
      <c r="CD234" s="4" t="str">
        <f aca="false">IF(OR(CB234="",CC234=""),"",IFERROR(IF($K234="%",CC234-CB234,CC234/CB234-1),""))</f>
        <v/>
      </c>
      <c r="CE234" s="5" t="str">
        <f aca="false">IF(OR(CB234="",CC234=""),"",IF($F234="Maior Melhor",IF(CC234&gt;=CB234,"Sim","Não"),IF(CC234&lt;=CB234,"Sim","Não")))</f>
        <v/>
      </c>
      <c r="CF234" s="6"/>
      <c r="CG234" s="6"/>
      <c r="CH234" s="4" t="str">
        <f aca="false">IF(OR(CF234="",CG234=""),"",IFERROR(IF($K234="%",CG234-CF234,CG234/CF234-1),""))</f>
        <v/>
      </c>
      <c r="CI234" s="5" t="str">
        <f aca="false">IF(OR(CF234="",CG234=""),"",IF($F234="Maior Melhor",IF(CG234&gt;=CF234,"Sim","Não"),IF(CG234&lt;=CF234,"Sim","Não")))</f>
        <v/>
      </c>
      <c r="CJ234" s="6"/>
      <c r="CK234" s="6"/>
      <c r="CL234" s="4" t="str">
        <f aca="false">IF(OR(CJ234="",CK234=""),"",IFERROR(IF($K234="%",CK234-CJ234,CK234/CJ234-1),""))</f>
        <v/>
      </c>
      <c r="CM234" s="5" t="str">
        <f aca="false">IF(OR(CJ234="",CK234=""),"",IF($F234="Maior Melhor",IF(CK234&gt;=CJ234,"Sim","Não"),IF(CK234&lt;=CJ234,"Sim","Não")))</f>
        <v/>
      </c>
      <c r="CN234" s="6"/>
      <c r="CO234" s="6"/>
      <c r="CP234" s="4" t="str">
        <f aca="false">IF(OR(CN234="",CO234=""),"",IFERROR(IF($K234="%",CO234-CN234,CO234/CN234-1),""))</f>
        <v/>
      </c>
      <c r="CQ234" s="5" t="str">
        <f aca="false">IF(OR(CN234="",CO234=""),"",IF($F234="Maior Melhor",IF(CO234&gt;=CN234,"Sim","Não"),IF(CO234&lt;=CN234,"Sim","Não")))</f>
        <v/>
      </c>
      <c r="CR234" s="2" t="s">
        <v>105</v>
      </c>
    </row>
    <row r="235" customFormat="false" ht="15" hidden="false" customHeight="false" outlineLevel="0" collapsed="false">
      <c r="A235" s="2" t="s">
        <v>96</v>
      </c>
      <c r="B235" s="2" t="s">
        <v>108</v>
      </c>
      <c r="C235" s="2" t="s">
        <v>131</v>
      </c>
      <c r="D235" s="2" t="s">
        <v>181</v>
      </c>
      <c r="E235" s="2" t="str">
        <f aca="false">C235&amp;D235</f>
        <v>UTD VITORIA DA CONQUISTALigação Nova Atendida na primeira visita</v>
      </c>
      <c r="F235" s="2" t="s">
        <v>100</v>
      </c>
      <c r="G235" s="2" t="s">
        <v>182</v>
      </c>
      <c r="H235" s="2" t="s">
        <v>102</v>
      </c>
      <c r="I235" s="2" t="s">
        <v>103</v>
      </c>
      <c r="J235" s="2" t="n">
        <v>2</v>
      </c>
      <c r="K235" s="2" t="s">
        <v>104</v>
      </c>
      <c r="L235" s="3" t="n">
        <v>0.6578</v>
      </c>
      <c r="M235" s="3" t="n">
        <v>0.6499</v>
      </c>
      <c r="N235" s="4" t="n">
        <f aca="false">IF(OR(L235="",M235=""),"",IFERROR(IF($K235="%",M235-L235,M235/L235-1),""))</f>
        <v>-0.00790000000000002</v>
      </c>
      <c r="O235" s="5" t="str">
        <f aca="false">IF(OR(L235="",M235=""),"",IF($F235="Maior Melhor",IF(M235&gt;=L235,"Sim","Não"),IF(M235&lt;=L235,"Sim","Não")))</f>
        <v>Não</v>
      </c>
      <c r="P235" s="3" t="n">
        <v>0.6659</v>
      </c>
      <c r="Q235" s="3" t="n">
        <v>0.6439</v>
      </c>
      <c r="R235" s="4" t="n">
        <f aca="false">IF(OR(P235="",Q235=""),"",IFERROR(IF($K235="%",Q235-P235,Q235/P235-1),""))</f>
        <v>-0.022</v>
      </c>
      <c r="S235" s="5" t="str">
        <f aca="false">IF(OR(P235="",Q235=""),"",IF($F235="Maior Melhor",IF(Q235&gt;=P235,"Sim","Não"),IF(Q235&lt;=P235,"Sim","Não")))</f>
        <v>Não</v>
      </c>
      <c r="T235" s="3" t="n">
        <v>0.674</v>
      </c>
      <c r="U235" s="3" t="n">
        <v>0.6384</v>
      </c>
      <c r="V235" s="4" t="n">
        <f aca="false">IF(OR(T235="",U235=""),"",IFERROR(IF($K235="%",U235-T235,U235/T235-1),""))</f>
        <v>-0.0356000000000001</v>
      </c>
      <c r="W235" s="5" t="str">
        <f aca="false">IF(OR(T235="",U235=""),"",IF($F235="Maior Melhor",IF(U235&gt;=T235,"Sim","Não"),IF(U235&lt;=T235,"Sim","Não")))</f>
        <v>Não</v>
      </c>
      <c r="X235" s="3"/>
      <c r="Y235" s="3"/>
      <c r="Z235" s="4" t="str">
        <f aca="false">IF(OR(X235="",Y235=""),"",IFERROR(IF($K235="%",Y235-X235,Y235/X235-1),""))</f>
        <v/>
      </c>
      <c r="AA235" s="5" t="str">
        <f aca="false">IF(OR(X235="",Y235=""),"",IF($F235="Maior Melhor",IF(Y235&gt;=X235,"Sim","Não"),IF(Y235&lt;=X235,"Sim","Não")))</f>
        <v/>
      </c>
      <c r="AB235" s="3"/>
      <c r="AC235" s="3"/>
      <c r="AD235" s="4" t="str">
        <f aca="false">IF(OR(AB235="",AC235=""),"",IFERROR(IF($K235="%",AC235-AB235,AC235/AB235-1),""))</f>
        <v/>
      </c>
      <c r="AE235" s="5" t="str">
        <f aca="false">IF(OR(AB235="",AC235=""),"",IF($F235="Maior Melhor",IF(AC235&gt;=AB235,"Sim","Não"),IF(AC235&lt;=AB235,"Sim","Não")))</f>
        <v/>
      </c>
      <c r="AF235" s="3"/>
      <c r="AG235" s="3"/>
      <c r="AH235" s="4" t="str">
        <f aca="false">IF(OR(AF235="",AG235=""),"",IFERROR(IF($K235="%",AG235-AF235,AG235/AF235-1),""))</f>
        <v/>
      </c>
      <c r="AI235" s="5" t="str">
        <f aca="false">IF(OR(AF235="",AG235=""),"",IF($F235="Maior Melhor",IF(AG235&gt;=AF235,"Sim","Não"),IF(AG235&lt;=AF235,"Sim","Não")))</f>
        <v/>
      </c>
      <c r="AJ235" s="3"/>
      <c r="AK235" s="3"/>
      <c r="AL235" s="4" t="str">
        <f aca="false">IF(OR(AJ235="",AK235=""),"",IFERROR(IF($K235="%",AK235-AJ235,AK235/AJ235-1),""))</f>
        <v/>
      </c>
      <c r="AM235" s="5" t="str">
        <f aca="false">IF(OR(AJ235="",AK235=""),"",IF($F235="Maior Melhor",IF(AK235&gt;=AJ235,"Sim","Não"),IF(AK235&lt;=AJ235,"Sim","Não")))</f>
        <v/>
      </c>
      <c r="AN235" s="3"/>
      <c r="AO235" s="3"/>
      <c r="AP235" s="4" t="str">
        <f aca="false">IF(OR(AN235="",AO235=""),"",IFERROR(IF($K235="%",AO235-AN235,AO235/AN235-1),""))</f>
        <v/>
      </c>
      <c r="AQ235" s="5" t="str">
        <f aca="false">IF(OR(AN235="",AO235=""),"",IF($F235="Maior Melhor",IF(AO235&gt;=AN235,"Sim","Não"),IF(AO235&lt;=AN235,"Sim","Não")))</f>
        <v/>
      </c>
      <c r="AR235" s="3"/>
      <c r="AS235" s="3"/>
      <c r="AT235" s="4" t="str">
        <f aca="false">IF(OR(AR235="",AS235=""),"",IFERROR(IF($K235="%",AS235-AR235,AS235/AR235-1),""))</f>
        <v/>
      </c>
      <c r="AU235" s="5" t="str">
        <f aca="false">IF(OR(AR235="",AS235=""),"",IF($F235="Maior Melhor",IF(AS235&gt;=AR235,"Sim","Não"),IF(AS235&lt;=AR235,"Sim","Não")))</f>
        <v/>
      </c>
      <c r="AV235" s="3" t="n">
        <v>0.7</v>
      </c>
      <c r="AW235" s="3" t="n">
        <v>0.72</v>
      </c>
      <c r="AX235" s="4" t="n">
        <f aca="false">IF(OR(AV235="",AW235=""),"",IFERROR(IF($K235="%",AW235-AV235,AW235/AV235-1),""))</f>
        <v>0.02</v>
      </c>
      <c r="AY235" s="5" t="str">
        <f aca="false">IF(OR(AV235="",AW235=""),"",IF($F235="Maior Melhor",IF(AW235&gt;=AV235,"Sim","Não"),IF(AW235&lt;=AV235,"Sim","Não")))</f>
        <v>Sim</v>
      </c>
      <c r="AZ235" s="3" t="n">
        <v>0.7</v>
      </c>
      <c r="BA235" s="3" t="n">
        <v>0.71</v>
      </c>
      <c r="BB235" s="4" t="n">
        <f aca="false">IF(OR(AZ235="",BA235=""),"",IFERROR(IF($K235="%",BA235-AZ235,BA235/AZ235-1),""))</f>
        <v>0.01</v>
      </c>
      <c r="BC235" s="5" t="str">
        <f aca="false">IF(OR(AZ235="",BA235=""),"",IF($F235="Maior Melhor",IF(BA235&gt;=AZ235,"Sim","Não"),IF(BA235&lt;=AZ235,"Sim","Não")))</f>
        <v>Sim</v>
      </c>
      <c r="BD235" s="3" t="n">
        <v>0.71</v>
      </c>
      <c r="BE235" s="3" t="n">
        <v>0.67</v>
      </c>
      <c r="BF235" s="4" t="n">
        <f aca="false">IF(OR(BD235="",BE235=""),"",IFERROR(IF($K235="%",BE235-BD235,BE235/BD235-1),""))</f>
        <v>-0.0399999999999999</v>
      </c>
      <c r="BG235" s="5" t="str">
        <f aca="false">IF(OR(BD235="",BE235=""),"",IF($F235="Maior Melhor",IF(BE235&gt;=BD235,"Sim","Não"),IF(BE235&lt;=BD235,"Sim","Não")))</f>
        <v>Não</v>
      </c>
      <c r="BH235" s="3" t="n">
        <v>0.71</v>
      </c>
      <c r="BI235" s="3" t="n">
        <v>0.67</v>
      </c>
      <c r="BJ235" s="4" t="n">
        <f aca="false">IF(OR(BH235="",BI235=""),"",IFERROR(IF($K235="%",BI235-BH235,BI235/BH235-1),""))</f>
        <v>-0.0399999999999999</v>
      </c>
      <c r="BK235" s="5" t="str">
        <f aca="false">IF(OR(BH235="",BI235=""),"",IF($F235="Maior Melhor",IF(BI235&gt;=BH235,"Sim","Não"),IF(BI235&lt;=BH235,"Sim","Não")))</f>
        <v>Não</v>
      </c>
      <c r="BL235" s="6"/>
      <c r="BM235" s="6"/>
      <c r="BN235" s="4" t="str">
        <f aca="false">IF(OR(BL235="",BM235=""),"",IFERROR(IF($K235="%",BM235-BL235,BM235/BL235-1),""))</f>
        <v/>
      </c>
      <c r="BO235" s="5" t="str">
        <f aca="false">IF(OR(BL235="",BM235=""),"",IF($F235="Maior Melhor",IF(BM235&gt;=BL235,"Sim","Não"),IF(BM235&lt;=BL235,"Sim","Não")))</f>
        <v/>
      </c>
      <c r="BP235" s="6"/>
      <c r="BQ235" s="6"/>
      <c r="BR235" s="4" t="str">
        <f aca="false">IF(OR(BP235="",BQ235=""),"",IFERROR(IF($K235="%",BQ235-BP235,BQ235/BP235-1),""))</f>
        <v/>
      </c>
      <c r="BS235" s="5" t="str">
        <f aca="false">IF(OR(BP235="",BQ235=""),"",IF($F235="Maior Melhor",IF(BQ235&gt;=BP235,"Sim","Não"),IF(BQ235&lt;=BP235,"Sim","Não")))</f>
        <v/>
      </c>
      <c r="BT235" s="6"/>
      <c r="BU235" s="6"/>
      <c r="BV235" s="4" t="str">
        <f aca="false">IF(OR(BT235="",BU235=""),"",IFERROR(IF($K235="%",BU235-BT235,BU235/BT235-1),""))</f>
        <v/>
      </c>
      <c r="BW235" s="5" t="str">
        <f aca="false">IF(OR(BT235="",BU235=""),"",IF($F235="Maior Melhor",IF(BU235&gt;=BT235,"Sim","Não"),IF(BU235&lt;=BT235,"Sim","Não")))</f>
        <v/>
      </c>
      <c r="BX235" s="6"/>
      <c r="BY235" s="6"/>
      <c r="BZ235" s="4" t="str">
        <f aca="false">IF(OR(BX235="",BY235=""),"",IFERROR(IF($K235="%",BY235-BX235,BY235/BX235-1),""))</f>
        <v/>
      </c>
      <c r="CA235" s="5" t="str">
        <f aca="false">IF(OR(BX235="",BY235=""),"",IF($F235="Maior Melhor",IF(BY235&gt;=BX235,"Sim","Não"),IF(BY235&lt;=BX235,"Sim","Não")))</f>
        <v/>
      </c>
      <c r="CB235" s="6"/>
      <c r="CC235" s="6"/>
      <c r="CD235" s="4" t="str">
        <f aca="false">IF(OR(CB235="",CC235=""),"",IFERROR(IF($K235="%",CC235-CB235,CC235/CB235-1),""))</f>
        <v/>
      </c>
      <c r="CE235" s="5" t="str">
        <f aca="false">IF(OR(CB235="",CC235=""),"",IF($F235="Maior Melhor",IF(CC235&gt;=CB235,"Sim","Não"),IF(CC235&lt;=CB235,"Sim","Não")))</f>
        <v/>
      </c>
      <c r="CF235" s="6"/>
      <c r="CG235" s="6"/>
      <c r="CH235" s="4" t="str">
        <f aca="false">IF(OR(CF235="",CG235=""),"",IFERROR(IF($K235="%",CG235-CF235,CG235/CF235-1),""))</f>
        <v/>
      </c>
      <c r="CI235" s="5" t="str">
        <f aca="false">IF(OR(CF235="",CG235=""),"",IF($F235="Maior Melhor",IF(CG235&gt;=CF235,"Sim","Não"),IF(CG235&lt;=CF235,"Sim","Não")))</f>
        <v/>
      </c>
      <c r="CJ235" s="6"/>
      <c r="CK235" s="6"/>
      <c r="CL235" s="4" t="str">
        <f aca="false">IF(OR(CJ235="",CK235=""),"",IFERROR(IF($K235="%",CK235-CJ235,CK235/CJ235-1),""))</f>
        <v/>
      </c>
      <c r="CM235" s="5" t="str">
        <f aca="false">IF(OR(CJ235="",CK235=""),"",IF($F235="Maior Melhor",IF(CK235&gt;=CJ235,"Sim","Não"),IF(CK235&lt;=CJ235,"Sim","Não")))</f>
        <v/>
      </c>
      <c r="CN235" s="6"/>
      <c r="CO235" s="6"/>
      <c r="CP235" s="4" t="str">
        <f aca="false">IF(OR(CN235="",CO235=""),"",IFERROR(IF($K235="%",CO235-CN235,CO235/CN235-1),""))</f>
        <v/>
      </c>
      <c r="CQ235" s="5" t="str">
        <f aca="false">IF(OR(CN235="",CO235=""),"",IF($F235="Maior Melhor",IF(CO235&gt;=CN235,"Sim","Não"),IF(CO235&lt;=CN235,"Sim","Não")))</f>
        <v/>
      </c>
      <c r="CR235" s="2" t="s">
        <v>105</v>
      </c>
    </row>
    <row r="236" customFormat="false" ht="15" hidden="false" customHeight="false" outlineLevel="0" collapsed="false">
      <c r="A236" s="2" t="s">
        <v>161</v>
      </c>
      <c r="B236" s="2" t="s">
        <v>97</v>
      </c>
      <c r="C236" s="2" t="s">
        <v>98</v>
      </c>
      <c r="D236" s="2" t="s">
        <v>183</v>
      </c>
      <c r="E236" s="2" t="str">
        <f aca="false">C236&amp;D236</f>
        <v>Gerência Centro OesteMídias Negativas</v>
      </c>
      <c r="F236" s="2" t="s">
        <v>167</v>
      </c>
      <c r="G236" s="2" t="s">
        <v>184</v>
      </c>
      <c r="H236" s="2" t="s">
        <v>102</v>
      </c>
      <c r="I236" s="2" t="s">
        <v>169</v>
      </c>
      <c r="J236" s="2" t="n">
        <v>2</v>
      </c>
      <c r="K236" s="2" t="s">
        <v>147</v>
      </c>
      <c r="L236" s="7" t="n">
        <v>18</v>
      </c>
      <c r="M236" s="7" t="n">
        <v>22</v>
      </c>
      <c r="N236" s="4" t="n">
        <f aca="false">IF(OR(L236="",M236=""),"",IFERROR(IF($K236="%",M236-L236,M236/L236-1),""))</f>
        <v>0.222222222222222</v>
      </c>
      <c r="O236" s="5" t="str">
        <f aca="false">IF(OR(L236="",M236=""),"",IF($F236="Maior Melhor",IF(M236&gt;=L236,"Sim","Não"),IF(M236&lt;=L236,"Sim","Não")))</f>
        <v>Não</v>
      </c>
      <c r="P236" s="7" t="n">
        <v>9</v>
      </c>
      <c r="Q236" s="7" t="n">
        <v>23</v>
      </c>
      <c r="R236" s="4" t="n">
        <f aca="false">IF(OR(P236="",Q236=""),"",IFERROR(IF($K236="%",Q236-P236,Q236/P236-1),""))</f>
        <v>1.55555555555556</v>
      </c>
      <c r="S236" s="5" t="str">
        <f aca="false">IF(OR(P236="",Q236=""),"",IF($F236="Maior Melhor",IF(Q236&gt;=P236,"Sim","Não"),IF(Q236&lt;=P236,"Sim","Não")))</f>
        <v>Não</v>
      </c>
      <c r="T236" s="7" t="n">
        <v>11</v>
      </c>
      <c r="U236" s="7" t="n">
        <v>49</v>
      </c>
      <c r="V236" s="4" t="n">
        <f aca="false">IF(OR(T236="",U236=""),"",IFERROR(IF($K236="%",U236-T236,U236/T236-1),""))</f>
        <v>3.45454545454545</v>
      </c>
      <c r="W236" s="5" t="str">
        <f aca="false">IF(OR(T236="",U236=""),"",IF($F236="Maior Melhor",IF(U236&gt;=T236,"Sim","Não"),IF(U236&lt;=T236,"Sim","Não")))</f>
        <v>Não</v>
      </c>
      <c r="X236" s="7" t="n">
        <v>8</v>
      </c>
      <c r="Y236" s="7" t="n">
        <v>5</v>
      </c>
      <c r="Z236" s="4" t="n">
        <f aca="false">IF(OR(X236="",Y236=""),"",IFERROR(IF($K236="%",Y236-X236,Y236/X236-1),""))</f>
        <v>-0.375</v>
      </c>
      <c r="AA236" s="5" t="str">
        <f aca="false">IF(OR(X236="",Y236=""),"",IF($F236="Maior Melhor",IF(Y236&gt;=X236,"Sim","Não"),IF(Y236&lt;=X236,"Sim","Não")))</f>
        <v>Sim</v>
      </c>
      <c r="AB236" s="7" t="n">
        <v>46</v>
      </c>
      <c r="AC236" s="7" t="n">
        <v>99</v>
      </c>
      <c r="AD236" s="4" t="n">
        <f aca="false">IF(OR(AB236="",AC236=""),"",IFERROR(IF($K236="%",AC236-AB236,AC236/AB236-1),""))</f>
        <v>1.15217391304348</v>
      </c>
      <c r="AE236" s="5" t="str">
        <f aca="false">IF(OR(AB236="",AC236=""),"",IF($F236="Maior Melhor",IF(AC236&gt;=AB236,"Sim","Não"),IF(AC236&lt;=AB236,"Sim","Não")))</f>
        <v>Não</v>
      </c>
      <c r="AF236" s="7" t="n">
        <v>12</v>
      </c>
      <c r="AG236" s="7" t="n">
        <v>15</v>
      </c>
      <c r="AH236" s="4" t="n">
        <f aca="false">IF(OR(AF236="",AG236=""),"",IFERROR(IF($K236="%",AG236-AF236,AG236/AF236-1),""))</f>
        <v>0.25</v>
      </c>
      <c r="AI236" s="5" t="str">
        <f aca="false">IF(OR(AF236="",AG236=""),"",IF($F236="Maior Melhor",IF(AG236&gt;=AF236,"Sim","Não"),IF(AG236&lt;=AF236,"Sim","Não")))</f>
        <v>Não</v>
      </c>
      <c r="AJ236" s="7" t="n">
        <v>58</v>
      </c>
      <c r="AK236" s="7" t="n">
        <v>114</v>
      </c>
      <c r="AL236" s="4" t="n">
        <f aca="false">IF(OR(AJ236="",AK236=""),"",IFERROR(IF($K236="%",AK236-AJ236,AK236/AJ236-1),""))</f>
        <v>0.96551724137931</v>
      </c>
      <c r="AM236" s="5" t="str">
        <f aca="false">IF(OR(AJ236="",AK236=""),"",IF($F236="Maior Melhor",IF(AK236&gt;=AJ236,"Sim","Não"),IF(AK236&lt;=AJ236,"Sim","Não")))</f>
        <v>Não</v>
      </c>
      <c r="AN236" s="7" t="n">
        <v>24</v>
      </c>
      <c r="AO236" s="7" t="n">
        <v>10</v>
      </c>
      <c r="AP236" s="4" t="n">
        <f aca="false">IF(OR(AN236="",AO236=""),"",IFERROR(IF($K236="%",AO236-AN236,AO236/AN236-1),""))</f>
        <v>-0.583333333333333</v>
      </c>
      <c r="AQ236" s="5" t="str">
        <f aca="false">IF(OR(AN236="",AO236=""),"",IF($F236="Maior Melhor",IF(AO236&gt;=AN236,"Sim","Não"),IF(AO236&lt;=AN236,"Sim","Não")))</f>
        <v>Sim</v>
      </c>
      <c r="AR236" s="7" t="n">
        <v>83</v>
      </c>
      <c r="AS236" s="7" t="n">
        <v>124</v>
      </c>
      <c r="AT236" s="4" t="n">
        <f aca="false">IF(OR(AR236="",AS236=""),"",IFERROR(IF($K236="%",AS236-AR236,AS236/AR236-1),""))</f>
        <v>0.493975903614458</v>
      </c>
      <c r="AU236" s="5" t="str">
        <f aca="false">IF(OR(AR236="",AS236=""),"",IF($F236="Maior Melhor",IF(AS236&gt;=AR236,"Sim","Não"),IF(AS236&lt;=AR236,"Sim","Não")))</f>
        <v>Não</v>
      </c>
      <c r="AV236" s="7" t="n">
        <v>29</v>
      </c>
      <c r="AW236" s="7" t="n">
        <v>20</v>
      </c>
      <c r="AX236" s="4" t="n">
        <f aca="false">IF(OR(AV236="",AW236=""),"",IFERROR(IF($K236="%",AW236-AV236,AW236/AV236-1),""))</f>
        <v>-0.310344827586207</v>
      </c>
      <c r="AY236" s="5" t="str">
        <f aca="false">IF(OR(AV236="",AW236=""),"",IF($F236="Maior Melhor",IF(AW236&gt;=AV236,"Sim","Não"),IF(AW236&lt;=AV236,"Sim","Não")))</f>
        <v>Sim</v>
      </c>
      <c r="AZ236" s="7" t="n">
        <v>113</v>
      </c>
      <c r="BA236" s="7" t="n">
        <v>144</v>
      </c>
      <c r="BB236" s="4" t="n">
        <f aca="false">IF(OR(AZ236="",BA236=""),"",IFERROR(IF($K236="%",BA236-AZ236,BA236/AZ236-1),""))</f>
        <v>0.274336283185841</v>
      </c>
      <c r="BC236" s="5" t="str">
        <f aca="false">IF(OR(AZ236="",BA236=""),"",IF($F236="Maior Melhor",IF(BA236&gt;=AZ236,"Sim","Não"),IF(BA236&lt;=AZ236,"Sim","Não")))</f>
        <v>Não</v>
      </c>
      <c r="BD236" s="7" t="n">
        <v>16</v>
      </c>
      <c r="BE236" s="7" t="n">
        <v>13</v>
      </c>
      <c r="BF236" s="4" t="n">
        <f aca="false">IF(OR(BD236="",BE236=""),"",IFERROR(IF($K236="%",BE236-BD236,BE236/BD236-1),""))</f>
        <v>-0.1875</v>
      </c>
      <c r="BG236" s="5" t="str">
        <f aca="false">IF(OR(BD236="",BE236=""),"",IF($F236="Maior Melhor",IF(BE236&gt;=BD236,"Sim","Não"),IF(BE236&lt;=BD236,"Sim","Não")))</f>
        <v>Sim</v>
      </c>
      <c r="BH236" s="7" t="n">
        <v>128</v>
      </c>
      <c r="BI236" s="7" t="n">
        <v>152</v>
      </c>
      <c r="BJ236" s="4" t="n">
        <f aca="false">IF(OR(BH236="",BI236=""),"",IFERROR(IF($K236="%",BI236-BH236,BI236/BH236-1),""))</f>
        <v>0.1875</v>
      </c>
      <c r="BK236" s="5" t="str">
        <f aca="false">IF(OR(BH236="",BI236=""),"",IF($F236="Maior Melhor",IF(BI236&gt;=BH236,"Sim","Não"),IF(BI236&lt;=BH236,"Sim","Não")))</f>
        <v>Não</v>
      </c>
      <c r="BL236" s="8"/>
      <c r="BM236" s="8"/>
      <c r="BN236" s="4" t="str">
        <f aca="false">IF(OR(BL236="",BM236=""),"",IFERROR(IF($K236="%",BM236-BL236,BM236/BL236-1),""))</f>
        <v/>
      </c>
      <c r="BO236" s="5" t="str">
        <f aca="false">IF(OR(BL236="",BM236=""),"",IF($F236="Maior Melhor",IF(BM236&gt;=BL236,"Sim","Não"),IF(BM236&lt;=BL236,"Sim","Não")))</f>
        <v/>
      </c>
      <c r="BP236" s="8"/>
      <c r="BQ236" s="8"/>
      <c r="BR236" s="4" t="str">
        <f aca="false">IF(OR(BP236="",BQ236=""),"",IFERROR(IF($K236="%",BQ236-BP236,BQ236/BP236-1),""))</f>
        <v/>
      </c>
      <c r="BS236" s="5" t="str">
        <f aca="false">IF(OR(BP236="",BQ236=""),"",IF($F236="Maior Melhor",IF(BQ236&gt;=BP236,"Sim","Não"),IF(BQ236&lt;=BP236,"Sim","Não")))</f>
        <v/>
      </c>
      <c r="BT236" s="8"/>
      <c r="BU236" s="8"/>
      <c r="BV236" s="4" t="str">
        <f aca="false">IF(OR(BT236="",BU236=""),"",IFERROR(IF($K236="%",BU236-BT236,BU236/BT236-1),""))</f>
        <v/>
      </c>
      <c r="BW236" s="5" t="str">
        <f aca="false">IF(OR(BT236="",BU236=""),"",IF($F236="Maior Melhor",IF(BU236&gt;=BT236,"Sim","Não"),IF(BU236&lt;=BT236,"Sim","Não")))</f>
        <v/>
      </c>
      <c r="BX236" s="8"/>
      <c r="BY236" s="8"/>
      <c r="BZ236" s="4" t="str">
        <f aca="false">IF(OR(BX236="",BY236=""),"",IFERROR(IF($K236="%",BY236-BX236,BY236/BX236-1),""))</f>
        <v/>
      </c>
      <c r="CA236" s="5" t="str">
        <f aca="false">IF(OR(BX236="",BY236=""),"",IF($F236="Maior Melhor",IF(BY236&gt;=BX236,"Sim","Não"),IF(BY236&lt;=BX236,"Sim","Não")))</f>
        <v/>
      </c>
      <c r="CB236" s="8"/>
      <c r="CC236" s="8"/>
      <c r="CD236" s="4" t="str">
        <f aca="false">IF(OR(CB236="",CC236=""),"",IFERROR(IF($K236="%",CC236-CB236,CC236/CB236-1),""))</f>
        <v/>
      </c>
      <c r="CE236" s="5" t="str">
        <f aca="false">IF(OR(CB236="",CC236=""),"",IF($F236="Maior Melhor",IF(CC236&gt;=CB236,"Sim","Não"),IF(CC236&lt;=CB236,"Sim","Não")))</f>
        <v/>
      </c>
      <c r="CF236" s="8"/>
      <c r="CG236" s="8"/>
      <c r="CH236" s="4" t="str">
        <f aca="false">IF(OR(CF236="",CG236=""),"",IFERROR(IF($K236="%",CG236-CF236,CG236/CF236-1),""))</f>
        <v/>
      </c>
      <c r="CI236" s="5" t="str">
        <f aca="false">IF(OR(CF236="",CG236=""),"",IF($F236="Maior Melhor",IF(CG236&gt;=CF236,"Sim","Não"),IF(CG236&lt;=CF236,"Sim","Não")))</f>
        <v/>
      </c>
      <c r="CJ236" s="8"/>
      <c r="CK236" s="8"/>
      <c r="CL236" s="4" t="str">
        <f aca="false">IF(OR(CJ236="",CK236=""),"",IFERROR(IF($K236="%",CK236-CJ236,CK236/CJ236-1),""))</f>
        <v/>
      </c>
      <c r="CM236" s="5" t="str">
        <f aca="false">IF(OR(CJ236="",CK236=""),"",IF($F236="Maior Melhor",IF(CK236&gt;=CJ236,"Sim","Não"),IF(CK236&lt;=CJ236,"Sim","Não")))</f>
        <v/>
      </c>
      <c r="CN236" s="8"/>
      <c r="CO236" s="8"/>
      <c r="CP236" s="4" t="str">
        <f aca="false">IF(OR(CN236="",CO236=""),"",IFERROR(IF($K236="%",CO236-CN236,CO236/CN236-1),""))</f>
        <v/>
      </c>
      <c r="CQ236" s="5" t="str">
        <f aca="false">IF(OR(CN236="",CO236=""),"",IF($F236="Maior Melhor",IF(CO236&gt;=CN236,"Sim","Não"),IF(CO236&lt;=CN236,"Sim","Não")))</f>
        <v/>
      </c>
      <c r="CR236" s="2" t="s">
        <v>105</v>
      </c>
    </row>
    <row r="237" customFormat="false" ht="15" hidden="false" customHeight="false" outlineLevel="0" collapsed="false">
      <c r="A237" s="2" t="s">
        <v>161</v>
      </c>
      <c r="B237" s="2" t="s">
        <v>106</v>
      </c>
      <c r="C237" s="2" t="s">
        <v>107</v>
      </c>
      <c r="D237" s="2" t="s">
        <v>183</v>
      </c>
      <c r="E237" s="2" t="str">
        <f aca="false">C237&amp;D237</f>
        <v>Gerência OesteMídias Negativas</v>
      </c>
      <c r="F237" s="2" t="s">
        <v>167</v>
      </c>
      <c r="G237" s="2" t="s">
        <v>184</v>
      </c>
      <c r="H237" s="2" t="s">
        <v>102</v>
      </c>
      <c r="I237" s="2" t="s">
        <v>169</v>
      </c>
      <c r="J237" s="2" t="n">
        <v>2</v>
      </c>
      <c r="K237" s="2" t="s">
        <v>147</v>
      </c>
      <c r="L237" s="7" t="n">
        <v>5</v>
      </c>
      <c r="M237" s="7" t="n">
        <v>2</v>
      </c>
      <c r="N237" s="4" t="n">
        <f aca="false">IF(OR(L237="",M237=""),"",IFERROR(IF($K237="%",M237-L237,M237/L237-1),""))</f>
        <v>-0.6</v>
      </c>
      <c r="O237" s="5" t="str">
        <f aca="false">IF(OR(L237="",M237=""),"",IF($F237="Maior Melhor",IF(M237&gt;=L237,"Sim","Não"),IF(M237&lt;=L237,"Sim","Não")))</f>
        <v>Sim</v>
      </c>
      <c r="P237" s="7" t="n">
        <v>4</v>
      </c>
      <c r="Q237" s="7" t="n">
        <v>13</v>
      </c>
      <c r="R237" s="4" t="n">
        <f aca="false">IF(OR(P237="",Q237=""),"",IFERROR(IF($K237="%",Q237-P237,Q237/P237-1),""))</f>
        <v>2.25</v>
      </c>
      <c r="S237" s="5" t="str">
        <f aca="false">IF(OR(P237="",Q237=""),"",IF($F237="Maior Melhor",IF(Q237&gt;=P237,"Sim","Não"),IF(Q237&lt;=P237,"Sim","Não")))</f>
        <v>Não</v>
      </c>
      <c r="T237" s="7" t="n">
        <v>3</v>
      </c>
      <c r="U237" s="7" t="n">
        <v>7</v>
      </c>
      <c r="V237" s="4" t="n">
        <f aca="false">IF(OR(T237="",U237=""),"",IFERROR(IF($K237="%",U237-T237,U237/T237-1),""))</f>
        <v>1.33333333333333</v>
      </c>
      <c r="W237" s="5" t="str">
        <f aca="false">IF(OR(T237="",U237=""),"",IF($F237="Maior Melhor",IF(U237&gt;=T237,"Sim","Não"),IF(U237&lt;=T237,"Sim","Não")))</f>
        <v>Não</v>
      </c>
      <c r="X237" s="7" t="n">
        <v>10</v>
      </c>
      <c r="Y237" s="7" t="n">
        <v>5</v>
      </c>
      <c r="Z237" s="4" t="n">
        <f aca="false">IF(OR(X237="",Y237=""),"",IFERROR(IF($K237="%",Y237-X237,Y237/X237-1),""))</f>
        <v>-0.5</v>
      </c>
      <c r="AA237" s="5" t="str">
        <f aca="false">IF(OR(X237="",Y237=""),"",IF($F237="Maior Melhor",IF(Y237&gt;=X237,"Sim","Não"),IF(Y237&lt;=X237,"Sim","Não")))</f>
        <v>Sim</v>
      </c>
      <c r="AB237" s="7" t="n">
        <v>28</v>
      </c>
      <c r="AC237" s="7" t="n">
        <v>27</v>
      </c>
      <c r="AD237" s="4" t="n">
        <f aca="false">IF(OR(AB237="",AC237=""),"",IFERROR(IF($K237="%",AC237-AB237,AC237/AB237-1),""))</f>
        <v>-0.0357142857142857</v>
      </c>
      <c r="AE237" s="5" t="str">
        <f aca="false">IF(OR(AB237="",AC237=""),"",IF($F237="Maior Melhor",IF(AC237&gt;=AB237,"Sim","Não"),IF(AC237&lt;=AB237,"Sim","Não")))</f>
        <v>Sim</v>
      </c>
      <c r="AF237" s="7" t="n">
        <v>6</v>
      </c>
      <c r="AG237" s="7" t="n">
        <v>2</v>
      </c>
      <c r="AH237" s="4" t="n">
        <f aca="false">IF(OR(AF237="",AG237=""),"",IFERROR(IF($K237="%",AG237-AF237,AG237/AF237-1),""))</f>
        <v>-0.666666666666667</v>
      </c>
      <c r="AI237" s="5" t="str">
        <f aca="false">IF(OR(AF237="",AG237=""),"",IF($F237="Maior Melhor",IF(AG237&gt;=AF237,"Sim","Não"),IF(AG237&lt;=AF237,"Sim","Não")))</f>
        <v>Sim</v>
      </c>
      <c r="AJ237" s="7" t="n">
        <v>34</v>
      </c>
      <c r="AK237" s="7" t="n">
        <v>29</v>
      </c>
      <c r="AL237" s="4" t="n">
        <f aca="false">IF(OR(AJ237="",AK237=""),"",IFERROR(IF($K237="%",AK237-AJ237,AK237/AJ237-1),""))</f>
        <v>-0.147058823529412</v>
      </c>
      <c r="AM237" s="5" t="str">
        <f aca="false">IF(OR(AJ237="",AK237=""),"",IF($F237="Maior Melhor",IF(AK237&gt;=AJ237,"Sim","Não"),IF(AK237&lt;=AJ237,"Sim","Não")))</f>
        <v>Sim</v>
      </c>
      <c r="AN237" s="7" t="n">
        <v>3</v>
      </c>
      <c r="AO237" s="7" t="n">
        <v>2</v>
      </c>
      <c r="AP237" s="4" t="n">
        <f aca="false">IF(OR(AN237="",AO237=""),"",IFERROR(IF($K237="%",AO237-AN237,AO237/AN237-1),""))</f>
        <v>-0.333333333333333</v>
      </c>
      <c r="AQ237" s="5" t="str">
        <f aca="false">IF(OR(AN237="",AO237=""),"",IF($F237="Maior Melhor",IF(AO237&gt;=AN237,"Sim","Não"),IF(AO237&lt;=AN237,"Sim","Não")))</f>
        <v>Sim</v>
      </c>
      <c r="AR237" s="7" t="n">
        <v>35</v>
      </c>
      <c r="AS237" s="7" t="n">
        <v>31</v>
      </c>
      <c r="AT237" s="4" t="n">
        <f aca="false">IF(OR(AR237="",AS237=""),"",IFERROR(IF($K237="%",AS237-AR237,AS237/AR237-1),""))</f>
        <v>-0.114285714285714</v>
      </c>
      <c r="AU237" s="5" t="str">
        <f aca="false">IF(OR(AR237="",AS237=""),"",IF($F237="Maior Melhor",IF(AS237&gt;=AR237,"Sim","Não"),IF(AS237&lt;=AR237,"Sim","Não")))</f>
        <v>Sim</v>
      </c>
      <c r="AV237" s="7" t="n">
        <v>6</v>
      </c>
      <c r="AW237" s="7" t="n">
        <v>8</v>
      </c>
      <c r="AX237" s="4" t="n">
        <f aca="false">IF(OR(AV237="",AW237=""),"",IFERROR(IF($K237="%",AW237-AV237,AW237/AV237-1),""))</f>
        <v>0.333333333333333</v>
      </c>
      <c r="AY237" s="5" t="str">
        <f aca="false">IF(OR(AV237="",AW237=""),"",IF($F237="Maior Melhor",IF(AW237&gt;=AV237,"Sim","Não"),IF(AW237&lt;=AV237,"Sim","Não")))</f>
        <v>Não</v>
      </c>
      <c r="AZ237" s="7" t="n">
        <v>44</v>
      </c>
      <c r="BA237" s="7" t="n">
        <v>39</v>
      </c>
      <c r="BB237" s="4" t="n">
        <f aca="false">IF(OR(AZ237="",BA237=""),"",IFERROR(IF($K237="%",BA237-AZ237,BA237/AZ237-1),""))</f>
        <v>-0.113636363636364</v>
      </c>
      <c r="BC237" s="5" t="str">
        <f aca="false">IF(OR(AZ237="",BA237=""),"",IF($F237="Maior Melhor",IF(BA237&gt;=AZ237,"Sim","Não"),IF(BA237&lt;=AZ237,"Sim","Não")))</f>
        <v>Sim</v>
      </c>
      <c r="BD237" s="7" t="n">
        <v>5</v>
      </c>
      <c r="BE237" s="7" t="n">
        <v>0</v>
      </c>
      <c r="BF237" s="4" t="n">
        <f aca="false">IF(OR(BD237="",BE237=""),"",IFERROR(IF($K237="%",BE237-BD237,BE237/BD237-1),""))</f>
        <v>-1</v>
      </c>
      <c r="BG237" s="5" t="str">
        <f aca="false">IF(OR(BD237="",BE237=""),"",IF($F237="Maior Melhor",IF(BE237&gt;=BD237,"Sim","Não"),IF(BE237&lt;=BD237,"Sim","Não")))</f>
        <v>Sim</v>
      </c>
      <c r="BH237" s="7" t="n">
        <v>50</v>
      </c>
      <c r="BI237" s="7" t="n">
        <v>39</v>
      </c>
      <c r="BJ237" s="4" t="n">
        <f aca="false">IF(OR(BH237="",BI237=""),"",IFERROR(IF($K237="%",BI237-BH237,BI237/BH237-1),""))</f>
        <v>-0.22</v>
      </c>
      <c r="BK237" s="5" t="str">
        <f aca="false">IF(OR(BH237="",BI237=""),"",IF($F237="Maior Melhor",IF(BI237&gt;=BH237,"Sim","Não"),IF(BI237&lt;=BH237,"Sim","Não")))</f>
        <v>Sim</v>
      </c>
      <c r="BL237" s="8"/>
      <c r="BM237" s="8"/>
      <c r="BN237" s="4" t="str">
        <f aca="false">IF(OR(BL237="",BM237=""),"",IFERROR(IF($K237="%",BM237-BL237,BM237/BL237-1),""))</f>
        <v/>
      </c>
      <c r="BO237" s="5" t="str">
        <f aca="false">IF(OR(BL237="",BM237=""),"",IF($F237="Maior Melhor",IF(BM237&gt;=BL237,"Sim","Não"),IF(BM237&lt;=BL237,"Sim","Não")))</f>
        <v/>
      </c>
      <c r="BP237" s="8"/>
      <c r="BQ237" s="8"/>
      <c r="BR237" s="4" t="str">
        <f aca="false">IF(OR(BP237="",BQ237=""),"",IFERROR(IF($K237="%",BQ237-BP237,BQ237/BP237-1),""))</f>
        <v/>
      </c>
      <c r="BS237" s="5" t="str">
        <f aca="false">IF(OR(BP237="",BQ237=""),"",IF($F237="Maior Melhor",IF(BQ237&gt;=BP237,"Sim","Não"),IF(BQ237&lt;=BP237,"Sim","Não")))</f>
        <v/>
      </c>
      <c r="BT237" s="8"/>
      <c r="BU237" s="8"/>
      <c r="BV237" s="4" t="str">
        <f aca="false">IF(OR(BT237="",BU237=""),"",IFERROR(IF($K237="%",BU237-BT237,BU237/BT237-1),""))</f>
        <v/>
      </c>
      <c r="BW237" s="5" t="str">
        <f aca="false">IF(OR(BT237="",BU237=""),"",IF($F237="Maior Melhor",IF(BU237&gt;=BT237,"Sim","Não"),IF(BU237&lt;=BT237,"Sim","Não")))</f>
        <v/>
      </c>
      <c r="BX237" s="8"/>
      <c r="BY237" s="8"/>
      <c r="BZ237" s="4" t="str">
        <f aca="false">IF(OR(BX237="",BY237=""),"",IFERROR(IF($K237="%",BY237-BX237,BY237/BX237-1),""))</f>
        <v/>
      </c>
      <c r="CA237" s="5" t="str">
        <f aca="false">IF(OR(BX237="",BY237=""),"",IF($F237="Maior Melhor",IF(BY237&gt;=BX237,"Sim","Não"),IF(BY237&lt;=BX237,"Sim","Não")))</f>
        <v/>
      </c>
      <c r="CB237" s="8"/>
      <c r="CC237" s="8"/>
      <c r="CD237" s="4" t="str">
        <f aca="false">IF(OR(CB237="",CC237=""),"",IFERROR(IF($K237="%",CC237-CB237,CC237/CB237-1),""))</f>
        <v/>
      </c>
      <c r="CE237" s="5" t="str">
        <f aca="false">IF(OR(CB237="",CC237=""),"",IF($F237="Maior Melhor",IF(CC237&gt;=CB237,"Sim","Não"),IF(CC237&lt;=CB237,"Sim","Não")))</f>
        <v/>
      </c>
      <c r="CF237" s="8"/>
      <c r="CG237" s="8"/>
      <c r="CH237" s="4" t="str">
        <f aca="false">IF(OR(CF237="",CG237=""),"",IFERROR(IF($K237="%",CG237-CF237,CG237/CF237-1),""))</f>
        <v/>
      </c>
      <c r="CI237" s="5" t="str">
        <f aca="false">IF(OR(CF237="",CG237=""),"",IF($F237="Maior Melhor",IF(CG237&gt;=CF237,"Sim","Não"),IF(CG237&lt;=CF237,"Sim","Não")))</f>
        <v/>
      </c>
      <c r="CJ237" s="8"/>
      <c r="CK237" s="8"/>
      <c r="CL237" s="4" t="str">
        <f aca="false">IF(OR(CJ237="",CK237=""),"",IFERROR(IF($K237="%",CK237-CJ237,CK237/CJ237-1),""))</f>
        <v/>
      </c>
      <c r="CM237" s="5" t="str">
        <f aca="false">IF(OR(CJ237="",CK237=""),"",IF($F237="Maior Melhor",IF(CK237&gt;=CJ237,"Sim","Não"),IF(CK237&lt;=CJ237,"Sim","Não")))</f>
        <v/>
      </c>
      <c r="CN237" s="8"/>
      <c r="CO237" s="8"/>
      <c r="CP237" s="4" t="str">
        <f aca="false">IF(OR(CN237="",CO237=""),"",IFERROR(IF($K237="%",CO237-CN237,CO237/CN237-1),""))</f>
        <v/>
      </c>
      <c r="CQ237" s="5" t="str">
        <f aca="false">IF(OR(CN237="",CO237=""),"",IF($F237="Maior Melhor",IF(CO237&gt;=CN237,"Sim","Não"),IF(CO237&lt;=CN237,"Sim","Não")))</f>
        <v/>
      </c>
      <c r="CR237" s="2" t="s">
        <v>105</v>
      </c>
    </row>
    <row r="238" customFormat="false" ht="15" hidden="false" customHeight="false" outlineLevel="0" collapsed="false">
      <c r="A238" s="2" t="s">
        <v>161</v>
      </c>
      <c r="B238" s="2" t="s">
        <v>108</v>
      </c>
      <c r="C238" s="2" t="s">
        <v>109</v>
      </c>
      <c r="D238" s="2" t="s">
        <v>183</v>
      </c>
      <c r="E238" s="2" t="str">
        <f aca="false">C238&amp;D238</f>
        <v>Gerência SudoesteMídias Negativas</v>
      </c>
      <c r="F238" s="2" t="s">
        <v>167</v>
      </c>
      <c r="G238" s="2" t="s">
        <v>184</v>
      </c>
      <c r="H238" s="2" t="s">
        <v>102</v>
      </c>
      <c r="I238" s="2" t="s">
        <v>169</v>
      </c>
      <c r="J238" s="2" t="n">
        <v>2</v>
      </c>
      <c r="K238" s="2" t="s">
        <v>147</v>
      </c>
      <c r="L238" s="7" t="n">
        <v>17</v>
      </c>
      <c r="M238" s="7" t="n">
        <v>19</v>
      </c>
      <c r="N238" s="4" t="n">
        <f aca="false">IF(OR(L238="",M238=""),"",IFERROR(IF($K238="%",M238-L238,M238/L238-1),""))</f>
        <v>0.117647058823529</v>
      </c>
      <c r="O238" s="5" t="str">
        <f aca="false">IF(OR(L238="",M238=""),"",IF($F238="Maior Melhor",IF(M238&gt;=L238,"Sim","Não"),IF(M238&lt;=L238,"Sim","Não")))</f>
        <v>Não</v>
      </c>
      <c r="P238" s="7" t="n">
        <v>22</v>
      </c>
      <c r="Q238" s="7" t="n">
        <v>18</v>
      </c>
      <c r="R238" s="4" t="n">
        <f aca="false">IF(OR(P238="",Q238=""),"",IFERROR(IF($K238="%",Q238-P238,Q238/P238-1),""))</f>
        <v>-0.181818181818182</v>
      </c>
      <c r="S238" s="5" t="str">
        <f aca="false">IF(OR(P238="",Q238=""),"",IF($F238="Maior Melhor",IF(Q238&gt;=P238,"Sim","Não"),IF(Q238&lt;=P238,"Sim","Não")))</f>
        <v>Sim</v>
      </c>
      <c r="T238" s="7" t="n">
        <v>15</v>
      </c>
      <c r="U238" s="7" t="n">
        <v>28</v>
      </c>
      <c r="V238" s="4" t="n">
        <f aca="false">IF(OR(T238="",U238=""),"",IFERROR(IF($K238="%",U238-T238,U238/T238-1),""))</f>
        <v>0.866666666666667</v>
      </c>
      <c r="W238" s="5" t="str">
        <f aca="false">IF(OR(T238="",U238=""),"",IF($F238="Maior Melhor",IF(U238&gt;=T238,"Sim","Não"),IF(U238&lt;=T238,"Sim","Não")))</f>
        <v>Não</v>
      </c>
      <c r="X238" s="7" t="n">
        <v>20</v>
      </c>
      <c r="Y238" s="7" t="n">
        <v>11</v>
      </c>
      <c r="Z238" s="4" t="n">
        <f aca="false">IF(OR(X238="",Y238=""),"",IFERROR(IF($K238="%",Y238-X238,Y238/X238-1),""))</f>
        <v>-0.45</v>
      </c>
      <c r="AA238" s="5" t="str">
        <f aca="false">IF(OR(X238="",Y238=""),"",IF($F238="Maior Melhor",IF(Y238&gt;=X238,"Sim","Não"),IF(Y238&lt;=X238,"Sim","Não")))</f>
        <v>Sim</v>
      </c>
      <c r="AB238" s="7" t="n">
        <v>74</v>
      </c>
      <c r="AC238" s="7" t="n">
        <v>76</v>
      </c>
      <c r="AD238" s="4" t="n">
        <f aca="false">IF(OR(AB238="",AC238=""),"",IFERROR(IF($K238="%",AC238-AB238,AC238/AB238-1),""))</f>
        <v>0.027027027027027</v>
      </c>
      <c r="AE238" s="5" t="str">
        <f aca="false">IF(OR(AB238="",AC238=""),"",IF($F238="Maior Melhor",IF(AC238&gt;=AB238,"Sim","Não"),IF(AC238&lt;=AB238,"Sim","Não")))</f>
        <v>Não</v>
      </c>
      <c r="AF238" s="7" t="n">
        <v>13</v>
      </c>
      <c r="AG238" s="7" t="n">
        <v>1</v>
      </c>
      <c r="AH238" s="4" t="n">
        <f aca="false">IF(OR(AF238="",AG238=""),"",IFERROR(IF($K238="%",AG238-AF238,AG238/AF238-1),""))</f>
        <v>-0.923076923076923</v>
      </c>
      <c r="AI238" s="5" t="str">
        <f aca="false">IF(OR(AF238="",AG238=""),"",IF($F238="Maior Melhor",IF(AG238&gt;=AF238,"Sim","Não"),IF(AG238&lt;=AF238,"Sim","Não")))</f>
        <v>Sim</v>
      </c>
      <c r="AJ238" s="7" t="n">
        <v>87</v>
      </c>
      <c r="AK238" s="7" t="n">
        <v>77</v>
      </c>
      <c r="AL238" s="4" t="n">
        <f aca="false">IF(OR(AJ238="",AK238=""),"",IFERROR(IF($K238="%",AK238-AJ238,AK238/AJ238-1),""))</f>
        <v>-0.114942528735632</v>
      </c>
      <c r="AM238" s="5" t="str">
        <f aca="false">IF(OR(AJ238="",AK238=""),"",IF($F238="Maior Melhor",IF(AK238&gt;=AJ238,"Sim","Não"),IF(AK238&lt;=AJ238,"Sim","Não")))</f>
        <v>Sim</v>
      </c>
      <c r="AN238" s="7" t="n">
        <v>8</v>
      </c>
      <c r="AO238" s="7" t="n">
        <v>5</v>
      </c>
      <c r="AP238" s="4" t="n">
        <f aca="false">IF(OR(AN238="",AO238=""),"",IFERROR(IF($K238="%",AO238-AN238,AO238/AN238-1),""))</f>
        <v>-0.375</v>
      </c>
      <c r="AQ238" s="5" t="str">
        <f aca="false">IF(OR(AN238="",AO238=""),"",IF($F238="Maior Melhor",IF(AO238&gt;=AN238,"Sim","Não"),IF(AO238&lt;=AN238,"Sim","Não")))</f>
        <v>Sim</v>
      </c>
      <c r="AR238" s="7" t="n">
        <v>95</v>
      </c>
      <c r="AS238" s="7" t="n">
        <v>82</v>
      </c>
      <c r="AT238" s="4" t="n">
        <f aca="false">IF(OR(AR238="",AS238=""),"",IFERROR(IF($K238="%",AS238-AR238,AS238/AR238-1),""))</f>
        <v>-0.136842105263158</v>
      </c>
      <c r="AU238" s="5" t="str">
        <f aca="false">IF(OR(AR238="",AS238=""),"",IF($F238="Maior Melhor",IF(AS238&gt;=AR238,"Sim","Não"),IF(AS238&lt;=AR238,"Sim","Não")))</f>
        <v>Sim</v>
      </c>
      <c r="AV238" s="7" t="n">
        <v>10</v>
      </c>
      <c r="AW238" s="7" t="n">
        <v>5</v>
      </c>
      <c r="AX238" s="4" t="n">
        <f aca="false">IF(OR(AV238="",AW238=""),"",IFERROR(IF($K238="%",AW238-AV238,AW238/AV238-1),""))</f>
        <v>-0.5</v>
      </c>
      <c r="AY238" s="5" t="str">
        <f aca="false">IF(OR(AV238="",AW238=""),"",IF($F238="Maior Melhor",IF(AW238&gt;=AV238,"Sim","Não"),IF(AW238&lt;=AV238,"Sim","Não")))</f>
        <v>Sim</v>
      </c>
      <c r="AZ238" s="7" t="n">
        <v>103</v>
      </c>
      <c r="BA238" s="7" t="n">
        <v>87</v>
      </c>
      <c r="BB238" s="4" t="n">
        <f aca="false">IF(OR(AZ238="",BA238=""),"",IFERROR(IF($K238="%",BA238-AZ238,BA238/AZ238-1),""))</f>
        <v>-0.155339805825243</v>
      </c>
      <c r="BC238" s="5" t="str">
        <f aca="false">IF(OR(AZ238="",BA238=""),"",IF($F238="Maior Melhor",IF(BA238&gt;=AZ238,"Sim","Não"),IF(BA238&lt;=AZ238,"Sim","Não")))</f>
        <v>Sim</v>
      </c>
      <c r="BD238" s="7" t="n">
        <v>6</v>
      </c>
      <c r="BE238" s="7" t="n">
        <v>4</v>
      </c>
      <c r="BF238" s="4" t="n">
        <f aca="false">IF(OR(BD238="",BE238=""),"",IFERROR(IF($K238="%",BE238-BD238,BE238/BD238-1),""))</f>
        <v>-0.333333333333333</v>
      </c>
      <c r="BG238" s="5" t="str">
        <f aca="false">IF(OR(BD238="",BE238=""),"",IF($F238="Maior Melhor",IF(BE238&gt;=BD238,"Sim","Não"),IF(BE238&lt;=BD238,"Sim","Não")))</f>
        <v>Sim</v>
      </c>
      <c r="BH238" s="7" t="n">
        <v>111</v>
      </c>
      <c r="BI238" s="7" t="n">
        <v>91</v>
      </c>
      <c r="BJ238" s="4" t="n">
        <f aca="false">IF(OR(BH238="",BI238=""),"",IFERROR(IF($K238="%",BI238-BH238,BI238/BH238-1),""))</f>
        <v>-0.18018018018018</v>
      </c>
      <c r="BK238" s="5" t="str">
        <f aca="false">IF(OR(BH238="",BI238=""),"",IF($F238="Maior Melhor",IF(BI238&gt;=BH238,"Sim","Não"),IF(BI238&lt;=BH238,"Sim","Não")))</f>
        <v>Sim</v>
      </c>
      <c r="BL238" s="8"/>
      <c r="BM238" s="8"/>
      <c r="BN238" s="4" t="str">
        <f aca="false">IF(OR(BL238="",BM238=""),"",IFERROR(IF($K238="%",BM238-BL238,BM238/BL238-1),""))</f>
        <v/>
      </c>
      <c r="BO238" s="5" t="str">
        <f aca="false">IF(OR(BL238="",BM238=""),"",IF($F238="Maior Melhor",IF(BM238&gt;=BL238,"Sim","Não"),IF(BM238&lt;=BL238,"Sim","Não")))</f>
        <v/>
      </c>
      <c r="BP238" s="8"/>
      <c r="BQ238" s="8"/>
      <c r="BR238" s="4" t="str">
        <f aca="false">IF(OR(BP238="",BQ238=""),"",IFERROR(IF($K238="%",BQ238-BP238,BQ238/BP238-1),""))</f>
        <v/>
      </c>
      <c r="BS238" s="5" t="str">
        <f aca="false">IF(OR(BP238="",BQ238=""),"",IF($F238="Maior Melhor",IF(BQ238&gt;=BP238,"Sim","Não"),IF(BQ238&lt;=BP238,"Sim","Não")))</f>
        <v/>
      </c>
      <c r="BT238" s="8"/>
      <c r="BU238" s="8"/>
      <c r="BV238" s="4" t="str">
        <f aca="false">IF(OR(BT238="",BU238=""),"",IFERROR(IF($K238="%",BU238-BT238,BU238/BT238-1),""))</f>
        <v/>
      </c>
      <c r="BW238" s="5" t="str">
        <f aca="false">IF(OR(BT238="",BU238=""),"",IF($F238="Maior Melhor",IF(BU238&gt;=BT238,"Sim","Não"),IF(BU238&lt;=BT238,"Sim","Não")))</f>
        <v/>
      </c>
      <c r="BX238" s="8"/>
      <c r="BY238" s="8"/>
      <c r="BZ238" s="4" t="str">
        <f aca="false">IF(OR(BX238="",BY238=""),"",IFERROR(IF($K238="%",BY238-BX238,BY238/BX238-1),""))</f>
        <v/>
      </c>
      <c r="CA238" s="5" t="str">
        <f aca="false">IF(OR(BX238="",BY238=""),"",IF($F238="Maior Melhor",IF(BY238&gt;=BX238,"Sim","Não"),IF(BY238&lt;=BX238,"Sim","Não")))</f>
        <v/>
      </c>
      <c r="CB238" s="8"/>
      <c r="CC238" s="8"/>
      <c r="CD238" s="4" t="str">
        <f aca="false">IF(OR(CB238="",CC238=""),"",IFERROR(IF($K238="%",CC238-CB238,CC238/CB238-1),""))</f>
        <v/>
      </c>
      <c r="CE238" s="5" t="str">
        <f aca="false">IF(OR(CB238="",CC238=""),"",IF($F238="Maior Melhor",IF(CC238&gt;=CB238,"Sim","Não"),IF(CC238&lt;=CB238,"Sim","Não")))</f>
        <v/>
      </c>
      <c r="CF238" s="8"/>
      <c r="CG238" s="8"/>
      <c r="CH238" s="4" t="str">
        <f aca="false">IF(OR(CF238="",CG238=""),"",IFERROR(IF($K238="%",CG238-CF238,CG238/CF238-1),""))</f>
        <v/>
      </c>
      <c r="CI238" s="5" t="str">
        <f aca="false">IF(OR(CF238="",CG238=""),"",IF($F238="Maior Melhor",IF(CG238&gt;=CF238,"Sim","Não"),IF(CG238&lt;=CF238,"Sim","Não")))</f>
        <v/>
      </c>
      <c r="CJ238" s="8"/>
      <c r="CK238" s="8"/>
      <c r="CL238" s="4" t="str">
        <f aca="false">IF(OR(CJ238="",CK238=""),"",IFERROR(IF($K238="%",CK238-CJ238,CK238/CJ238-1),""))</f>
        <v/>
      </c>
      <c r="CM238" s="5" t="str">
        <f aca="false">IF(OR(CJ238="",CK238=""),"",IF($F238="Maior Melhor",IF(CK238&gt;=CJ238,"Sim","Não"),IF(CK238&lt;=CJ238,"Sim","Não")))</f>
        <v/>
      </c>
      <c r="CN238" s="8"/>
      <c r="CO238" s="8"/>
      <c r="CP238" s="4" t="str">
        <f aca="false">IF(OR(CN238="",CO238=""),"",IFERROR(IF($K238="%",CO238-CN238,CO238/CN238-1),""))</f>
        <v/>
      </c>
      <c r="CQ238" s="5" t="str">
        <f aca="false">IF(OR(CN238="",CO238=""),"",IF($F238="Maior Melhor",IF(CO238&gt;=CN238,"Sim","Não"),IF(CO238&lt;=CN238,"Sim","Não")))</f>
        <v/>
      </c>
      <c r="CR238" s="2" t="s">
        <v>105</v>
      </c>
    </row>
    <row r="239" customFormat="false" ht="15" hidden="false" customHeight="false" outlineLevel="0" collapsed="false">
      <c r="A239" s="2" t="s">
        <v>161</v>
      </c>
      <c r="B239" s="2" t="s">
        <v>110</v>
      </c>
      <c r="C239" s="2" t="s">
        <v>110</v>
      </c>
      <c r="D239" s="2" t="s">
        <v>183</v>
      </c>
      <c r="E239" s="2" t="str">
        <f aca="false">C239&amp;D239</f>
        <v>Sup OesteMídias Negativas</v>
      </c>
      <c r="F239" s="2" t="s">
        <v>167</v>
      </c>
      <c r="G239" s="2" t="s">
        <v>184</v>
      </c>
      <c r="H239" s="2" t="s">
        <v>102</v>
      </c>
      <c r="I239" s="2" t="s">
        <v>169</v>
      </c>
      <c r="J239" s="2" t="n">
        <v>2</v>
      </c>
      <c r="K239" s="2" t="s">
        <v>147</v>
      </c>
      <c r="L239" s="7" t="n">
        <v>40</v>
      </c>
      <c r="M239" s="7" t="n">
        <v>43</v>
      </c>
      <c r="N239" s="4" t="n">
        <f aca="false">IF(OR(L239="",M239=""),"",IFERROR(IF($K239="%",M239-L239,M239/L239-1),""))</f>
        <v>0.075</v>
      </c>
      <c r="O239" s="5" t="str">
        <f aca="false">IF(OR(L239="",M239=""),"",IF($F239="Maior Melhor",IF(M239&gt;=L239,"Sim","Não"),IF(M239&lt;=L239,"Sim","Não")))</f>
        <v>Não</v>
      </c>
      <c r="P239" s="7" t="n">
        <v>35</v>
      </c>
      <c r="Q239" s="7" t="n">
        <v>54</v>
      </c>
      <c r="R239" s="4" t="n">
        <f aca="false">IF(OR(P239="",Q239=""),"",IFERROR(IF($K239="%",Q239-P239,Q239/P239-1),""))</f>
        <v>0.542857142857143</v>
      </c>
      <c r="S239" s="5" t="str">
        <f aca="false">IF(OR(P239="",Q239=""),"",IF($F239="Maior Melhor",IF(Q239&gt;=P239,"Sim","Não"),IF(Q239&lt;=P239,"Sim","Não")))</f>
        <v>Não</v>
      </c>
      <c r="T239" s="7" t="n">
        <v>29</v>
      </c>
      <c r="U239" s="7" t="n">
        <v>84</v>
      </c>
      <c r="V239" s="4" t="n">
        <f aca="false">IF(OR(T239="",U239=""),"",IFERROR(IF($K239="%",U239-T239,U239/T239-1),""))</f>
        <v>1.89655172413793</v>
      </c>
      <c r="W239" s="5" t="str">
        <f aca="false">IF(OR(T239="",U239=""),"",IF($F239="Maior Melhor",IF(U239&gt;=T239,"Sim","Não"),IF(U239&lt;=T239,"Sim","Não")))</f>
        <v>Não</v>
      </c>
      <c r="X239" s="7" t="n">
        <v>38</v>
      </c>
      <c r="Y239" s="7" t="n">
        <v>21</v>
      </c>
      <c r="Z239" s="4" t="n">
        <f aca="false">IF(OR(X239="",Y239=""),"",IFERROR(IF($K239="%",Y239-X239,Y239/X239-1),""))</f>
        <v>-0.447368421052632</v>
      </c>
      <c r="AA239" s="5" t="str">
        <f aca="false">IF(OR(X239="",Y239=""),"",IF($F239="Maior Melhor",IF(Y239&gt;=X239,"Sim","Não"),IF(Y239&lt;=X239,"Sim","Não")))</f>
        <v>Sim</v>
      </c>
      <c r="AB239" s="7" t="n">
        <v>148</v>
      </c>
      <c r="AC239" s="7" t="n">
        <v>202</v>
      </c>
      <c r="AD239" s="4" t="n">
        <f aca="false">IF(OR(AB239="",AC239=""),"",IFERROR(IF($K239="%",AC239-AB239,AC239/AB239-1),""))</f>
        <v>0.364864864864865</v>
      </c>
      <c r="AE239" s="5" t="str">
        <f aca="false">IF(OR(AB239="",AC239=""),"",IF($F239="Maior Melhor",IF(AC239&gt;=AB239,"Sim","Não"),IF(AC239&lt;=AB239,"Sim","Não")))</f>
        <v>Não</v>
      </c>
      <c r="AF239" s="7" t="n">
        <v>31</v>
      </c>
      <c r="AG239" s="7" t="n">
        <v>18</v>
      </c>
      <c r="AH239" s="4" t="n">
        <f aca="false">IF(OR(AF239="",AG239=""),"",IFERROR(IF($K239="%",AG239-AF239,AG239/AF239-1),""))</f>
        <v>-0.419354838709677</v>
      </c>
      <c r="AI239" s="5" t="str">
        <f aca="false">IF(OR(AF239="",AG239=""),"",IF($F239="Maior Melhor",IF(AG239&gt;=AF239,"Sim","Não"),IF(AG239&lt;=AF239,"Sim","Não")))</f>
        <v>Sim</v>
      </c>
      <c r="AJ239" s="7" t="n">
        <v>179</v>
      </c>
      <c r="AK239" s="7" t="n">
        <v>220</v>
      </c>
      <c r="AL239" s="4" t="n">
        <f aca="false">IF(OR(AJ239="",AK239=""),"",IFERROR(IF($K239="%",AK239-AJ239,AK239/AJ239-1),""))</f>
        <v>0.229050279329609</v>
      </c>
      <c r="AM239" s="5" t="str">
        <f aca="false">IF(OR(AJ239="",AK239=""),"",IF($F239="Maior Melhor",IF(AK239&gt;=AJ239,"Sim","Não"),IF(AK239&lt;=AJ239,"Sim","Não")))</f>
        <v>Não</v>
      </c>
      <c r="AN239" s="7" t="n">
        <v>271</v>
      </c>
      <c r="AO239" s="7" t="n">
        <v>130</v>
      </c>
      <c r="AP239" s="4" t="n">
        <f aca="false">IF(OR(AN239="",AO239=""),"",IFERROR(IF($K239="%",AO239-AN239,AO239/AN239-1),""))</f>
        <v>-0.52029520295203</v>
      </c>
      <c r="AQ239" s="5" t="str">
        <f aca="false">IF(OR(AN239="",AO239=""),"",IF($F239="Maior Melhor",IF(AO239&gt;=AN239,"Sim","Não"),IF(AO239&lt;=AN239,"Sim","Não")))</f>
        <v>Sim</v>
      </c>
      <c r="AR239" s="7" t="n">
        <v>1605</v>
      </c>
      <c r="AS239" s="7" t="n">
        <v>1809</v>
      </c>
      <c r="AT239" s="4" t="n">
        <f aca="false">IF(OR(AR239="",AS239=""),"",IFERROR(IF($K239="%",AS239-AR239,AS239/AR239-1),""))</f>
        <v>0.127102803738318</v>
      </c>
      <c r="AU239" s="5" t="str">
        <f aca="false">IF(OR(AR239="",AS239=""),"",IF($F239="Maior Melhor",IF(AS239&gt;=AR239,"Sim","Não"),IF(AS239&lt;=AR239,"Sim","Não")))</f>
        <v>Não</v>
      </c>
      <c r="AV239" s="7" t="n">
        <v>45</v>
      </c>
      <c r="AW239" s="7" t="n">
        <v>33</v>
      </c>
      <c r="AX239" s="4" t="n">
        <f aca="false">IF(OR(AV239="",AW239=""),"",IFERROR(IF($K239="%",AW239-AV239,AW239/AV239-1),""))</f>
        <v>-0.266666666666667</v>
      </c>
      <c r="AY239" s="5" t="str">
        <f aca="false">IF(OR(AV239="",AW239=""),"",IF($F239="Maior Melhor",IF(AW239&gt;=AV239,"Sim","Não"),IF(AW239&lt;=AV239,"Sim","Não")))</f>
        <v>Sim</v>
      </c>
      <c r="AZ239" s="7" t="n">
        <v>260</v>
      </c>
      <c r="BA239" s="7" t="n">
        <v>270</v>
      </c>
      <c r="BB239" s="4" t="n">
        <f aca="false">IF(OR(AZ239="",BA239=""),"",IFERROR(IF($K239="%",BA239-AZ239,BA239/AZ239-1),""))</f>
        <v>0.0384615384615386</v>
      </c>
      <c r="BC239" s="5" t="str">
        <f aca="false">IF(OR(AZ239="",BA239=""),"",IF($F239="Maior Melhor",IF(BA239&gt;=AZ239,"Sim","Não"),IF(BA239&lt;=AZ239,"Sim","Não")))</f>
        <v>Não</v>
      </c>
      <c r="BD239" s="7" t="n">
        <v>27</v>
      </c>
      <c r="BE239" s="7" t="n">
        <v>17</v>
      </c>
      <c r="BF239" s="4" t="n">
        <f aca="false">IF(OR(BD239="",BE239=""),"",IFERROR(IF($K239="%",BE239-BD239,BE239/BD239-1),""))</f>
        <v>-0.37037037037037</v>
      </c>
      <c r="BG239" s="5" t="str">
        <f aca="false">IF(OR(BD239="",BE239=""),"",IF($F239="Maior Melhor",IF(BE239&gt;=BD239,"Sim","Não"),IF(BE239&lt;=BD239,"Sim","Não")))</f>
        <v>Sim</v>
      </c>
      <c r="BH239" s="7" t="n">
        <v>289</v>
      </c>
      <c r="BI239" s="7" t="n">
        <v>282</v>
      </c>
      <c r="BJ239" s="4" t="n">
        <f aca="false">IF(OR(BH239="",BI239=""),"",IFERROR(IF($K239="%",BI239-BH239,BI239/BH239-1),""))</f>
        <v>-0.0242214532871973</v>
      </c>
      <c r="BK239" s="5" t="str">
        <f aca="false">IF(OR(BH239="",BI239=""),"",IF($F239="Maior Melhor",IF(BI239&gt;=BH239,"Sim","Não"),IF(BI239&lt;=BH239,"Sim","Não")))</f>
        <v>Sim</v>
      </c>
      <c r="BL239" s="8"/>
      <c r="BM239" s="8"/>
      <c r="BN239" s="4" t="str">
        <f aca="false">IF(OR(BL239="",BM239=""),"",IFERROR(IF($K239="%",BM239-BL239,BM239/BL239-1),""))</f>
        <v/>
      </c>
      <c r="BO239" s="5" t="str">
        <f aca="false">IF(OR(BL239="",BM239=""),"",IF($F239="Maior Melhor",IF(BM239&gt;=BL239,"Sim","Não"),IF(BM239&lt;=BL239,"Sim","Não")))</f>
        <v/>
      </c>
      <c r="BP239" s="8"/>
      <c r="BQ239" s="8"/>
      <c r="BR239" s="4" t="str">
        <f aca="false">IF(OR(BP239="",BQ239=""),"",IFERROR(IF($K239="%",BQ239-BP239,BQ239/BP239-1),""))</f>
        <v/>
      </c>
      <c r="BS239" s="5" t="str">
        <f aca="false">IF(OR(BP239="",BQ239=""),"",IF($F239="Maior Melhor",IF(BQ239&gt;=BP239,"Sim","Não"),IF(BQ239&lt;=BP239,"Sim","Não")))</f>
        <v/>
      </c>
      <c r="BT239" s="8"/>
      <c r="BU239" s="8"/>
      <c r="BV239" s="4" t="str">
        <f aca="false">IF(OR(BT239="",BU239=""),"",IFERROR(IF($K239="%",BU239-BT239,BU239/BT239-1),""))</f>
        <v/>
      </c>
      <c r="BW239" s="5" t="str">
        <f aca="false">IF(OR(BT239="",BU239=""),"",IF($F239="Maior Melhor",IF(BU239&gt;=BT239,"Sim","Não"),IF(BU239&lt;=BT239,"Sim","Não")))</f>
        <v/>
      </c>
      <c r="BX239" s="8"/>
      <c r="BY239" s="8"/>
      <c r="BZ239" s="4" t="str">
        <f aca="false">IF(OR(BX239="",BY239=""),"",IFERROR(IF($K239="%",BY239-BX239,BY239/BX239-1),""))</f>
        <v/>
      </c>
      <c r="CA239" s="5" t="str">
        <f aca="false">IF(OR(BX239="",BY239=""),"",IF($F239="Maior Melhor",IF(BY239&gt;=BX239,"Sim","Não"),IF(BY239&lt;=BX239,"Sim","Não")))</f>
        <v/>
      </c>
      <c r="CB239" s="8"/>
      <c r="CC239" s="8"/>
      <c r="CD239" s="4" t="str">
        <f aca="false">IF(OR(CB239="",CC239=""),"",IFERROR(IF($K239="%",CC239-CB239,CC239/CB239-1),""))</f>
        <v/>
      </c>
      <c r="CE239" s="5" t="str">
        <f aca="false">IF(OR(CB239="",CC239=""),"",IF($F239="Maior Melhor",IF(CC239&gt;=CB239,"Sim","Não"),IF(CC239&lt;=CB239,"Sim","Não")))</f>
        <v/>
      </c>
      <c r="CF239" s="8"/>
      <c r="CG239" s="8"/>
      <c r="CH239" s="4" t="str">
        <f aca="false">IF(OR(CF239="",CG239=""),"",IFERROR(IF($K239="%",CG239-CF239,CG239/CF239-1),""))</f>
        <v/>
      </c>
      <c r="CI239" s="5" t="str">
        <f aca="false">IF(OR(CF239="",CG239=""),"",IF($F239="Maior Melhor",IF(CG239&gt;=CF239,"Sim","Não"),IF(CG239&lt;=CF239,"Sim","Não")))</f>
        <v/>
      </c>
      <c r="CJ239" s="8"/>
      <c r="CK239" s="8"/>
      <c r="CL239" s="4" t="str">
        <f aca="false">IF(OR(CJ239="",CK239=""),"",IFERROR(IF($K239="%",CK239-CJ239,CK239/CJ239-1),""))</f>
        <v/>
      </c>
      <c r="CM239" s="5" t="str">
        <f aca="false">IF(OR(CJ239="",CK239=""),"",IF($F239="Maior Melhor",IF(CK239&gt;=CJ239,"Sim","Não"),IF(CK239&lt;=CJ239,"Sim","Não")))</f>
        <v/>
      </c>
      <c r="CN239" s="8"/>
      <c r="CO239" s="8"/>
      <c r="CP239" s="4" t="str">
        <f aca="false">IF(OR(CN239="",CO239=""),"",IFERROR(IF($K239="%",CO239-CN239,CO239/CN239-1),""))</f>
        <v/>
      </c>
      <c r="CQ239" s="5" t="str">
        <f aca="false">IF(OR(CN239="",CO239=""),"",IF($F239="Maior Melhor",IF(CO239&gt;=CN239,"Sim","Não"),IF(CO239&lt;=CN239,"Sim","Não")))</f>
        <v/>
      </c>
      <c r="CR239" s="2" t="s">
        <v>105</v>
      </c>
    </row>
    <row r="240" customFormat="false" ht="15" hidden="false" customHeight="false" outlineLevel="0" collapsed="false">
      <c r="A240" s="2" t="s">
        <v>161</v>
      </c>
      <c r="B240" s="2" t="s">
        <v>106</v>
      </c>
      <c r="C240" s="2" t="s">
        <v>111</v>
      </c>
      <c r="D240" s="2" t="s">
        <v>183</v>
      </c>
      <c r="E240" s="2" t="str">
        <f aca="false">C240&amp;D240</f>
        <v>UTD BARREIRASMídias Negativas</v>
      </c>
      <c r="F240" s="2" t="s">
        <v>167</v>
      </c>
      <c r="G240" s="2" t="s">
        <v>184</v>
      </c>
      <c r="H240" s="2" t="s">
        <v>102</v>
      </c>
      <c r="I240" s="2" t="s">
        <v>169</v>
      </c>
      <c r="J240" s="2" t="n">
        <v>2</v>
      </c>
      <c r="K240" s="2" t="s">
        <v>147</v>
      </c>
      <c r="L240" s="7" t="n">
        <v>1</v>
      </c>
      <c r="M240" s="7" t="n">
        <v>0</v>
      </c>
      <c r="N240" s="4" t="n">
        <f aca="false">IF(OR(L240="",M240=""),"",IFERROR(IF($K240="%",M240-L240,M240/L240-1),""))</f>
        <v>-1</v>
      </c>
      <c r="O240" s="5" t="str">
        <f aca="false">IF(OR(L240="",M240=""),"",IF($F240="Maior Melhor",IF(M240&gt;=L240,"Sim","Não"),IF(M240&lt;=L240,"Sim","Não")))</f>
        <v>Sim</v>
      </c>
      <c r="P240" s="7" t="n">
        <v>1</v>
      </c>
      <c r="Q240" s="7" t="n">
        <v>2</v>
      </c>
      <c r="R240" s="4" t="n">
        <f aca="false">IF(OR(P240="",Q240=""),"",IFERROR(IF($K240="%",Q240-P240,Q240/P240-1),""))</f>
        <v>1</v>
      </c>
      <c r="S240" s="5" t="str">
        <f aca="false">IF(OR(P240="",Q240=""),"",IF($F240="Maior Melhor",IF(Q240&gt;=P240,"Sim","Não"),IF(Q240&lt;=P240,"Sim","Não")))</f>
        <v>Não</v>
      </c>
      <c r="T240" s="7" t="n">
        <v>1</v>
      </c>
      <c r="U240" s="7" t="n">
        <v>5</v>
      </c>
      <c r="V240" s="4" t="n">
        <f aca="false">IF(OR(T240="",U240=""),"",IFERROR(IF($K240="%",U240-T240,U240/T240-1),""))</f>
        <v>4</v>
      </c>
      <c r="W240" s="5" t="str">
        <f aca="false">IF(OR(T240="",U240=""),"",IF($F240="Maior Melhor",IF(U240&gt;=T240,"Sim","Não"),IF(U240&lt;=T240,"Sim","Não")))</f>
        <v>Não</v>
      </c>
      <c r="X240" s="7" t="n">
        <v>3</v>
      </c>
      <c r="Y240" s="7" t="n">
        <v>2</v>
      </c>
      <c r="Z240" s="4" t="n">
        <f aca="false">IF(OR(X240="",Y240=""),"",IFERROR(IF($K240="%",Y240-X240,Y240/X240-1),""))</f>
        <v>-0.333333333333333</v>
      </c>
      <c r="AA240" s="5" t="str">
        <f aca="false">IF(OR(X240="",Y240=""),"",IF($F240="Maior Melhor",IF(Y240&gt;=X240,"Sim","Não"),IF(Y240&lt;=X240,"Sim","Não")))</f>
        <v>Sim</v>
      </c>
      <c r="AB240" s="7" t="n">
        <v>9</v>
      </c>
      <c r="AC240" s="7" t="n">
        <v>9</v>
      </c>
      <c r="AD240" s="4" t="n">
        <f aca="false">IF(OR(AB240="",AC240=""),"",IFERROR(IF($K240="%",AC240-AB240,AC240/AB240-1),""))</f>
        <v>0</v>
      </c>
      <c r="AE240" s="5" t="str">
        <f aca="false">IF(OR(AB240="",AC240=""),"",IF($F240="Maior Melhor",IF(AC240&gt;=AB240,"Sim","Não"),IF(AC240&lt;=AB240,"Sim","Não")))</f>
        <v>Sim</v>
      </c>
      <c r="AF240" s="7" t="n">
        <v>2</v>
      </c>
      <c r="AG240" s="7" t="n">
        <v>2</v>
      </c>
      <c r="AH240" s="4" t="n">
        <f aca="false">IF(OR(AF240="",AG240=""),"",IFERROR(IF($K240="%",AG240-AF240,AG240/AF240-1),""))</f>
        <v>0</v>
      </c>
      <c r="AI240" s="5" t="str">
        <f aca="false">IF(OR(AF240="",AG240=""),"",IF($F240="Maior Melhor",IF(AG240&gt;=AF240,"Sim","Não"),IF(AG240&lt;=AF240,"Sim","Não")))</f>
        <v>Sim</v>
      </c>
      <c r="AJ240" s="7" t="n">
        <v>11</v>
      </c>
      <c r="AK240" s="7" t="n">
        <v>8</v>
      </c>
      <c r="AL240" s="4" t="n">
        <f aca="false">IF(OR(AJ240="",AK240=""),"",IFERROR(IF($K240="%",AK240-AJ240,AK240/AJ240-1),""))</f>
        <v>-0.272727272727273</v>
      </c>
      <c r="AM240" s="5" t="str">
        <f aca="false">IF(OR(AJ240="",AK240=""),"",IF($F240="Maior Melhor",IF(AK240&gt;=AJ240,"Sim","Não"),IF(AK240&lt;=AJ240,"Sim","Não")))</f>
        <v>Sim</v>
      </c>
      <c r="AN240" s="7" t="n">
        <v>1</v>
      </c>
      <c r="AO240" s="7" t="n">
        <v>0</v>
      </c>
      <c r="AP240" s="4" t="n">
        <f aca="false">IF(OR(AN240="",AO240=""),"",IFERROR(IF($K240="%",AO240-AN240,AO240/AN240-1),""))</f>
        <v>-1</v>
      </c>
      <c r="AQ240" s="5" t="str">
        <f aca="false">IF(OR(AN240="",AO240=""),"",IF($F240="Maior Melhor",IF(AO240&gt;=AN240,"Sim","Não"),IF(AO240&lt;=AN240,"Sim","Não")))</f>
        <v>Sim</v>
      </c>
      <c r="AR240" s="7" t="n">
        <v>10</v>
      </c>
      <c r="AS240" s="7" t="n">
        <v>8</v>
      </c>
      <c r="AT240" s="4" t="n">
        <f aca="false">IF(OR(AR240="",AS240=""),"",IFERROR(IF($K240="%",AS240-AR240,AS240/AR240-1),""))</f>
        <v>-0.2</v>
      </c>
      <c r="AU240" s="5" t="str">
        <f aca="false">IF(OR(AR240="",AS240=""),"",IF($F240="Maior Melhor",IF(AS240&gt;=AR240,"Sim","Não"),IF(AS240&lt;=AR240,"Sim","Não")))</f>
        <v>Sim</v>
      </c>
      <c r="AV240" s="7" t="n">
        <v>2</v>
      </c>
      <c r="AW240" s="7" t="n">
        <v>4</v>
      </c>
      <c r="AX240" s="4" t="n">
        <f aca="false">IF(OR(AV240="",AW240=""),"",IFERROR(IF($K240="%",AW240-AV240,AW240/AV240-1),""))</f>
        <v>1</v>
      </c>
      <c r="AY240" s="5" t="str">
        <f aca="false">IF(OR(AV240="",AW240=""),"",IF($F240="Maior Melhor",IF(AW240&gt;=AV240,"Sim","Não"),IF(AW240&lt;=AV240,"Sim","Não")))</f>
        <v>Não</v>
      </c>
      <c r="AZ240" s="7" t="n">
        <v>14</v>
      </c>
      <c r="BA240" s="7" t="n">
        <v>12</v>
      </c>
      <c r="BB240" s="4" t="n">
        <f aca="false">IF(OR(AZ240="",BA240=""),"",IFERROR(IF($K240="%",BA240-AZ240,BA240/AZ240-1),""))</f>
        <v>-0.142857142857143</v>
      </c>
      <c r="BC240" s="5" t="str">
        <f aca="false">IF(OR(AZ240="",BA240=""),"",IF($F240="Maior Melhor",IF(BA240&gt;=AZ240,"Sim","Não"),IF(BA240&lt;=AZ240,"Sim","Não")))</f>
        <v>Sim</v>
      </c>
      <c r="BD240" s="7" t="n">
        <v>2</v>
      </c>
      <c r="BE240" s="7" t="n">
        <v>0</v>
      </c>
      <c r="BF240" s="4" t="n">
        <f aca="false">IF(OR(BD240="",BE240=""),"",IFERROR(IF($K240="%",BE240-BD240,BE240/BD240-1),""))</f>
        <v>-1</v>
      </c>
      <c r="BG240" s="5" t="str">
        <f aca="false">IF(OR(BD240="",BE240=""),"",IF($F240="Maior Melhor",IF(BE240&gt;=BD240,"Sim","Não"),IF(BE240&lt;=BD240,"Sim","Não")))</f>
        <v>Sim</v>
      </c>
      <c r="BH240" s="7" t="n">
        <v>16</v>
      </c>
      <c r="BI240" s="7" t="n">
        <v>12</v>
      </c>
      <c r="BJ240" s="4" t="n">
        <f aca="false">IF(OR(BH240="",BI240=""),"",IFERROR(IF($K240="%",BI240-BH240,BI240/BH240-1),""))</f>
        <v>-0.25</v>
      </c>
      <c r="BK240" s="5" t="str">
        <f aca="false">IF(OR(BH240="",BI240=""),"",IF($F240="Maior Melhor",IF(BI240&gt;=BH240,"Sim","Não"),IF(BI240&lt;=BH240,"Sim","Não")))</f>
        <v>Sim</v>
      </c>
      <c r="BL240" s="8"/>
      <c r="BM240" s="8"/>
      <c r="BN240" s="4" t="str">
        <f aca="false">IF(OR(BL240="",BM240=""),"",IFERROR(IF($K240="%",BM240-BL240,BM240/BL240-1),""))</f>
        <v/>
      </c>
      <c r="BO240" s="5" t="str">
        <f aca="false">IF(OR(BL240="",BM240=""),"",IF($F240="Maior Melhor",IF(BM240&gt;=BL240,"Sim","Não"),IF(BM240&lt;=BL240,"Sim","Não")))</f>
        <v/>
      </c>
      <c r="BP240" s="8"/>
      <c r="BQ240" s="8"/>
      <c r="BR240" s="4" t="str">
        <f aca="false">IF(OR(BP240="",BQ240=""),"",IFERROR(IF($K240="%",BQ240-BP240,BQ240/BP240-1),""))</f>
        <v/>
      </c>
      <c r="BS240" s="5" t="str">
        <f aca="false">IF(OR(BP240="",BQ240=""),"",IF($F240="Maior Melhor",IF(BQ240&gt;=BP240,"Sim","Não"),IF(BQ240&lt;=BP240,"Sim","Não")))</f>
        <v/>
      </c>
      <c r="BT240" s="8"/>
      <c r="BU240" s="8"/>
      <c r="BV240" s="4" t="str">
        <f aca="false">IF(OR(BT240="",BU240=""),"",IFERROR(IF($K240="%",BU240-BT240,BU240/BT240-1),""))</f>
        <v/>
      </c>
      <c r="BW240" s="5" t="str">
        <f aca="false">IF(OR(BT240="",BU240=""),"",IF($F240="Maior Melhor",IF(BU240&gt;=BT240,"Sim","Não"),IF(BU240&lt;=BT240,"Sim","Não")))</f>
        <v/>
      </c>
      <c r="BX240" s="8"/>
      <c r="BY240" s="8"/>
      <c r="BZ240" s="4" t="str">
        <f aca="false">IF(OR(BX240="",BY240=""),"",IFERROR(IF($K240="%",BY240-BX240,BY240/BX240-1),""))</f>
        <v/>
      </c>
      <c r="CA240" s="5" t="str">
        <f aca="false">IF(OR(BX240="",BY240=""),"",IF($F240="Maior Melhor",IF(BY240&gt;=BX240,"Sim","Não"),IF(BY240&lt;=BX240,"Sim","Não")))</f>
        <v/>
      </c>
      <c r="CB240" s="8"/>
      <c r="CC240" s="8"/>
      <c r="CD240" s="4" t="str">
        <f aca="false">IF(OR(CB240="",CC240=""),"",IFERROR(IF($K240="%",CC240-CB240,CC240/CB240-1),""))</f>
        <v/>
      </c>
      <c r="CE240" s="5" t="str">
        <f aca="false">IF(OR(CB240="",CC240=""),"",IF($F240="Maior Melhor",IF(CC240&gt;=CB240,"Sim","Não"),IF(CC240&lt;=CB240,"Sim","Não")))</f>
        <v/>
      </c>
      <c r="CF240" s="8"/>
      <c r="CG240" s="8"/>
      <c r="CH240" s="4" t="str">
        <f aca="false">IF(OR(CF240="",CG240=""),"",IFERROR(IF($K240="%",CG240-CF240,CG240/CF240-1),""))</f>
        <v/>
      </c>
      <c r="CI240" s="5" t="str">
        <f aca="false">IF(OR(CF240="",CG240=""),"",IF($F240="Maior Melhor",IF(CG240&gt;=CF240,"Sim","Não"),IF(CG240&lt;=CF240,"Sim","Não")))</f>
        <v/>
      </c>
      <c r="CJ240" s="8"/>
      <c r="CK240" s="8"/>
      <c r="CL240" s="4" t="str">
        <f aca="false">IF(OR(CJ240="",CK240=""),"",IFERROR(IF($K240="%",CK240-CJ240,CK240/CJ240-1),""))</f>
        <v/>
      </c>
      <c r="CM240" s="5" t="str">
        <f aca="false">IF(OR(CJ240="",CK240=""),"",IF($F240="Maior Melhor",IF(CK240&gt;=CJ240,"Sim","Não"),IF(CK240&lt;=CJ240,"Sim","Não")))</f>
        <v/>
      </c>
      <c r="CN240" s="8"/>
      <c r="CO240" s="8"/>
      <c r="CP240" s="4" t="str">
        <f aca="false">IF(OR(CN240="",CO240=""),"",IFERROR(IF($K240="%",CO240-CN240,CO240/CN240-1),""))</f>
        <v/>
      </c>
      <c r="CQ240" s="5" t="str">
        <f aca="false">IF(OR(CN240="",CO240=""),"",IF($F240="Maior Melhor",IF(CO240&gt;=CN240,"Sim","Não"),IF(CO240&lt;=CN240,"Sim","Não")))</f>
        <v/>
      </c>
      <c r="CR240" s="2" t="s">
        <v>148</v>
      </c>
    </row>
    <row r="241" customFormat="false" ht="15" hidden="false" customHeight="false" outlineLevel="0" collapsed="false">
      <c r="A241" s="2" t="s">
        <v>161</v>
      </c>
      <c r="B241" s="2" t="s">
        <v>106</v>
      </c>
      <c r="C241" s="2" t="s">
        <v>113</v>
      </c>
      <c r="D241" s="2" t="s">
        <v>183</v>
      </c>
      <c r="E241" s="2" t="str">
        <f aca="false">C241&amp;D241</f>
        <v>UTD BOM JESUS DA LAPAMídias Negativas</v>
      </c>
      <c r="F241" s="2" t="s">
        <v>167</v>
      </c>
      <c r="G241" s="2" t="s">
        <v>184</v>
      </c>
      <c r="H241" s="2" t="s">
        <v>102</v>
      </c>
      <c r="I241" s="2" t="s">
        <v>169</v>
      </c>
      <c r="J241" s="2" t="n">
        <v>2</v>
      </c>
      <c r="K241" s="2" t="s">
        <v>147</v>
      </c>
      <c r="L241" s="7" t="n">
        <v>0</v>
      </c>
      <c r="M241" s="7" t="n">
        <v>0</v>
      </c>
      <c r="N241" s="4" t="str">
        <f aca="false">IF(OR(L241="",M241=""),"",IFERROR(IF($K241="%",M241-L241,M241/L241-1),""))</f>
        <v/>
      </c>
      <c r="O241" s="5" t="str">
        <f aca="false">IF(OR(L241="",M241=""),"",IF($F241="Maior Melhor",IF(M241&gt;=L241,"Sim","Não"),IF(M241&lt;=L241,"Sim","Não")))</f>
        <v>Sim</v>
      </c>
      <c r="P241" s="7" t="n">
        <v>0</v>
      </c>
      <c r="Q241" s="7" t="n">
        <v>0</v>
      </c>
      <c r="R241" s="4" t="str">
        <f aca="false">IF(OR(P241="",Q241=""),"",IFERROR(IF($K241="%",Q241-P241,Q241/P241-1),""))</f>
        <v/>
      </c>
      <c r="S241" s="5" t="str">
        <f aca="false">IF(OR(P241="",Q241=""),"",IF($F241="Maior Melhor",IF(Q241&gt;=P241,"Sim","Não"),IF(Q241&lt;=P241,"Sim","Não")))</f>
        <v>Sim</v>
      </c>
      <c r="T241" s="7" t="n">
        <v>1</v>
      </c>
      <c r="U241" s="7" t="n">
        <v>0</v>
      </c>
      <c r="V241" s="4" t="n">
        <f aca="false">IF(OR(T241="",U241=""),"",IFERROR(IF($K241="%",U241-T241,U241/T241-1),""))</f>
        <v>-1</v>
      </c>
      <c r="W241" s="5" t="str">
        <f aca="false">IF(OR(T241="",U241=""),"",IF($F241="Maior Melhor",IF(U241&gt;=T241,"Sim","Não"),IF(U241&lt;=T241,"Sim","Não")))</f>
        <v>Sim</v>
      </c>
      <c r="X241" s="7" t="n">
        <v>1</v>
      </c>
      <c r="Y241" s="7" t="n">
        <v>3</v>
      </c>
      <c r="Z241" s="4" t="n">
        <f aca="false">IF(OR(X241="",Y241=""),"",IFERROR(IF($K241="%",Y241-X241,Y241/X241-1),""))</f>
        <v>2</v>
      </c>
      <c r="AA241" s="5" t="str">
        <f aca="false">IF(OR(X241="",Y241=""),"",IF($F241="Maior Melhor",IF(Y241&gt;=X241,"Sim","Não"),IF(Y241&lt;=X241,"Sim","Não")))</f>
        <v>Não</v>
      </c>
      <c r="AB241" s="7" t="n">
        <v>3</v>
      </c>
      <c r="AC241" s="7" t="n">
        <v>3</v>
      </c>
      <c r="AD241" s="4" t="n">
        <f aca="false">IF(OR(AB241="",AC241=""),"",IFERROR(IF($K241="%",AC241-AB241,AC241/AB241-1),""))</f>
        <v>0</v>
      </c>
      <c r="AE241" s="5" t="str">
        <f aca="false">IF(OR(AB241="",AC241=""),"",IF($F241="Maior Melhor",IF(AC241&gt;=AB241,"Sim","Não"),IF(AC241&lt;=AB241,"Sim","Não")))</f>
        <v>Sim</v>
      </c>
      <c r="AF241" s="7" t="n">
        <v>1</v>
      </c>
      <c r="AG241" s="7" t="n">
        <v>0</v>
      </c>
      <c r="AH241" s="4" t="n">
        <f aca="false">IF(OR(AF241="",AG241=""),"",IFERROR(IF($K241="%",AG241-AF241,AG241/AF241-1),""))</f>
        <v>-1</v>
      </c>
      <c r="AI241" s="5" t="str">
        <f aca="false">IF(OR(AF241="",AG241=""),"",IF($F241="Maior Melhor",IF(AG241&gt;=AF241,"Sim","Não"),IF(AG241&lt;=AF241,"Sim","Não")))</f>
        <v>Sim</v>
      </c>
      <c r="AJ241" s="7" t="n">
        <v>4</v>
      </c>
      <c r="AK241" s="7" t="n">
        <v>3</v>
      </c>
      <c r="AL241" s="4" t="n">
        <f aca="false">IF(OR(AJ241="",AK241=""),"",IFERROR(IF($K241="%",AK241-AJ241,AK241/AJ241-1),""))</f>
        <v>-0.25</v>
      </c>
      <c r="AM241" s="5" t="str">
        <f aca="false">IF(OR(AJ241="",AK241=""),"",IF($F241="Maior Melhor",IF(AK241&gt;=AJ241,"Sim","Não"),IF(AK241&lt;=AJ241,"Sim","Não")))</f>
        <v>Sim</v>
      </c>
      <c r="AN241" s="7" t="n">
        <v>1</v>
      </c>
      <c r="AO241" s="7" t="n">
        <v>0</v>
      </c>
      <c r="AP241" s="4" t="n">
        <f aca="false">IF(OR(AN241="",AO241=""),"",IFERROR(IF($K241="%",AO241-AN241,AO241/AN241-1),""))</f>
        <v>-1</v>
      </c>
      <c r="AQ241" s="5" t="str">
        <f aca="false">IF(OR(AN241="",AO241=""),"",IF($F241="Maior Melhor",IF(AO241&gt;=AN241,"Sim","Não"),IF(AO241&lt;=AN241,"Sim","Não")))</f>
        <v>Sim</v>
      </c>
      <c r="AR241" s="7" t="n">
        <v>10</v>
      </c>
      <c r="AS241" s="7" t="n">
        <v>8</v>
      </c>
      <c r="AT241" s="4" t="n">
        <f aca="false">IF(OR(AR241="",AS241=""),"",IFERROR(IF($K241="%",AS241-AR241,AS241/AR241-1),""))</f>
        <v>-0.2</v>
      </c>
      <c r="AU241" s="5" t="str">
        <f aca="false">IF(OR(AR241="",AS241=""),"",IF($F241="Maior Melhor",IF(AS241&gt;=AR241,"Sim","Não"),IF(AS241&lt;=AR241,"Sim","Não")))</f>
        <v>Sim</v>
      </c>
      <c r="AV241" s="7" t="n">
        <v>1</v>
      </c>
      <c r="AW241" s="7" t="n">
        <v>0</v>
      </c>
      <c r="AX241" s="4" t="n">
        <f aca="false">IF(OR(AV241="",AW241=""),"",IFERROR(IF($K241="%",AW241-AV241,AW241/AV241-1),""))</f>
        <v>-1</v>
      </c>
      <c r="AY241" s="5" t="str">
        <f aca="false">IF(OR(AV241="",AW241=""),"",IF($F241="Maior Melhor",IF(AW241&gt;=AV241,"Sim","Não"),IF(AW241&lt;=AV241,"Sim","Não")))</f>
        <v>Sim</v>
      </c>
      <c r="AZ241" s="7" t="n">
        <v>6</v>
      </c>
      <c r="BA241" s="7" t="n">
        <v>3</v>
      </c>
      <c r="BB241" s="4" t="n">
        <f aca="false">IF(OR(AZ241="",BA241=""),"",IFERROR(IF($K241="%",BA241-AZ241,BA241/AZ241-1),""))</f>
        <v>-0.5</v>
      </c>
      <c r="BC241" s="5" t="str">
        <f aca="false">IF(OR(AZ241="",BA241=""),"",IF($F241="Maior Melhor",IF(BA241&gt;=AZ241,"Sim","Não"),IF(BA241&lt;=AZ241,"Sim","Não")))</f>
        <v>Sim</v>
      </c>
      <c r="BD241" s="7" t="n">
        <v>1</v>
      </c>
      <c r="BE241" s="7" t="n">
        <v>0</v>
      </c>
      <c r="BF241" s="4" t="n">
        <f aca="false">IF(OR(BD241="",BE241=""),"",IFERROR(IF($K241="%",BE241-BD241,BE241/BD241-1),""))</f>
        <v>-1</v>
      </c>
      <c r="BG241" s="5" t="str">
        <f aca="false">IF(OR(BD241="",BE241=""),"",IF($F241="Maior Melhor",IF(BE241&gt;=BD241,"Sim","Não"),IF(BE241&lt;=BD241,"Sim","Não")))</f>
        <v>Sim</v>
      </c>
      <c r="BH241" s="7" t="n">
        <v>7</v>
      </c>
      <c r="BI241" s="7" t="n">
        <v>3</v>
      </c>
      <c r="BJ241" s="4" t="n">
        <f aca="false">IF(OR(BH241="",BI241=""),"",IFERROR(IF($K241="%",BI241-BH241,BI241/BH241-1),""))</f>
        <v>-0.571428571428571</v>
      </c>
      <c r="BK241" s="5" t="str">
        <f aca="false">IF(OR(BH241="",BI241=""),"",IF($F241="Maior Melhor",IF(BI241&gt;=BH241,"Sim","Não"),IF(BI241&lt;=BH241,"Sim","Não")))</f>
        <v>Sim</v>
      </c>
      <c r="BL241" s="8"/>
      <c r="BM241" s="8"/>
      <c r="BN241" s="4" t="str">
        <f aca="false">IF(OR(BL241="",BM241=""),"",IFERROR(IF($K241="%",BM241-BL241,BM241/BL241-1),""))</f>
        <v/>
      </c>
      <c r="BO241" s="5" t="str">
        <f aca="false">IF(OR(BL241="",BM241=""),"",IF($F241="Maior Melhor",IF(BM241&gt;=BL241,"Sim","Não"),IF(BM241&lt;=BL241,"Sim","Não")))</f>
        <v/>
      </c>
      <c r="BP241" s="8"/>
      <c r="BQ241" s="8"/>
      <c r="BR241" s="4" t="str">
        <f aca="false">IF(OR(BP241="",BQ241=""),"",IFERROR(IF($K241="%",BQ241-BP241,BQ241/BP241-1),""))</f>
        <v/>
      </c>
      <c r="BS241" s="5" t="str">
        <f aca="false">IF(OR(BP241="",BQ241=""),"",IF($F241="Maior Melhor",IF(BQ241&gt;=BP241,"Sim","Não"),IF(BQ241&lt;=BP241,"Sim","Não")))</f>
        <v/>
      </c>
      <c r="BT241" s="8"/>
      <c r="BU241" s="8"/>
      <c r="BV241" s="4" t="str">
        <f aca="false">IF(OR(BT241="",BU241=""),"",IFERROR(IF($K241="%",BU241-BT241,BU241/BT241-1),""))</f>
        <v/>
      </c>
      <c r="BW241" s="5" t="str">
        <f aca="false">IF(OR(BT241="",BU241=""),"",IF($F241="Maior Melhor",IF(BU241&gt;=BT241,"Sim","Não"),IF(BU241&lt;=BT241,"Sim","Não")))</f>
        <v/>
      </c>
      <c r="BX241" s="8"/>
      <c r="BY241" s="8"/>
      <c r="BZ241" s="4" t="str">
        <f aca="false">IF(OR(BX241="",BY241=""),"",IFERROR(IF($K241="%",BY241-BX241,BY241/BX241-1),""))</f>
        <v/>
      </c>
      <c r="CA241" s="5" t="str">
        <f aca="false">IF(OR(BX241="",BY241=""),"",IF($F241="Maior Melhor",IF(BY241&gt;=BX241,"Sim","Não"),IF(BY241&lt;=BX241,"Sim","Não")))</f>
        <v/>
      </c>
      <c r="CB241" s="8"/>
      <c r="CC241" s="8"/>
      <c r="CD241" s="4" t="str">
        <f aca="false">IF(OR(CB241="",CC241=""),"",IFERROR(IF($K241="%",CC241-CB241,CC241/CB241-1),""))</f>
        <v/>
      </c>
      <c r="CE241" s="5" t="str">
        <f aca="false">IF(OR(CB241="",CC241=""),"",IF($F241="Maior Melhor",IF(CC241&gt;=CB241,"Sim","Não"),IF(CC241&lt;=CB241,"Sim","Não")))</f>
        <v/>
      </c>
      <c r="CF241" s="8"/>
      <c r="CG241" s="8"/>
      <c r="CH241" s="4" t="str">
        <f aca="false">IF(OR(CF241="",CG241=""),"",IFERROR(IF($K241="%",CG241-CF241,CG241/CF241-1),""))</f>
        <v/>
      </c>
      <c r="CI241" s="5" t="str">
        <f aca="false">IF(OR(CF241="",CG241=""),"",IF($F241="Maior Melhor",IF(CG241&gt;=CF241,"Sim","Não"),IF(CG241&lt;=CF241,"Sim","Não")))</f>
        <v/>
      </c>
      <c r="CJ241" s="8"/>
      <c r="CK241" s="8"/>
      <c r="CL241" s="4" t="str">
        <f aca="false">IF(OR(CJ241="",CK241=""),"",IFERROR(IF($K241="%",CK241-CJ241,CK241/CJ241-1),""))</f>
        <v/>
      </c>
      <c r="CM241" s="5" t="str">
        <f aca="false">IF(OR(CJ241="",CK241=""),"",IF($F241="Maior Melhor",IF(CK241&gt;=CJ241,"Sim","Não"),IF(CK241&lt;=CJ241,"Sim","Não")))</f>
        <v/>
      </c>
      <c r="CN241" s="8"/>
      <c r="CO241" s="8"/>
      <c r="CP241" s="4" t="str">
        <f aca="false">IF(OR(CN241="",CO241=""),"",IFERROR(IF($K241="%",CO241-CN241,CO241/CN241-1),""))</f>
        <v/>
      </c>
      <c r="CQ241" s="5" t="str">
        <f aca="false">IF(OR(CN241="",CO241=""),"",IF($F241="Maior Melhor",IF(CO241&gt;=CN241,"Sim","Não"),IF(CO241&lt;=CN241,"Sim","Não")))</f>
        <v/>
      </c>
      <c r="CR241" s="2" t="s">
        <v>154</v>
      </c>
    </row>
    <row r="242" customFormat="false" ht="15" hidden="false" customHeight="false" outlineLevel="0" collapsed="false">
      <c r="A242" s="2" t="s">
        <v>161</v>
      </c>
      <c r="B242" s="2" t="s">
        <v>108</v>
      </c>
      <c r="C242" s="2" t="s">
        <v>115</v>
      </c>
      <c r="D242" s="2" t="s">
        <v>183</v>
      </c>
      <c r="E242" s="2" t="str">
        <f aca="false">C242&amp;D242</f>
        <v>UTD BRUMADOMídias Negativas</v>
      </c>
      <c r="F242" s="2" t="s">
        <v>167</v>
      </c>
      <c r="G242" s="2" t="s">
        <v>184</v>
      </c>
      <c r="H242" s="2" t="s">
        <v>102</v>
      </c>
      <c r="I242" s="2" t="s">
        <v>169</v>
      </c>
      <c r="J242" s="2" t="n">
        <v>2</v>
      </c>
      <c r="K242" s="2" t="s">
        <v>147</v>
      </c>
      <c r="L242" s="7" t="n">
        <v>1</v>
      </c>
      <c r="M242" s="7" t="n">
        <v>2</v>
      </c>
      <c r="N242" s="4" t="n">
        <f aca="false">IF(OR(L242="",M242=""),"",IFERROR(IF($K242="%",M242-L242,M242/L242-1),""))</f>
        <v>1</v>
      </c>
      <c r="O242" s="5" t="str">
        <f aca="false">IF(OR(L242="",M242=""),"",IF($F242="Maior Melhor",IF(M242&gt;=L242,"Sim","Não"),IF(M242&lt;=L242,"Sim","Não")))</f>
        <v>Não</v>
      </c>
      <c r="P242" s="7" t="n">
        <v>1</v>
      </c>
      <c r="Q242" s="7" t="n">
        <v>0</v>
      </c>
      <c r="R242" s="4" t="n">
        <f aca="false">IF(OR(P242="",Q242=""),"",IFERROR(IF($K242="%",Q242-P242,Q242/P242-1),""))</f>
        <v>-1</v>
      </c>
      <c r="S242" s="5" t="str">
        <f aca="false">IF(OR(P242="",Q242=""),"",IF($F242="Maior Melhor",IF(Q242&gt;=P242,"Sim","Não"),IF(Q242&lt;=P242,"Sim","Não")))</f>
        <v>Sim</v>
      </c>
      <c r="T242" s="7" t="n">
        <v>1</v>
      </c>
      <c r="U242" s="7" t="n">
        <v>1</v>
      </c>
      <c r="V242" s="4" t="n">
        <f aca="false">IF(OR(T242="",U242=""),"",IFERROR(IF($K242="%",U242-T242,U242/T242-1),""))</f>
        <v>0</v>
      </c>
      <c r="W242" s="5" t="str">
        <f aca="false">IF(OR(T242="",U242=""),"",IF($F242="Maior Melhor",IF(U242&gt;=T242,"Sim","Não"),IF(U242&lt;=T242,"Sim","Não")))</f>
        <v>Sim</v>
      </c>
      <c r="X242" s="7" t="n">
        <v>0</v>
      </c>
      <c r="Y242" s="7" t="n">
        <v>0</v>
      </c>
      <c r="Z242" s="4" t="str">
        <f aca="false">IF(OR(X242="",Y242=""),"",IFERROR(IF($K242="%",Y242-X242,Y242/X242-1),""))</f>
        <v/>
      </c>
      <c r="AA242" s="5" t="str">
        <f aca="false">IF(OR(X242="",Y242=""),"",IF($F242="Maior Melhor",IF(Y242&gt;=X242,"Sim","Não"),IF(Y242&lt;=X242,"Sim","Não")))</f>
        <v>Sim</v>
      </c>
      <c r="AB242" s="7" t="n">
        <v>3</v>
      </c>
      <c r="AC242" s="7" t="n">
        <v>3</v>
      </c>
      <c r="AD242" s="4" t="n">
        <f aca="false">IF(OR(AB242="",AC242=""),"",IFERROR(IF($K242="%",AC242-AB242,AC242/AB242-1),""))</f>
        <v>0</v>
      </c>
      <c r="AE242" s="5" t="str">
        <f aca="false">IF(OR(AB242="",AC242=""),"",IF($F242="Maior Melhor",IF(AC242&gt;=AB242,"Sim","Não"),IF(AC242&lt;=AB242,"Sim","Não")))</f>
        <v>Sim</v>
      </c>
      <c r="AF242" s="7" t="n">
        <v>1</v>
      </c>
      <c r="AG242" s="7" t="n">
        <v>0</v>
      </c>
      <c r="AH242" s="4" t="n">
        <f aca="false">IF(OR(AF242="",AG242=""),"",IFERROR(IF($K242="%",AG242-AF242,AG242/AF242-1),""))</f>
        <v>-1</v>
      </c>
      <c r="AI242" s="5" t="str">
        <f aca="false">IF(OR(AF242="",AG242=""),"",IF($F242="Maior Melhor",IF(AG242&gt;=AF242,"Sim","Não"),IF(AG242&lt;=AF242,"Sim","Não")))</f>
        <v>Sim</v>
      </c>
      <c r="AJ242" s="7" t="n">
        <v>4</v>
      </c>
      <c r="AK242" s="7" t="n">
        <v>3</v>
      </c>
      <c r="AL242" s="4" t="n">
        <f aca="false">IF(OR(AJ242="",AK242=""),"",IFERROR(IF($K242="%",AK242-AJ242,AK242/AJ242-1),""))</f>
        <v>-0.25</v>
      </c>
      <c r="AM242" s="5" t="str">
        <f aca="false">IF(OR(AJ242="",AK242=""),"",IF($F242="Maior Melhor",IF(AK242&gt;=AJ242,"Sim","Não"),IF(AK242&lt;=AJ242,"Sim","Não")))</f>
        <v>Sim</v>
      </c>
      <c r="AN242" s="7" t="n">
        <v>1</v>
      </c>
      <c r="AO242" s="7" t="n">
        <v>1</v>
      </c>
      <c r="AP242" s="4" t="n">
        <f aca="false">IF(OR(AN242="",AO242=""),"",IFERROR(IF($K242="%",AO242-AN242,AO242/AN242-1),""))</f>
        <v>0</v>
      </c>
      <c r="AQ242" s="5" t="str">
        <f aca="false">IF(OR(AN242="",AO242=""),"",IF($F242="Maior Melhor",IF(AO242&gt;=AN242,"Sim","Não"),IF(AO242&lt;=AN242,"Sim","Não")))</f>
        <v>Sim</v>
      </c>
      <c r="AR242" s="7" t="n">
        <v>5</v>
      </c>
      <c r="AS242" s="7" t="n">
        <v>4</v>
      </c>
      <c r="AT242" s="4" t="n">
        <f aca="false">IF(OR(AR242="",AS242=""),"",IFERROR(IF($K242="%",AS242-AR242,AS242/AR242-1),""))</f>
        <v>-0.2</v>
      </c>
      <c r="AU242" s="5" t="str">
        <f aca="false">IF(OR(AR242="",AS242=""),"",IF($F242="Maior Melhor",IF(AS242&gt;=AR242,"Sim","Não"),IF(AS242&lt;=AR242,"Sim","Não")))</f>
        <v>Sim</v>
      </c>
      <c r="AV242" s="7" t="n">
        <v>1</v>
      </c>
      <c r="AW242" s="7" t="n">
        <v>3</v>
      </c>
      <c r="AX242" s="4" t="n">
        <f aca="false">IF(OR(AV242="",AW242=""),"",IFERROR(IF($K242="%",AW242-AV242,AW242/AV242-1),""))</f>
        <v>2</v>
      </c>
      <c r="AY242" s="5" t="str">
        <f aca="false">IF(OR(AV242="",AW242=""),"",IF($F242="Maior Melhor",IF(AW242&gt;=AV242,"Sim","Não"),IF(AW242&lt;=AV242,"Sim","Não")))</f>
        <v>Não</v>
      </c>
      <c r="AZ242" s="7" t="n">
        <v>6</v>
      </c>
      <c r="BA242" s="7" t="n">
        <v>7</v>
      </c>
      <c r="BB242" s="4" t="n">
        <f aca="false">IF(OR(AZ242="",BA242=""),"",IFERROR(IF($K242="%",BA242-AZ242,BA242/AZ242-1),""))</f>
        <v>0.166666666666667</v>
      </c>
      <c r="BC242" s="5" t="str">
        <f aca="false">IF(OR(AZ242="",BA242=""),"",IF($F242="Maior Melhor",IF(BA242&gt;=AZ242,"Sim","Não"),IF(BA242&lt;=AZ242,"Sim","Não")))</f>
        <v>Não</v>
      </c>
      <c r="BD242" s="7" t="n">
        <v>0</v>
      </c>
      <c r="BE242" s="7" t="n">
        <v>0</v>
      </c>
      <c r="BF242" s="4" t="str">
        <f aca="false">IF(OR(BD242="",BE242=""),"",IFERROR(IF($K242="%",BE242-BD242,BE242/BD242-1),""))</f>
        <v/>
      </c>
      <c r="BG242" s="5" t="str">
        <f aca="false">IF(OR(BD242="",BE242=""),"",IF($F242="Maior Melhor",IF(BE242&gt;=BD242,"Sim","Não"),IF(BE242&lt;=BD242,"Sim","Não")))</f>
        <v>Sim</v>
      </c>
      <c r="BH242" s="7" t="n">
        <v>6</v>
      </c>
      <c r="BI242" s="7" t="n">
        <v>7</v>
      </c>
      <c r="BJ242" s="4" t="n">
        <f aca="false">IF(OR(BH242="",BI242=""),"",IFERROR(IF($K242="%",BI242-BH242,BI242/BH242-1),""))</f>
        <v>0.166666666666667</v>
      </c>
      <c r="BK242" s="5" t="str">
        <f aca="false">IF(OR(BH242="",BI242=""),"",IF($F242="Maior Melhor",IF(BI242&gt;=BH242,"Sim","Não"),IF(BI242&lt;=BH242,"Sim","Não")))</f>
        <v>Não</v>
      </c>
      <c r="BL242" s="8"/>
      <c r="BM242" s="8"/>
      <c r="BN242" s="4" t="str">
        <f aca="false">IF(OR(BL242="",BM242=""),"",IFERROR(IF($K242="%",BM242-BL242,BM242/BL242-1),""))</f>
        <v/>
      </c>
      <c r="BO242" s="5" t="str">
        <f aca="false">IF(OR(BL242="",BM242=""),"",IF($F242="Maior Melhor",IF(BM242&gt;=BL242,"Sim","Não"),IF(BM242&lt;=BL242,"Sim","Não")))</f>
        <v/>
      </c>
      <c r="BP242" s="8"/>
      <c r="BQ242" s="8"/>
      <c r="BR242" s="4" t="str">
        <f aca="false">IF(OR(BP242="",BQ242=""),"",IFERROR(IF($K242="%",BQ242-BP242,BQ242/BP242-1),""))</f>
        <v/>
      </c>
      <c r="BS242" s="5" t="str">
        <f aca="false">IF(OR(BP242="",BQ242=""),"",IF($F242="Maior Melhor",IF(BQ242&gt;=BP242,"Sim","Não"),IF(BQ242&lt;=BP242,"Sim","Não")))</f>
        <v/>
      </c>
      <c r="BT242" s="8"/>
      <c r="BU242" s="8"/>
      <c r="BV242" s="4" t="str">
        <f aca="false">IF(OR(BT242="",BU242=""),"",IFERROR(IF($K242="%",BU242-BT242,BU242/BT242-1),""))</f>
        <v/>
      </c>
      <c r="BW242" s="5" t="str">
        <f aca="false">IF(OR(BT242="",BU242=""),"",IF($F242="Maior Melhor",IF(BU242&gt;=BT242,"Sim","Não"),IF(BU242&lt;=BT242,"Sim","Não")))</f>
        <v/>
      </c>
      <c r="BX242" s="8"/>
      <c r="BY242" s="8"/>
      <c r="BZ242" s="4" t="str">
        <f aca="false">IF(OR(BX242="",BY242=""),"",IFERROR(IF($K242="%",BY242-BX242,BY242/BX242-1),""))</f>
        <v/>
      </c>
      <c r="CA242" s="5" t="str">
        <f aca="false">IF(OR(BX242="",BY242=""),"",IF($F242="Maior Melhor",IF(BY242&gt;=BX242,"Sim","Não"),IF(BY242&lt;=BX242,"Sim","Não")))</f>
        <v/>
      </c>
      <c r="CB242" s="8"/>
      <c r="CC242" s="8"/>
      <c r="CD242" s="4" t="str">
        <f aca="false">IF(OR(CB242="",CC242=""),"",IFERROR(IF($K242="%",CC242-CB242,CC242/CB242-1),""))</f>
        <v/>
      </c>
      <c r="CE242" s="5" t="str">
        <f aca="false">IF(OR(CB242="",CC242=""),"",IF($F242="Maior Melhor",IF(CC242&gt;=CB242,"Sim","Não"),IF(CC242&lt;=CB242,"Sim","Não")))</f>
        <v/>
      </c>
      <c r="CF242" s="8"/>
      <c r="CG242" s="8"/>
      <c r="CH242" s="4" t="str">
        <f aca="false">IF(OR(CF242="",CG242=""),"",IFERROR(IF($K242="%",CG242-CF242,CG242/CF242-1),""))</f>
        <v/>
      </c>
      <c r="CI242" s="5" t="str">
        <f aca="false">IF(OR(CF242="",CG242=""),"",IF($F242="Maior Melhor",IF(CG242&gt;=CF242,"Sim","Não"),IF(CG242&lt;=CF242,"Sim","Não")))</f>
        <v/>
      </c>
      <c r="CJ242" s="8"/>
      <c r="CK242" s="8"/>
      <c r="CL242" s="4" t="str">
        <f aca="false">IF(OR(CJ242="",CK242=""),"",IFERROR(IF($K242="%",CK242-CJ242,CK242/CJ242-1),""))</f>
        <v/>
      </c>
      <c r="CM242" s="5" t="str">
        <f aca="false">IF(OR(CJ242="",CK242=""),"",IF($F242="Maior Melhor",IF(CK242&gt;=CJ242,"Sim","Não"),IF(CK242&lt;=CJ242,"Sim","Não")))</f>
        <v/>
      </c>
      <c r="CN242" s="8"/>
      <c r="CO242" s="8"/>
      <c r="CP242" s="4" t="str">
        <f aca="false">IF(OR(CN242="",CO242=""),"",IFERROR(IF($K242="%",CO242-CN242,CO242/CN242-1),""))</f>
        <v/>
      </c>
      <c r="CQ242" s="5" t="str">
        <f aca="false">IF(OR(CN242="",CO242=""),"",IF($F242="Maior Melhor",IF(CO242&gt;=CN242,"Sim","Não"),IF(CO242&lt;=CN242,"Sim","Não")))</f>
        <v/>
      </c>
      <c r="CR242" s="2" t="s">
        <v>105</v>
      </c>
    </row>
    <row r="243" customFormat="false" ht="15" hidden="false" customHeight="false" outlineLevel="0" collapsed="false">
      <c r="A243" s="2" t="s">
        <v>161</v>
      </c>
      <c r="B243" s="2" t="s">
        <v>108</v>
      </c>
      <c r="C243" s="2" t="s">
        <v>117</v>
      </c>
      <c r="D243" s="2" t="s">
        <v>183</v>
      </c>
      <c r="E243" s="2" t="str">
        <f aca="false">C243&amp;D243</f>
        <v>UTD GUANAMBIMídias Negativas</v>
      </c>
      <c r="F243" s="2" t="s">
        <v>167</v>
      </c>
      <c r="G243" s="2" t="s">
        <v>184</v>
      </c>
      <c r="H243" s="2" t="s">
        <v>102</v>
      </c>
      <c r="I243" s="2" t="s">
        <v>169</v>
      </c>
      <c r="J243" s="2" t="n">
        <v>2</v>
      </c>
      <c r="K243" s="2" t="s">
        <v>147</v>
      </c>
      <c r="L243" s="7" t="n">
        <v>1</v>
      </c>
      <c r="M243" s="7" t="n">
        <v>4</v>
      </c>
      <c r="N243" s="4" t="n">
        <f aca="false">IF(OR(L243="",M243=""),"",IFERROR(IF($K243="%",M243-L243,M243/L243-1),""))</f>
        <v>3</v>
      </c>
      <c r="O243" s="5" t="str">
        <f aca="false">IF(OR(L243="",M243=""),"",IF($F243="Maior Melhor",IF(M243&gt;=L243,"Sim","Não"),IF(M243&lt;=L243,"Sim","Não")))</f>
        <v>Não</v>
      </c>
      <c r="P243" s="7" t="n">
        <v>2</v>
      </c>
      <c r="Q243" s="7" t="n">
        <v>3</v>
      </c>
      <c r="R243" s="4" t="n">
        <f aca="false">IF(OR(P243="",Q243=""),"",IFERROR(IF($K243="%",Q243-P243,Q243/P243-1),""))</f>
        <v>0.5</v>
      </c>
      <c r="S243" s="5" t="str">
        <f aca="false">IF(OR(P243="",Q243=""),"",IF($F243="Maior Melhor",IF(Q243&gt;=P243,"Sim","Não"),IF(Q243&lt;=P243,"Sim","Não")))</f>
        <v>Não</v>
      </c>
      <c r="T243" s="7" t="n">
        <v>1</v>
      </c>
      <c r="U243" s="7" t="n">
        <v>1</v>
      </c>
      <c r="V243" s="4" t="n">
        <f aca="false">IF(OR(T243="",U243=""),"",IFERROR(IF($K243="%",U243-T243,U243/T243-1),""))</f>
        <v>0</v>
      </c>
      <c r="W243" s="5" t="str">
        <f aca="false">IF(OR(T243="",U243=""),"",IF($F243="Maior Melhor",IF(U243&gt;=T243,"Sim","Não"),IF(U243&lt;=T243,"Sim","Não")))</f>
        <v>Sim</v>
      </c>
      <c r="X243" s="7" t="n">
        <v>1</v>
      </c>
      <c r="Y243" s="7" t="n">
        <v>1</v>
      </c>
      <c r="Z243" s="4" t="n">
        <f aca="false">IF(OR(X243="",Y243=""),"",IFERROR(IF($K243="%",Y243-X243,Y243/X243-1),""))</f>
        <v>0</v>
      </c>
      <c r="AA243" s="5" t="str">
        <f aca="false">IF(OR(X243="",Y243=""),"",IF($F243="Maior Melhor",IF(Y243&gt;=X243,"Sim","Não"),IF(Y243&lt;=X243,"Sim","Não")))</f>
        <v>Sim</v>
      </c>
      <c r="AB243" s="7" t="n">
        <v>5</v>
      </c>
      <c r="AC243" s="7" t="n">
        <v>9</v>
      </c>
      <c r="AD243" s="4" t="n">
        <f aca="false">IF(OR(AB243="",AC243=""),"",IFERROR(IF($K243="%",AC243-AB243,AC243/AB243-1),""))</f>
        <v>0.8</v>
      </c>
      <c r="AE243" s="5" t="str">
        <f aca="false">IF(OR(AB243="",AC243=""),"",IF($F243="Maior Melhor",IF(AC243&gt;=AB243,"Sim","Não"),IF(AC243&lt;=AB243,"Sim","Não")))</f>
        <v>Não</v>
      </c>
      <c r="AF243" s="7" t="n">
        <v>1</v>
      </c>
      <c r="AG243" s="7" t="n">
        <v>1</v>
      </c>
      <c r="AH243" s="4" t="n">
        <f aca="false">IF(OR(AF243="",AG243=""),"",IFERROR(IF($K243="%",AG243-AF243,AG243/AF243-1),""))</f>
        <v>0</v>
      </c>
      <c r="AI243" s="5" t="str">
        <f aca="false">IF(OR(AF243="",AG243=""),"",IF($F243="Maior Melhor",IF(AG243&gt;=AF243,"Sim","Não"),IF(AG243&lt;=AF243,"Sim","Não")))</f>
        <v>Sim</v>
      </c>
      <c r="AJ243" s="7" t="n">
        <v>6</v>
      </c>
      <c r="AK243" s="7" t="n">
        <v>10</v>
      </c>
      <c r="AL243" s="4" t="n">
        <f aca="false">IF(OR(AJ243="",AK243=""),"",IFERROR(IF($K243="%",AK243-AJ243,AK243/AJ243-1),""))</f>
        <v>0.666666666666667</v>
      </c>
      <c r="AM243" s="5" t="str">
        <f aca="false">IF(OR(AJ243="",AK243=""),"",IF($F243="Maior Melhor",IF(AK243&gt;=AJ243,"Sim","Não"),IF(AK243&lt;=AJ243,"Sim","Não")))</f>
        <v>Não</v>
      </c>
      <c r="AN243" s="7" t="n">
        <v>1</v>
      </c>
      <c r="AO243" s="7" t="n">
        <v>0</v>
      </c>
      <c r="AP243" s="4" t="n">
        <f aca="false">IF(OR(AN243="",AO243=""),"",IFERROR(IF($K243="%",AO243-AN243,AO243/AN243-1),""))</f>
        <v>-1</v>
      </c>
      <c r="AQ243" s="5" t="str">
        <f aca="false">IF(OR(AN243="",AO243=""),"",IF($F243="Maior Melhor",IF(AO243&gt;=AN243,"Sim","Não"),IF(AO243&lt;=AN243,"Sim","Não")))</f>
        <v>Sim</v>
      </c>
      <c r="AR243" s="7" t="n">
        <v>7</v>
      </c>
      <c r="AS243" s="7" t="n">
        <v>10</v>
      </c>
      <c r="AT243" s="4" t="n">
        <f aca="false">IF(OR(AR243="",AS243=""),"",IFERROR(IF($K243="%",AS243-AR243,AS243/AR243-1),""))</f>
        <v>0.428571428571429</v>
      </c>
      <c r="AU243" s="5" t="str">
        <f aca="false">IF(OR(AR243="",AS243=""),"",IF($F243="Maior Melhor",IF(AS243&gt;=AR243,"Sim","Não"),IF(AS243&lt;=AR243,"Sim","Não")))</f>
        <v>Não</v>
      </c>
      <c r="AV243" s="7" t="n">
        <v>1</v>
      </c>
      <c r="AW243" s="7" t="n">
        <v>0</v>
      </c>
      <c r="AX243" s="4" t="n">
        <f aca="false">IF(OR(AV243="",AW243=""),"",IFERROR(IF($K243="%",AW243-AV243,AW243/AV243-1),""))</f>
        <v>-1</v>
      </c>
      <c r="AY243" s="5" t="str">
        <f aca="false">IF(OR(AV243="",AW243=""),"",IF($F243="Maior Melhor",IF(AW243&gt;=AV243,"Sim","Não"),IF(AW243&lt;=AV243,"Sim","Não")))</f>
        <v>Sim</v>
      </c>
      <c r="AZ243" s="7" t="n">
        <v>8</v>
      </c>
      <c r="BA243" s="7" t="n">
        <v>10</v>
      </c>
      <c r="BB243" s="4" t="n">
        <f aca="false">IF(OR(AZ243="",BA243=""),"",IFERROR(IF($K243="%",BA243-AZ243,BA243/AZ243-1),""))</f>
        <v>0.25</v>
      </c>
      <c r="BC243" s="5" t="str">
        <f aca="false">IF(OR(AZ243="",BA243=""),"",IF($F243="Maior Melhor",IF(BA243&gt;=AZ243,"Sim","Não"),IF(BA243&lt;=AZ243,"Sim","Não")))</f>
        <v>Não</v>
      </c>
      <c r="BD243" s="7" t="n">
        <v>1</v>
      </c>
      <c r="BE243" s="7" t="n">
        <v>0</v>
      </c>
      <c r="BF243" s="4" t="n">
        <f aca="false">IF(OR(BD243="",BE243=""),"",IFERROR(IF($K243="%",BE243-BD243,BE243/BD243-1),""))</f>
        <v>-1</v>
      </c>
      <c r="BG243" s="5" t="str">
        <f aca="false">IF(OR(BD243="",BE243=""),"",IF($F243="Maior Melhor",IF(BE243&gt;=BD243,"Sim","Não"),IF(BE243&lt;=BD243,"Sim","Não")))</f>
        <v>Sim</v>
      </c>
      <c r="BH243" s="7" t="n">
        <v>9</v>
      </c>
      <c r="BI243" s="7" t="n">
        <v>10</v>
      </c>
      <c r="BJ243" s="4" t="n">
        <f aca="false">IF(OR(BH243="",BI243=""),"",IFERROR(IF($K243="%",BI243-BH243,BI243/BH243-1),""))</f>
        <v>0.111111111111111</v>
      </c>
      <c r="BK243" s="5" t="str">
        <f aca="false">IF(OR(BH243="",BI243=""),"",IF($F243="Maior Melhor",IF(BI243&gt;=BH243,"Sim","Não"),IF(BI243&lt;=BH243,"Sim","Não")))</f>
        <v>Não</v>
      </c>
      <c r="BL243" s="8"/>
      <c r="BM243" s="8"/>
      <c r="BN243" s="4" t="str">
        <f aca="false">IF(OR(BL243="",BM243=""),"",IFERROR(IF($K243="%",BM243-BL243,BM243/BL243-1),""))</f>
        <v/>
      </c>
      <c r="BO243" s="5" t="str">
        <f aca="false">IF(OR(BL243="",BM243=""),"",IF($F243="Maior Melhor",IF(BM243&gt;=BL243,"Sim","Não"),IF(BM243&lt;=BL243,"Sim","Não")))</f>
        <v/>
      </c>
      <c r="BP243" s="8"/>
      <c r="BQ243" s="8"/>
      <c r="BR243" s="4" t="str">
        <f aca="false">IF(OR(BP243="",BQ243=""),"",IFERROR(IF($K243="%",BQ243-BP243,BQ243/BP243-1),""))</f>
        <v/>
      </c>
      <c r="BS243" s="5" t="str">
        <f aca="false">IF(OR(BP243="",BQ243=""),"",IF($F243="Maior Melhor",IF(BQ243&gt;=BP243,"Sim","Não"),IF(BQ243&lt;=BP243,"Sim","Não")))</f>
        <v/>
      </c>
      <c r="BT243" s="8"/>
      <c r="BU243" s="8"/>
      <c r="BV243" s="4" t="str">
        <f aca="false">IF(OR(BT243="",BU243=""),"",IFERROR(IF($K243="%",BU243-BT243,BU243/BT243-1),""))</f>
        <v/>
      </c>
      <c r="BW243" s="5" t="str">
        <f aca="false">IF(OR(BT243="",BU243=""),"",IF($F243="Maior Melhor",IF(BU243&gt;=BT243,"Sim","Não"),IF(BU243&lt;=BT243,"Sim","Não")))</f>
        <v/>
      </c>
      <c r="BX243" s="8"/>
      <c r="BY243" s="8"/>
      <c r="BZ243" s="4" t="str">
        <f aca="false">IF(OR(BX243="",BY243=""),"",IFERROR(IF($K243="%",BY243-BX243,BY243/BX243-1),""))</f>
        <v/>
      </c>
      <c r="CA243" s="5" t="str">
        <f aca="false">IF(OR(BX243="",BY243=""),"",IF($F243="Maior Melhor",IF(BY243&gt;=BX243,"Sim","Não"),IF(BY243&lt;=BX243,"Sim","Não")))</f>
        <v/>
      </c>
      <c r="CB243" s="8"/>
      <c r="CC243" s="8"/>
      <c r="CD243" s="4" t="str">
        <f aca="false">IF(OR(CB243="",CC243=""),"",IFERROR(IF($K243="%",CC243-CB243,CC243/CB243-1),""))</f>
        <v/>
      </c>
      <c r="CE243" s="5" t="str">
        <f aca="false">IF(OR(CB243="",CC243=""),"",IF($F243="Maior Melhor",IF(CC243&gt;=CB243,"Sim","Não"),IF(CC243&lt;=CB243,"Sim","Não")))</f>
        <v/>
      </c>
      <c r="CF243" s="8"/>
      <c r="CG243" s="8"/>
      <c r="CH243" s="4" t="str">
        <f aca="false">IF(OR(CF243="",CG243=""),"",IFERROR(IF($K243="%",CG243-CF243,CG243/CF243-1),""))</f>
        <v/>
      </c>
      <c r="CI243" s="5" t="str">
        <f aca="false">IF(OR(CF243="",CG243=""),"",IF($F243="Maior Melhor",IF(CG243&gt;=CF243,"Sim","Não"),IF(CG243&lt;=CF243,"Sim","Não")))</f>
        <v/>
      </c>
      <c r="CJ243" s="8"/>
      <c r="CK243" s="8"/>
      <c r="CL243" s="4" t="str">
        <f aca="false">IF(OR(CJ243="",CK243=""),"",IFERROR(IF($K243="%",CK243-CJ243,CK243/CJ243-1),""))</f>
        <v/>
      </c>
      <c r="CM243" s="5" t="str">
        <f aca="false">IF(OR(CJ243="",CK243=""),"",IF($F243="Maior Melhor",IF(CK243&gt;=CJ243,"Sim","Não"),IF(CK243&lt;=CJ243,"Sim","Não")))</f>
        <v/>
      </c>
      <c r="CN243" s="8"/>
      <c r="CO243" s="8"/>
      <c r="CP243" s="4" t="str">
        <f aca="false">IF(OR(CN243="",CO243=""),"",IFERROR(IF($K243="%",CO243-CN243,CO243/CN243-1),""))</f>
        <v/>
      </c>
      <c r="CQ243" s="5" t="str">
        <f aca="false">IF(OR(CN243="",CO243=""),"",IF($F243="Maior Melhor",IF(CO243&gt;=CN243,"Sim","Não"),IF(CO243&lt;=CN243,"Sim","Não")))</f>
        <v/>
      </c>
      <c r="CR243" s="2" t="s">
        <v>105</v>
      </c>
    </row>
    <row r="244" customFormat="false" ht="15" hidden="false" customHeight="false" outlineLevel="0" collapsed="false">
      <c r="A244" s="2" t="s">
        <v>161</v>
      </c>
      <c r="B244" s="2" t="s">
        <v>106</v>
      </c>
      <c r="C244" s="2" t="s">
        <v>118</v>
      </c>
      <c r="D244" s="2" t="s">
        <v>183</v>
      </c>
      <c r="E244" s="2" t="str">
        <f aca="false">C244&amp;D244</f>
        <v>UTD IBOTIRAMAMídias Negativas</v>
      </c>
      <c r="F244" s="2" t="s">
        <v>167</v>
      </c>
      <c r="G244" s="2" t="s">
        <v>184</v>
      </c>
      <c r="H244" s="2" t="s">
        <v>119</v>
      </c>
      <c r="I244" s="2" t="s">
        <v>169</v>
      </c>
      <c r="J244" s="2" t="n">
        <v>2</v>
      </c>
      <c r="K244" s="2" t="s">
        <v>147</v>
      </c>
      <c r="L244" s="7" t="n">
        <v>1</v>
      </c>
      <c r="M244" s="7" t="n">
        <v>0</v>
      </c>
      <c r="N244" s="4" t="n">
        <f aca="false">IF(OR(L244="",M244=""),"",IFERROR(IF($K244="%",M244-L244,M244/L244-1),""))</f>
        <v>-1</v>
      </c>
      <c r="O244" s="5" t="str">
        <f aca="false">IF(OR(L244="",M244=""),"",IF($F244="Maior Melhor",IF(M244&gt;=L244,"Sim","Não"),IF(M244&lt;=L244,"Sim","Não")))</f>
        <v>Sim</v>
      </c>
      <c r="P244" s="7" t="n">
        <v>1</v>
      </c>
      <c r="Q244" s="7" t="n">
        <v>0</v>
      </c>
      <c r="R244" s="4" t="n">
        <f aca="false">IF(OR(P244="",Q244=""),"",IFERROR(IF($K244="%",Q244-P244,Q244/P244-1),""))</f>
        <v>-1</v>
      </c>
      <c r="S244" s="5" t="str">
        <f aca="false">IF(OR(P244="",Q244=""),"",IF($F244="Maior Melhor",IF(Q244&gt;=P244,"Sim","Não"),IF(Q244&lt;=P244,"Sim","Não")))</f>
        <v>Sim</v>
      </c>
      <c r="T244" s="7" t="n">
        <v>0</v>
      </c>
      <c r="U244" s="7" t="n">
        <v>0</v>
      </c>
      <c r="V244" s="4" t="str">
        <f aca="false">IF(OR(T244="",U244=""),"",IFERROR(IF($K244="%",U244-T244,U244/T244-1),""))</f>
        <v/>
      </c>
      <c r="W244" s="5" t="str">
        <f aca="false">IF(OR(T244="",U244=""),"",IF($F244="Maior Melhor",IF(U244&gt;=T244,"Sim","Não"),IF(U244&lt;=T244,"Sim","Não")))</f>
        <v>Sim</v>
      </c>
      <c r="X244" s="7" t="n">
        <v>0</v>
      </c>
      <c r="Y244" s="7" t="n">
        <v>0</v>
      </c>
      <c r="Z244" s="4" t="str">
        <f aca="false">IF(OR(X244="",Y244=""),"",IFERROR(IF($K244="%",Y244-X244,Y244/X244-1),""))</f>
        <v/>
      </c>
      <c r="AA244" s="5" t="str">
        <f aca="false">IF(OR(X244="",Y244=""),"",IF($F244="Maior Melhor",IF(Y244&gt;=X244,"Sim","Não"),IF(Y244&lt;=X244,"Sim","Não")))</f>
        <v>Sim</v>
      </c>
      <c r="AB244" s="7" t="n">
        <v>2</v>
      </c>
      <c r="AC244" s="7" t="n">
        <v>0</v>
      </c>
      <c r="AD244" s="4" t="n">
        <f aca="false">IF(OR(AB244="",AC244=""),"",IFERROR(IF($K244="%",AC244-AB244,AC244/AB244-1),""))</f>
        <v>-1</v>
      </c>
      <c r="AE244" s="5" t="str">
        <f aca="false">IF(OR(AB244="",AC244=""),"",IF($F244="Maior Melhor",IF(AC244&gt;=AB244,"Sim","Não"),IF(AC244&lt;=AB244,"Sim","Não")))</f>
        <v>Sim</v>
      </c>
      <c r="AF244" s="7" t="n">
        <v>0.0001</v>
      </c>
      <c r="AG244" s="7" t="n">
        <v>0</v>
      </c>
      <c r="AH244" s="4" t="n">
        <f aca="false">IF(OR(AF244="",AG244=""),"",IFERROR(IF($K244="%",AG244-AF244,AG244/AF244-1),""))</f>
        <v>-1</v>
      </c>
      <c r="AI244" s="5" t="str">
        <f aca="false">IF(OR(AF244="",AG244=""),"",IF($F244="Maior Melhor",IF(AG244&gt;=AF244,"Sim","Não"),IF(AG244&lt;=AF244,"Sim","Não")))</f>
        <v>Sim</v>
      </c>
      <c r="AJ244" s="7" t="n">
        <v>2</v>
      </c>
      <c r="AK244" s="7" t="n">
        <v>0</v>
      </c>
      <c r="AL244" s="4" t="n">
        <f aca="false">IF(OR(AJ244="",AK244=""),"",IFERROR(IF($K244="%",AK244-AJ244,AK244/AJ244-1),""))</f>
        <v>-1</v>
      </c>
      <c r="AM244" s="5" t="str">
        <f aca="false">IF(OR(AJ244="",AK244=""),"",IF($F244="Maior Melhor",IF(AK244&gt;=AJ244,"Sim","Não"),IF(AK244&lt;=AJ244,"Sim","Não")))</f>
        <v>Sim</v>
      </c>
      <c r="AN244" s="7" t="n">
        <v>0</v>
      </c>
      <c r="AO244" s="7" t="n">
        <v>0</v>
      </c>
      <c r="AP244" s="4" t="str">
        <f aca="false">IF(OR(AN244="",AO244=""),"",IFERROR(IF($K244="%",AO244-AN244,AO244/AN244-1),""))</f>
        <v/>
      </c>
      <c r="AQ244" s="5" t="str">
        <f aca="false">IF(OR(AN244="",AO244=""),"",IF($F244="Maior Melhor",IF(AO244&gt;=AN244,"Sim","Não"),IF(AO244&lt;=AN244,"Sim","Não")))</f>
        <v>Sim</v>
      </c>
      <c r="AR244" s="7" t="n">
        <v>2</v>
      </c>
      <c r="AS244" s="7" t="n">
        <v>0</v>
      </c>
      <c r="AT244" s="4" t="n">
        <f aca="false">IF(OR(AR244="",AS244=""),"",IFERROR(IF($K244="%",AS244-AR244,AS244/AR244-1),""))</f>
        <v>-1</v>
      </c>
      <c r="AU244" s="5" t="str">
        <f aca="false">IF(OR(AR244="",AS244=""),"",IF($F244="Maior Melhor",IF(AS244&gt;=AR244,"Sim","Não"),IF(AS244&lt;=AR244,"Sim","Não")))</f>
        <v>Sim</v>
      </c>
      <c r="AV244" s="7" t="n">
        <v>0</v>
      </c>
      <c r="AW244" s="7" t="n">
        <v>0</v>
      </c>
      <c r="AX244" s="4" t="str">
        <f aca="false">IF(OR(AV244="",AW244=""),"",IFERROR(IF($K244="%",AW244-AV244,AW244/AV244-1),""))</f>
        <v/>
      </c>
      <c r="AY244" s="5" t="str">
        <f aca="false">IF(OR(AV244="",AW244=""),"",IF($F244="Maior Melhor",IF(AW244&gt;=AV244,"Sim","Não"),IF(AW244&lt;=AV244,"Sim","Não")))</f>
        <v>Sim</v>
      </c>
      <c r="AZ244" s="7" t="n">
        <v>3</v>
      </c>
      <c r="BA244" s="7" t="n">
        <v>0</v>
      </c>
      <c r="BB244" s="4" t="n">
        <f aca="false">IF(OR(AZ244="",BA244=""),"",IFERROR(IF($K244="%",BA244-AZ244,BA244/AZ244-1),""))</f>
        <v>-1</v>
      </c>
      <c r="BC244" s="5" t="str">
        <f aca="false">IF(OR(AZ244="",BA244=""),"",IF($F244="Maior Melhor",IF(BA244&gt;=AZ244,"Sim","Não"),IF(BA244&lt;=AZ244,"Sim","Não")))</f>
        <v>Sim</v>
      </c>
      <c r="BD244" s="7" t="n">
        <v>0</v>
      </c>
      <c r="BE244" s="7" t="n">
        <v>0</v>
      </c>
      <c r="BF244" s="4" t="str">
        <f aca="false">IF(OR(BD244="",BE244=""),"",IFERROR(IF($K244="%",BE244-BD244,BE244/BD244-1),""))</f>
        <v/>
      </c>
      <c r="BG244" s="5" t="str">
        <f aca="false">IF(OR(BD244="",BE244=""),"",IF($F244="Maior Melhor",IF(BE244&gt;=BD244,"Sim","Não"),IF(BE244&lt;=BD244,"Sim","Não")))</f>
        <v>Sim</v>
      </c>
      <c r="BH244" s="7" t="n">
        <v>4</v>
      </c>
      <c r="BI244" s="7" t="n">
        <v>0</v>
      </c>
      <c r="BJ244" s="4" t="n">
        <f aca="false">IF(OR(BH244="",BI244=""),"",IFERROR(IF($K244="%",BI244-BH244,BI244/BH244-1),""))</f>
        <v>-1</v>
      </c>
      <c r="BK244" s="5" t="str">
        <f aca="false">IF(OR(BH244="",BI244=""),"",IF($F244="Maior Melhor",IF(BI244&gt;=BH244,"Sim","Não"),IF(BI244&lt;=BH244,"Sim","Não")))</f>
        <v>Sim</v>
      </c>
      <c r="BL244" s="8"/>
      <c r="BM244" s="8"/>
      <c r="BN244" s="4" t="str">
        <f aca="false">IF(OR(BL244="",BM244=""),"",IFERROR(IF($K244="%",BM244-BL244,BM244/BL244-1),""))</f>
        <v/>
      </c>
      <c r="BO244" s="5" t="str">
        <f aca="false">IF(OR(BL244="",BM244=""),"",IF($F244="Maior Melhor",IF(BM244&gt;=BL244,"Sim","Não"),IF(BM244&lt;=BL244,"Sim","Não")))</f>
        <v/>
      </c>
      <c r="BP244" s="8"/>
      <c r="BQ244" s="8"/>
      <c r="BR244" s="4" t="str">
        <f aca="false">IF(OR(BP244="",BQ244=""),"",IFERROR(IF($K244="%",BQ244-BP244,BQ244/BP244-1),""))</f>
        <v/>
      </c>
      <c r="BS244" s="5" t="str">
        <f aca="false">IF(OR(BP244="",BQ244=""),"",IF($F244="Maior Melhor",IF(BQ244&gt;=BP244,"Sim","Não"),IF(BQ244&lt;=BP244,"Sim","Não")))</f>
        <v/>
      </c>
      <c r="BT244" s="8"/>
      <c r="BU244" s="8"/>
      <c r="BV244" s="4" t="str">
        <f aca="false">IF(OR(BT244="",BU244=""),"",IFERROR(IF($K244="%",BU244-BT244,BU244/BT244-1),""))</f>
        <v/>
      </c>
      <c r="BW244" s="5" t="str">
        <f aca="false">IF(OR(BT244="",BU244=""),"",IF($F244="Maior Melhor",IF(BU244&gt;=BT244,"Sim","Não"),IF(BU244&lt;=BT244,"Sim","Não")))</f>
        <v/>
      </c>
      <c r="BX244" s="8"/>
      <c r="BY244" s="8"/>
      <c r="BZ244" s="4" t="str">
        <f aca="false">IF(OR(BX244="",BY244=""),"",IFERROR(IF($K244="%",BY244-BX244,BY244/BX244-1),""))</f>
        <v/>
      </c>
      <c r="CA244" s="5" t="str">
        <f aca="false">IF(OR(BX244="",BY244=""),"",IF($F244="Maior Melhor",IF(BY244&gt;=BX244,"Sim","Não"),IF(BY244&lt;=BX244,"Sim","Não")))</f>
        <v/>
      </c>
      <c r="CB244" s="8"/>
      <c r="CC244" s="8"/>
      <c r="CD244" s="4" t="str">
        <f aca="false">IF(OR(CB244="",CC244=""),"",IFERROR(IF($K244="%",CC244-CB244,CC244/CB244-1),""))</f>
        <v/>
      </c>
      <c r="CE244" s="5" t="str">
        <f aca="false">IF(OR(CB244="",CC244=""),"",IF($F244="Maior Melhor",IF(CC244&gt;=CB244,"Sim","Não"),IF(CC244&lt;=CB244,"Sim","Não")))</f>
        <v/>
      </c>
      <c r="CF244" s="8"/>
      <c r="CG244" s="8"/>
      <c r="CH244" s="4" t="str">
        <f aca="false">IF(OR(CF244="",CG244=""),"",IFERROR(IF($K244="%",CG244-CF244,CG244/CF244-1),""))</f>
        <v/>
      </c>
      <c r="CI244" s="5" t="str">
        <f aca="false">IF(OR(CF244="",CG244=""),"",IF($F244="Maior Melhor",IF(CG244&gt;=CF244,"Sim","Não"),IF(CG244&lt;=CF244,"Sim","Não")))</f>
        <v/>
      </c>
      <c r="CJ244" s="8"/>
      <c r="CK244" s="8"/>
      <c r="CL244" s="4" t="str">
        <f aca="false">IF(OR(CJ244="",CK244=""),"",IFERROR(IF($K244="%",CK244-CJ244,CK244/CJ244-1),""))</f>
        <v/>
      </c>
      <c r="CM244" s="5" t="str">
        <f aca="false">IF(OR(CJ244="",CK244=""),"",IF($F244="Maior Melhor",IF(CK244&gt;=CJ244,"Sim","Não"),IF(CK244&lt;=CJ244,"Sim","Não")))</f>
        <v/>
      </c>
      <c r="CN244" s="8"/>
      <c r="CO244" s="8"/>
      <c r="CP244" s="4" t="str">
        <f aca="false">IF(OR(CN244="",CO244=""),"",IFERROR(IF($K244="%",CO244-CN244,CO244/CN244-1),""))</f>
        <v/>
      </c>
      <c r="CQ244" s="5" t="str">
        <f aca="false">IF(OR(CN244="",CO244=""),"",IF($F244="Maior Melhor",IF(CO244&gt;=CN244,"Sim","Não"),IF(CO244&lt;=CN244,"Sim","Não")))</f>
        <v/>
      </c>
      <c r="CR244" s="2" t="s">
        <v>178</v>
      </c>
    </row>
    <row r="245" customFormat="false" ht="15" hidden="false" customHeight="false" outlineLevel="0" collapsed="false">
      <c r="A245" s="2" t="s">
        <v>161</v>
      </c>
      <c r="B245" s="2" t="s">
        <v>97</v>
      </c>
      <c r="C245" s="2" t="s">
        <v>121</v>
      </c>
      <c r="D245" s="2" t="s">
        <v>183</v>
      </c>
      <c r="E245" s="2" t="str">
        <f aca="false">C245&amp;D245</f>
        <v>UTD IRECÊMídias Negativas</v>
      </c>
      <c r="F245" s="2" t="s">
        <v>167</v>
      </c>
      <c r="G245" s="2" t="s">
        <v>184</v>
      </c>
      <c r="H245" s="2" t="s">
        <v>102</v>
      </c>
      <c r="I245" s="2" t="s">
        <v>169</v>
      </c>
      <c r="J245" s="2" t="n">
        <v>2</v>
      </c>
      <c r="K245" s="2" t="s">
        <v>147</v>
      </c>
      <c r="L245" s="7" t="n">
        <v>14</v>
      </c>
      <c r="M245" s="7" t="n">
        <v>20</v>
      </c>
      <c r="N245" s="4" t="n">
        <f aca="false">IF(OR(L245="",M245=""),"",IFERROR(IF($K245="%",M245-L245,M245/L245-1),""))</f>
        <v>0.428571428571429</v>
      </c>
      <c r="O245" s="5" t="str">
        <f aca="false">IF(OR(L245="",M245=""),"",IF($F245="Maior Melhor",IF(M245&gt;=L245,"Sim","Não"),IF(M245&lt;=L245,"Sim","Não")))</f>
        <v>Não</v>
      </c>
      <c r="P245" s="7" t="n">
        <v>6</v>
      </c>
      <c r="Q245" s="7" t="n">
        <v>23</v>
      </c>
      <c r="R245" s="4" t="n">
        <f aca="false">IF(OR(P245="",Q245=""),"",IFERROR(IF($K245="%",Q245-P245,Q245/P245-1),""))</f>
        <v>2.83333333333333</v>
      </c>
      <c r="S245" s="5" t="str">
        <f aca="false">IF(OR(P245="",Q245=""),"",IF($F245="Maior Melhor",IF(Q245&gt;=P245,"Sim","Não"),IF(Q245&lt;=P245,"Sim","Não")))</f>
        <v>Não</v>
      </c>
      <c r="T245" s="7" t="n">
        <v>7</v>
      </c>
      <c r="U245" s="7" t="n">
        <v>39</v>
      </c>
      <c r="V245" s="4" t="n">
        <f aca="false">IF(OR(T245="",U245=""),"",IFERROR(IF($K245="%",U245-T245,U245/T245-1),""))</f>
        <v>4.57142857142857</v>
      </c>
      <c r="W245" s="5" t="str">
        <f aca="false">IF(OR(T245="",U245=""),"",IF($F245="Maior Melhor",IF(U245&gt;=T245,"Sim","Não"),IF(U245&lt;=T245,"Sim","Não")))</f>
        <v>Não</v>
      </c>
      <c r="X245" s="7" t="n">
        <v>5</v>
      </c>
      <c r="Y245" s="7" t="n">
        <v>3</v>
      </c>
      <c r="Z245" s="4" t="n">
        <f aca="false">IF(OR(X245="",Y245=""),"",IFERROR(IF($K245="%",Y245-X245,Y245/X245-1),""))</f>
        <v>-0.4</v>
      </c>
      <c r="AA245" s="5" t="str">
        <f aca="false">IF(OR(X245="",Y245=""),"",IF($F245="Maior Melhor",IF(Y245&gt;=X245,"Sim","Não"),IF(Y245&lt;=X245,"Sim","Não")))</f>
        <v>Sim</v>
      </c>
      <c r="AB245" s="7" t="n">
        <v>32</v>
      </c>
      <c r="AC245" s="7" t="n">
        <v>85</v>
      </c>
      <c r="AD245" s="4" t="n">
        <f aca="false">IF(OR(AB245="",AC245=""),"",IFERROR(IF($K245="%",AC245-AB245,AC245/AB245-1),""))</f>
        <v>1.65625</v>
      </c>
      <c r="AE245" s="5" t="str">
        <f aca="false">IF(OR(AB245="",AC245=""),"",IF($F245="Maior Melhor",IF(AC245&gt;=AB245,"Sim","Não"),IF(AC245&lt;=AB245,"Sim","Não")))</f>
        <v>Não</v>
      </c>
      <c r="AF245" s="7" t="n">
        <v>7</v>
      </c>
      <c r="AG245" s="7" t="n">
        <v>15</v>
      </c>
      <c r="AH245" s="4" t="n">
        <f aca="false">IF(OR(AF245="",AG245=""),"",IFERROR(IF($K245="%",AG245-AF245,AG245/AF245-1),""))</f>
        <v>1.14285714285714</v>
      </c>
      <c r="AI245" s="5" t="str">
        <f aca="false">IF(OR(AF245="",AG245=""),"",IF($F245="Maior Melhor",IF(AG245&gt;=AF245,"Sim","Não"),IF(AG245&lt;=AF245,"Sim","Não")))</f>
        <v>Não</v>
      </c>
      <c r="AJ245" s="7" t="n">
        <v>39</v>
      </c>
      <c r="AK245" s="7" t="n">
        <v>100</v>
      </c>
      <c r="AL245" s="4" t="n">
        <f aca="false">IF(OR(AJ245="",AK245=""),"",IFERROR(IF($K245="%",AK245-AJ245,AK245/AJ245-1),""))</f>
        <v>1.56410256410256</v>
      </c>
      <c r="AM245" s="5" t="str">
        <f aca="false">IF(OR(AJ245="",AK245=""),"",IF($F245="Maior Melhor",IF(AK245&gt;=AJ245,"Sim","Não"),IF(AK245&lt;=AJ245,"Sim","Não")))</f>
        <v>Não</v>
      </c>
      <c r="AN245" s="7" t="n">
        <v>6</v>
      </c>
      <c r="AO245" s="7" t="n">
        <v>5</v>
      </c>
      <c r="AP245" s="4" t="n">
        <f aca="false">IF(OR(AN245="",AO245=""),"",IFERROR(IF($K245="%",AO245-AN245,AO245/AN245-1),""))</f>
        <v>-0.166666666666667</v>
      </c>
      <c r="AQ245" s="5" t="str">
        <f aca="false">IF(OR(AN245="",AO245=""),"",IF($F245="Maior Melhor",IF(AO245&gt;=AN245,"Sim","Não"),IF(AO245&lt;=AN245,"Sim","Não")))</f>
        <v>Sim</v>
      </c>
      <c r="AR245" s="7" t="n">
        <v>45</v>
      </c>
      <c r="AS245" s="7" t="n">
        <v>105</v>
      </c>
      <c r="AT245" s="4" t="n">
        <f aca="false">IF(OR(AR245="",AS245=""),"",IFERROR(IF($K245="%",AS245-AR245,AS245/AR245-1),""))</f>
        <v>1.33333333333333</v>
      </c>
      <c r="AU245" s="5" t="str">
        <f aca="false">IF(OR(AR245="",AS245=""),"",IF($F245="Maior Melhor",IF(AS245&gt;=AR245,"Sim","Não"),IF(AS245&lt;=AR245,"Sim","Não")))</f>
        <v>Não</v>
      </c>
      <c r="AV245" s="7" t="n">
        <v>9</v>
      </c>
      <c r="AW245" s="7" t="n">
        <v>7</v>
      </c>
      <c r="AX245" s="4" t="n">
        <f aca="false">IF(OR(AV245="",AW245=""),"",IFERROR(IF($K245="%",AW245-AV245,AW245/AV245-1),""))</f>
        <v>-0.222222222222222</v>
      </c>
      <c r="AY245" s="5" t="str">
        <f aca="false">IF(OR(AV245="",AW245=""),"",IF($F245="Maior Melhor",IF(AW245&gt;=AV245,"Sim","Não"),IF(AW245&lt;=AV245,"Sim","Não")))</f>
        <v>Sim</v>
      </c>
      <c r="AZ245" s="7" t="n">
        <v>54</v>
      </c>
      <c r="BA245" s="7" t="n">
        <v>112</v>
      </c>
      <c r="BB245" s="4" t="n">
        <f aca="false">IF(OR(AZ245="",BA245=""),"",IFERROR(IF($K245="%",BA245-AZ245,BA245/AZ245-1),""))</f>
        <v>1.07407407407407</v>
      </c>
      <c r="BC245" s="5" t="str">
        <f aca="false">IF(OR(AZ245="",BA245=""),"",IF($F245="Maior Melhor",IF(BA245&gt;=AZ245,"Sim","Não"),IF(BA245&lt;=AZ245,"Sim","Não")))</f>
        <v>Não</v>
      </c>
      <c r="BD245" s="7" t="n">
        <v>5</v>
      </c>
      <c r="BE245" s="7" t="n">
        <v>6</v>
      </c>
      <c r="BF245" s="4" t="n">
        <f aca="false">IF(OR(BD245="",BE245=""),"",IFERROR(IF($K245="%",BE245-BD245,BE245/BD245-1),""))</f>
        <v>0.2</v>
      </c>
      <c r="BG245" s="5" t="str">
        <f aca="false">IF(OR(BD245="",BE245=""),"",IF($F245="Maior Melhor",IF(BE245&gt;=BD245,"Sim","Não"),IF(BE245&lt;=BD245,"Sim","Não")))</f>
        <v>Não</v>
      </c>
      <c r="BH245" s="7" t="n">
        <v>60</v>
      </c>
      <c r="BI245" s="7" t="n">
        <v>118</v>
      </c>
      <c r="BJ245" s="4" t="n">
        <f aca="false">IF(OR(BH245="",BI245=""),"",IFERROR(IF($K245="%",BI245-BH245,BI245/BH245-1),""))</f>
        <v>0.966666666666667</v>
      </c>
      <c r="BK245" s="5" t="str">
        <f aca="false">IF(OR(BH245="",BI245=""),"",IF($F245="Maior Melhor",IF(BI245&gt;=BH245,"Sim","Não"),IF(BI245&lt;=BH245,"Sim","Não")))</f>
        <v>Não</v>
      </c>
      <c r="BL245" s="8"/>
      <c r="BM245" s="8"/>
      <c r="BN245" s="4" t="str">
        <f aca="false">IF(OR(BL245="",BM245=""),"",IFERROR(IF($K245="%",BM245-BL245,BM245/BL245-1),""))</f>
        <v/>
      </c>
      <c r="BO245" s="5" t="str">
        <f aca="false">IF(OR(BL245="",BM245=""),"",IF($F245="Maior Melhor",IF(BM245&gt;=BL245,"Sim","Não"),IF(BM245&lt;=BL245,"Sim","Não")))</f>
        <v/>
      </c>
      <c r="BP245" s="8"/>
      <c r="BQ245" s="8"/>
      <c r="BR245" s="4" t="str">
        <f aca="false">IF(OR(BP245="",BQ245=""),"",IFERROR(IF($K245="%",BQ245-BP245,BQ245/BP245-1),""))</f>
        <v/>
      </c>
      <c r="BS245" s="5" t="str">
        <f aca="false">IF(OR(BP245="",BQ245=""),"",IF($F245="Maior Melhor",IF(BQ245&gt;=BP245,"Sim","Não"),IF(BQ245&lt;=BP245,"Sim","Não")))</f>
        <v/>
      </c>
      <c r="BT245" s="8"/>
      <c r="BU245" s="8"/>
      <c r="BV245" s="4" t="str">
        <f aca="false">IF(OR(BT245="",BU245=""),"",IFERROR(IF($K245="%",BU245-BT245,BU245/BT245-1),""))</f>
        <v/>
      </c>
      <c r="BW245" s="5" t="str">
        <f aca="false">IF(OR(BT245="",BU245=""),"",IF($F245="Maior Melhor",IF(BU245&gt;=BT245,"Sim","Não"),IF(BU245&lt;=BT245,"Sim","Não")))</f>
        <v/>
      </c>
      <c r="BX245" s="8"/>
      <c r="BY245" s="8"/>
      <c r="BZ245" s="4" t="str">
        <f aca="false">IF(OR(BX245="",BY245=""),"",IFERROR(IF($K245="%",BY245-BX245,BY245/BX245-1),""))</f>
        <v/>
      </c>
      <c r="CA245" s="5" t="str">
        <f aca="false">IF(OR(BX245="",BY245=""),"",IF($F245="Maior Melhor",IF(BY245&gt;=BX245,"Sim","Não"),IF(BY245&lt;=BX245,"Sim","Não")))</f>
        <v/>
      </c>
      <c r="CB245" s="8"/>
      <c r="CC245" s="8"/>
      <c r="CD245" s="4" t="str">
        <f aca="false">IF(OR(CB245="",CC245=""),"",IFERROR(IF($K245="%",CC245-CB245,CC245/CB245-1),""))</f>
        <v/>
      </c>
      <c r="CE245" s="5" t="str">
        <f aca="false">IF(OR(CB245="",CC245=""),"",IF($F245="Maior Melhor",IF(CC245&gt;=CB245,"Sim","Não"),IF(CC245&lt;=CB245,"Sim","Não")))</f>
        <v/>
      </c>
      <c r="CF245" s="8"/>
      <c r="CG245" s="8"/>
      <c r="CH245" s="4" t="str">
        <f aca="false">IF(OR(CF245="",CG245=""),"",IFERROR(IF($K245="%",CG245-CF245,CG245/CF245-1),""))</f>
        <v/>
      </c>
      <c r="CI245" s="5" t="str">
        <f aca="false">IF(OR(CF245="",CG245=""),"",IF($F245="Maior Melhor",IF(CG245&gt;=CF245,"Sim","Não"),IF(CG245&lt;=CF245,"Sim","Não")))</f>
        <v/>
      </c>
      <c r="CJ245" s="8"/>
      <c r="CK245" s="8"/>
      <c r="CL245" s="4" t="str">
        <f aca="false">IF(OR(CJ245="",CK245=""),"",IFERROR(IF($K245="%",CK245-CJ245,CK245/CJ245-1),""))</f>
        <v/>
      </c>
      <c r="CM245" s="5" t="str">
        <f aca="false">IF(OR(CJ245="",CK245=""),"",IF($F245="Maior Melhor",IF(CK245&gt;=CJ245,"Sim","Não"),IF(CK245&lt;=CJ245,"Sim","Não")))</f>
        <v/>
      </c>
      <c r="CN245" s="8"/>
      <c r="CO245" s="8"/>
      <c r="CP245" s="4" t="str">
        <f aca="false">IF(OR(CN245="",CO245=""),"",IFERROR(IF($K245="%",CO245-CN245,CO245/CN245-1),""))</f>
        <v/>
      </c>
      <c r="CQ245" s="5" t="str">
        <f aca="false">IF(OR(CN245="",CO245=""),"",IF($F245="Maior Melhor",IF(CO245&gt;=CN245,"Sim","Não"),IF(CO245&lt;=CN245,"Sim","Não")))</f>
        <v/>
      </c>
      <c r="CR245" s="2" t="s">
        <v>105</v>
      </c>
    </row>
    <row r="246" customFormat="false" ht="15" hidden="false" customHeight="false" outlineLevel="0" collapsed="false">
      <c r="A246" s="2" t="s">
        <v>161</v>
      </c>
      <c r="B246" s="2" t="s">
        <v>97</v>
      </c>
      <c r="C246" s="2" t="s">
        <v>122</v>
      </c>
      <c r="D246" s="2" t="s">
        <v>183</v>
      </c>
      <c r="E246" s="2" t="str">
        <f aca="false">C246&amp;D246</f>
        <v>UTD ITABERABAMídias Negativas</v>
      </c>
      <c r="F246" s="2" t="s">
        <v>167</v>
      </c>
      <c r="G246" s="2" t="s">
        <v>184</v>
      </c>
      <c r="H246" s="2" t="s">
        <v>102</v>
      </c>
      <c r="I246" s="2" t="s">
        <v>169</v>
      </c>
      <c r="J246" s="2" t="n">
        <v>2</v>
      </c>
      <c r="K246" s="2" t="s">
        <v>147</v>
      </c>
      <c r="L246" s="7" t="n">
        <v>1</v>
      </c>
      <c r="M246" s="7" t="n">
        <v>0</v>
      </c>
      <c r="N246" s="4" t="n">
        <f aca="false">IF(OR(L246="",M246=""),"",IFERROR(IF($K246="%",M246-L246,M246/L246-1),""))</f>
        <v>-1</v>
      </c>
      <c r="O246" s="5" t="str">
        <f aca="false">IF(OR(L246="",M246=""),"",IF($F246="Maior Melhor",IF(M246&gt;=L246,"Sim","Não"),IF(M246&lt;=L246,"Sim","Não")))</f>
        <v>Sim</v>
      </c>
      <c r="P246" s="7" t="n">
        <v>1</v>
      </c>
      <c r="Q246" s="7" t="n">
        <v>0</v>
      </c>
      <c r="R246" s="4" t="n">
        <f aca="false">IF(OR(P246="",Q246=""),"",IFERROR(IF($K246="%",Q246-P246,Q246/P246-1),""))</f>
        <v>-1</v>
      </c>
      <c r="S246" s="5" t="str">
        <f aca="false">IF(OR(P246="",Q246=""),"",IF($F246="Maior Melhor",IF(Q246&gt;=P246,"Sim","Não"),IF(Q246&lt;=P246,"Sim","Não")))</f>
        <v>Sim</v>
      </c>
      <c r="T246" s="7" t="n">
        <v>1</v>
      </c>
      <c r="U246" s="7" t="n">
        <v>0</v>
      </c>
      <c r="V246" s="4" t="n">
        <f aca="false">IF(OR(T246="",U246=""),"",IFERROR(IF($K246="%",U246-T246,U246/T246-1),""))</f>
        <v>-1</v>
      </c>
      <c r="W246" s="5" t="str">
        <f aca="false">IF(OR(T246="",U246=""),"",IF($F246="Maior Melhor",IF(U246&gt;=T246,"Sim","Não"),IF(U246&lt;=T246,"Sim","Não")))</f>
        <v>Sim</v>
      </c>
      <c r="X246" s="7" t="n">
        <v>1</v>
      </c>
      <c r="Y246" s="7" t="n">
        <v>0</v>
      </c>
      <c r="Z246" s="4" t="n">
        <f aca="false">IF(OR(X246="",Y246=""),"",IFERROR(IF($K246="%",Y246-X246,Y246/X246-1),""))</f>
        <v>-1</v>
      </c>
      <c r="AA246" s="5" t="str">
        <f aca="false">IF(OR(X246="",Y246=""),"",IF($F246="Maior Melhor",IF(Y246&gt;=X246,"Sim","Não"),IF(Y246&lt;=X246,"Sim","Não")))</f>
        <v>Sim</v>
      </c>
      <c r="AB246" s="7" t="n">
        <v>4</v>
      </c>
      <c r="AC246" s="7" t="n">
        <v>0</v>
      </c>
      <c r="AD246" s="4" t="n">
        <f aca="false">IF(OR(AB246="",AC246=""),"",IFERROR(IF($K246="%",AC246-AB246,AC246/AB246-1),""))</f>
        <v>-1</v>
      </c>
      <c r="AE246" s="5" t="str">
        <f aca="false">IF(OR(AB246="",AC246=""),"",IF($F246="Maior Melhor",IF(AC246&gt;=AB246,"Sim","Não"),IF(AC246&lt;=AB246,"Sim","Não")))</f>
        <v>Sim</v>
      </c>
      <c r="AF246" s="7" t="n">
        <v>1</v>
      </c>
      <c r="AG246" s="7" t="n">
        <v>0</v>
      </c>
      <c r="AH246" s="4" t="n">
        <f aca="false">IF(OR(AF246="",AG246=""),"",IFERROR(IF($K246="%",AG246-AF246,AG246/AF246-1),""))</f>
        <v>-1</v>
      </c>
      <c r="AI246" s="5" t="str">
        <f aca="false">IF(OR(AF246="",AG246=""),"",IF($F246="Maior Melhor",IF(AG246&gt;=AF246,"Sim","Não"),IF(AG246&lt;=AF246,"Sim","Não")))</f>
        <v>Sim</v>
      </c>
      <c r="AJ246" s="7" t="n">
        <v>5</v>
      </c>
      <c r="AK246" s="7" t="n">
        <v>0</v>
      </c>
      <c r="AL246" s="4" t="n">
        <f aca="false">IF(OR(AJ246="",AK246=""),"",IFERROR(IF($K246="%",AK246-AJ246,AK246/AJ246-1),""))</f>
        <v>-1</v>
      </c>
      <c r="AM246" s="5" t="str">
        <f aca="false">IF(OR(AJ246="",AK246=""),"",IF($F246="Maior Melhor",IF(AK246&gt;=AJ246,"Sim","Não"),IF(AK246&lt;=AJ246,"Sim","Não")))</f>
        <v>Sim</v>
      </c>
      <c r="AN246" s="7" t="n">
        <v>2</v>
      </c>
      <c r="AO246" s="7" t="n">
        <v>0</v>
      </c>
      <c r="AP246" s="4" t="n">
        <f aca="false">IF(OR(AN246="",AO246=""),"",IFERROR(IF($K246="%",AO246-AN246,AO246/AN246-1),""))</f>
        <v>-1</v>
      </c>
      <c r="AQ246" s="5" t="str">
        <f aca="false">IF(OR(AN246="",AO246=""),"",IF($F246="Maior Melhor",IF(AO246&gt;=AN246,"Sim","Não"),IF(AO246&lt;=AN246,"Sim","Não")))</f>
        <v>Sim</v>
      </c>
      <c r="AR246" s="7" t="n">
        <v>9</v>
      </c>
      <c r="AS246" s="7" t="n">
        <v>0</v>
      </c>
      <c r="AT246" s="4" t="n">
        <f aca="false">IF(OR(AR246="",AS246=""),"",IFERROR(IF($K246="%",AS246-AR246,AS246/AR246-1),""))</f>
        <v>-1</v>
      </c>
      <c r="AU246" s="5" t="str">
        <f aca="false">IF(OR(AR246="",AS246=""),"",IF($F246="Maior Melhor",IF(AS246&gt;=AR246,"Sim","Não"),IF(AS246&lt;=AR246,"Sim","Não")))</f>
        <v>Sim</v>
      </c>
      <c r="AV246" s="7" t="n">
        <v>3</v>
      </c>
      <c r="AW246" s="7" t="n">
        <v>10</v>
      </c>
      <c r="AX246" s="4" t="n">
        <f aca="false">IF(OR(AV246="",AW246=""),"",IFERROR(IF($K246="%",AW246-AV246,AW246/AV246-1),""))</f>
        <v>2.33333333333333</v>
      </c>
      <c r="AY246" s="5" t="str">
        <f aca="false">IF(OR(AV246="",AW246=""),"",IF($F246="Maior Melhor",IF(AW246&gt;=AV246,"Sim","Não"),IF(AW246&lt;=AV246,"Sim","Não")))</f>
        <v>Não</v>
      </c>
      <c r="AZ246" s="7" t="n">
        <v>12</v>
      </c>
      <c r="BA246" s="7" t="n">
        <v>11</v>
      </c>
      <c r="BB246" s="4" t="n">
        <f aca="false">IF(OR(AZ246="",BA246=""),"",IFERROR(IF($K246="%",BA246-AZ246,BA246/AZ246-1),""))</f>
        <v>-0.0833333333333334</v>
      </c>
      <c r="BC246" s="5" t="str">
        <f aca="false">IF(OR(AZ246="",BA246=""),"",IF($F246="Maior Melhor",IF(BA246&gt;=AZ246,"Sim","Não"),IF(BA246&lt;=AZ246,"Sim","Não")))</f>
        <v>Sim</v>
      </c>
      <c r="BD246" s="7" t="n">
        <v>1</v>
      </c>
      <c r="BE246" s="7" t="n">
        <v>3</v>
      </c>
      <c r="BF246" s="4" t="n">
        <f aca="false">IF(OR(BD246="",BE246=""),"",IFERROR(IF($K246="%",BE246-BD246,BE246/BD246-1),""))</f>
        <v>2</v>
      </c>
      <c r="BG246" s="5" t="str">
        <f aca="false">IF(OR(BD246="",BE246=""),"",IF($F246="Maior Melhor",IF(BE246&gt;=BD246,"Sim","Não"),IF(BE246&lt;=BD246,"Sim","Não")))</f>
        <v>Não</v>
      </c>
      <c r="BH246" s="7" t="n">
        <v>13</v>
      </c>
      <c r="BI246" s="7" t="n">
        <v>14</v>
      </c>
      <c r="BJ246" s="4" t="n">
        <f aca="false">IF(OR(BH246="",BI246=""),"",IFERROR(IF($K246="%",BI246-BH246,BI246/BH246-1),""))</f>
        <v>0.0769230769230769</v>
      </c>
      <c r="BK246" s="5" t="str">
        <f aca="false">IF(OR(BH246="",BI246=""),"",IF($F246="Maior Melhor",IF(BI246&gt;=BH246,"Sim","Não"),IF(BI246&lt;=BH246,"Sim","Não")))</f>
        <v>Não</v>
      </c>
      <c r="BL246" s="8"/>
      <c r="BM246" s="8"/>
      <c r="BN246" s="4" t="str">
        <f aca="false">IF(OR(BL246="",BM246=""),"",IFERROR(IF($K246="%",BM246-BL246,BM246/BL246-1),""))</f>
        <v/>
      </c>
      <c r="BO246" s="5" t="str">
        <f aca="false">IF(OR(BL246="",BM246=""),"",IF($F246="Maior Melhor",IF(BM246&gt;=BL246,"Sim","Não"),IF(BM246&lt;=BL246,"Sim","Não")))</f>
        <v/>
      </c>
      <c r="BP246" s="8"/>
      <c r="BQ246" s="8"/>
      <c r="BR246" s="4" t="str">
        <f aca="false">IF(OR(BP246="",BQ246=""),"",IFERROR(IF($K246="%",BQ246-BP246,BQ246/BP246-1),""))</f>
        <v/>
      </c>
      <c r="BS246" s="5" t="str">
        <f aca="false">IF(OR(BP246="",BQ246=""),"",IF($F246="Maior Melhor",IF(BQ246&gt;=BP246,"Sim","Não"),IF(BQ246&lt;=BP246,"Sim","Não")))</f>
        <v/>
      </c>
      <c r="BT246" s="8"/>
      <c r="BU246" s="8"/>
      <c r="BV246" s="4" t="str">
        <f aca="false">IF(OR(BT246="",BU246=""),"",IFERROR(IF($K246="%",BU246-BT246,BU246/BT246-1),""))</f>
        <v/>
      </c>
      <c r="BW246" s="5" t="str">
        <f aca="false">IF(OR(BT246="",BU246=""),"",IF($F246="Maior Melhor",IF(BU246&gt;=BT246,"Sim","Não"),IF(BU246&lt;=BT246,"Sim","Não")))</f>
        <v/>
      </c>
      <c r="BX246" s="8"/>
      <c r="BY246" s="8"/>
      <c r="BZ246" s="4" t="str">
        <f aca="false">IF(OR(BX246="",BY246=""),"",IFERROR(IF($K246="%",BY246-BX246,BY246/BX246-1),""))</f>
        <v/>
      </c>
      <c r="CA246" s="5" t="str">
        <f aca="false">IF(OR(BX246="",BY246=""),"",IF($F246="Maior Melhor",IF(BY246&gt;=BX246,"Sim","Não"),IF(BY246&lt;=BX246,"Sim","Não")))</f>
        <v/>
      </c>
      <c r="CB246" s="8"/>
      <c r="CC246" s="8"/>
      <c r="CD246" s="4" t="str">
        <f aca="false">IF(OR(CB246="",CC246=""),"",IFERROR(IF($K246="%",CC246-CB246,CC246/CB246-1),""))</f>
        <v/>
      </c>
      <c r="CE246" s="5" t="str">
        <f aca="false">IF(OR(CB246="",CC246=""),"",IF($F246="Maior Melhor",IF(CC246&gt;=CB246,"Sim","Não"),IF(CC246&lt;=CB246,"Sim","Não")))</f>
        <v/>
      </c>
      <c r="CF246" s="8"/>
      <c r="CG246" s="8"/>
      <c r="CH246" s="4" t="str">
        <f aca="false">IF(OR(CF246="",CG246=""),"",IFERROR(IF($K246="%",CG246-CF246,CG246/CF246-1),""))</f>
        <v/>
      </c>
      <c r="CI246" s="5" t="str">
        <f aca="false">IF(OR(CF246="",CG246=""),"",IF($F246="Maior Melhor",IF(CG246&gt;=CF246,"Sim","Não"),IF(CG246&lt;=CF246,"Sim","Não")))</f>
        <v/>
      </c>
      <c r="CJ246" s="8"/>
      <c r="CK246" s="8"/>
      <c r="CL246" s="4" t="str">
        <f aca="false">IF(OR(CJ246="",CK246=""),"",IFERROR(IF($K246="%",CK246-CJ246,CK246/CJ246-1),""))</f>
        <v/>
      </c>
      <c r="CM246" s="5" t="str">
        <f aca="false">IF(OR(CJ246="",CK246=""),"",IF($F246="Maior Melhor",IF(CK246&gt;=CJ246,"Sim","Não"),IF(CK246&lt;=CJ246,"Sim","Não")))</f>
        <v/>
      </c>
      <c r="CN246" s="8"/>
      <c r="CO246" s="8"/>
      <c r="CP246" s="4" t="str">
        <f aca="false">IF(OR(CN246="",CO246=""),"",IFERROR(IF($K246="%",CO246-CN246,CO246/CN246-1),""))</f>
        <v/>
      </c>
      <c r="CQ246" s="5" t="str">
        <f aca="false">IF(OR(CN246="",CO246=""),"",IF($F246="Maior Melhor",IF(CO246&gt;=CN246,"Sim","Não"),IF(CO246&lt;=CN246,"Sim","Não")))</f>
        <v/>
      </c>
      <c r="CR246" s="2" t="s">
        <v>159</v>
      </c>
    </row>
    <row r="247" customFormat="false" ht="15" hidden="false" customHeight="false" outlineLevel="0" collapsed="false">
      <c r="A247" s="2" t="s">
        <v>161</v>
      </c>
      <c r="B247" s="2" t="s">
        <v>108</v>
      </c>
      <c r="C247" s="2" t="s">
        <v>124</v>
      </c>
      <c r="D247" s="2" t="s">
        <v>183</v>
      </c>
      <c r="E247" s="2" t="str">
        <f aca="false">C247&amp;D247</f>
        <v>UTD ITAPETINGAMídias Negativas</v>
      </c>
      <c r="F247" s="2" t="s">
        <v>167</v>
      </c>
      <c r="G247" s="2" t="s">
        <v>184</v>
      </c>
      <c r="H247" s="2" t="s">
        <v>102</v>
      </c>
      <c r="I247" s="2" t="s">
        <v>169</v>
      </c>
      <c r="J247" s="2" t="n">
        <v>2</v>
      </c>
      <c r="K247" s="2" t="s">
        <v>147</v>
      </c>
      <c r="L247" s="7" t="n">
        <v>1</v>
      </c>
      <c r="M247" s="7" t="n">
        <v>1</v>
      </c>
      <c r="N247" s="4" t="n">
        <f aca="false">IF(OR(L247="",M247=""),"",IFERROR(IF($K247="%",M247-L247,M247/L247-1),""))</f>
        <v>0</v>
      </c>
      <c r="O247" s="5" t="str">
        <f aca="false">IF(OR(L247="",M247=""),"",IF($F247="Maior Melhor",IF(M247&gt;=L247,"Sim","Não"),IF(M247&lt;=L247,"Sim","Não")))</f>
        <v>Sim</v>
      </c>
      <c r="P247" s="7" t="n">
        <v>1</v>
      </c>
      <c r="Q247" s="7" t="n">
        <v>2</v>
      </c>
      <c r="R247" s="4" t="n">
        <f aca="false">IF(OR(P247="",Q247=""),"",IFERROR(IF($K247="%",Q247-P247,Q247/P247-1),""))</f>
        <v>1</v>
      </c>
      <c r="S247" s="5" t="str">
        <f aca="false">IF(OR(P247="",Q247=""),"",IF($F247="Maior Melhor",IF(Q247&gt;=P247,"Sim","Não"),IF(Q247&lt;=P247,"Sim","Não")))</f>
        <v>Não</v>
      </c>
      <c r="T247" s="7" t="n">
        <v>1</v>
      </c>
      <c r="U247" s="7" t="n">
        <v>4</v>
      </c>
      <c r="V247" s="4" t="n">
        <f aca="false">IF(OR(T247="",U247=""),"",IFERROR(IF($K247="%",U247-T247,U247/T247-1),""))</f>
        <v>3</v>
      </c>
      <c r="W247" s="5" t="str">
        <f aca="false">IF(OR(T247="",U247=""),"",IF($F247="Maior Melhor",IF(U247&gt;=T247,"Sim","Não"),IF(U247&lt;=T247,"Sim","Não")))</f>
        <v>Não</v>
      </c>
      <c r="X247" s="7" t="n">
        <v>1</v>
      </c>
      <c r="Y247" s="7" t="n">
        <v>0</v>
      </c>
      <c r="Z247" s="4" t="n">
        <f aca="false">IF(OR(X247="",Y247=""),"",IFERROR(IF($K247="%",Y247-X247,Y247/X247-1),""))</f>
        <v>-1</v>
      </c>
      <c r="AA247" s="5" t="str">
        <f aca="false">IF(OR(X247="",Y247=""),"",IF($F247="Maior Melhor",IF(Y247&gt;=X247,"Sim","Não"),IF(Y247&lt;=X247,"Sim","Não")))</f>
        <v>Sim</v>
      </c>
      <c r="AB247" s="7" t="n">
        <v>4</v>
      </c>
      <c r="AC247" s="7" t="n">
        <v>7</v>
      </c>
      <c r="AD247" s="4" t="n">
        <f aca="false">IF(OR(AB247="",AC247=""),"",IFERROR(IF($K247="%",AC247-AB247,AC247/AB247-1),""))</f>
        <v>0.75</v>
      </c>
      <c r="AE247" s="5" t="str">
        <f aca="false">IF(OR(AB247="",AC247=""),"",IF($F247="Maior Melhor",IF(AC247&gt;=AB247,"Sim","Não"),IF(AC247&lt;=AB247,"Sim","Não")))</f>
        <v>Não</v>
      </c>
      <c r="AF247" s="7" t="n">
        <v>1</v>
      </c>
      <c r="AG247" s="7" t="n">
        <v>0</v>
      </c>
      <c r="AH247" s="4" t="n">
        <f aca="false">IF(OR(AF247="",AG247=""),"",IFERROR(IF($K247="%",AG247-AF247,AG247/AF247-1),""))</f>
        <v>-1</v>
      </c>
      <c r="AI247" s="5" t="str">
        <f aca="false">IF(OR(AF247="",AG247=""),"",IF($F247="Maior Melhor",IF(AG247&gt;=AF247,"Sim","Não"),IF(AG247&lt;=AF247,"Sim","Não")))</f>
        <v>Sim</v>
      </c>
      <c r="AJ247" s="7" t="n">
        <v>5</v>
      </c>
      <c r="AK247" s="7" t="n">
        <v>7</v>
      </c>
      <c r="AL247" s="4" t="n">
        <f aca="false">IF(OR(AJ247="",AK247=""),"",IFERROR(IF($K247="%",AK247-AJ247,AK247/AJ247-1),""))</f>
        <v>0.4</v>
      </c>
      <c r="AM247" s="5" t="str">
        <f aca="false">IF(OR(AJ247="",AK247=""),"",IF($F247="Maior Melhor",IF(AK247&gt;=AJ247,"Sim","Não"),IF(AK247&lt;=AJ247,"Sim","Não")))</f>
        <v>Não</v>
      </c>
      <c r="AN247" s="7" t="n">
        <v>1</v>
      </c>
      <c r="AO247" s="7" t="n">
        <v>0</v>
      </c>
      <c r="AP247" s="4" t="n">
        <f aca="false">IF(OR(AN247="",AO247=""),"",IFERROR(IF($K247="%",AO247-AN247,AO247/AN247-1),""))</f>
        <v>-1</v>
      </c>
      <c r="AQ247" s="5" t="str">
        <f aca="false">IF(OR(AN247="",AO247=""),"",IF($F247="Maior Melhor",IF(AO247&gt;=AN247,"Sim","Não"),IF(AO247&lt;=AN247,"Sim","Não")))</f>
        <v>Sim</v>
      </c>
      <c r="AR247" s="7" t="n">
        <v>6</v>
      </c>
      <c r="AS247" s="7" t="n">
        <v>7</v>
      </c>
      <c r="AT247" s="4" t="n">
        <f aca="false">IF(OR(AR247="",AS247=""),"",IFERROR(IF($K247="%",AS247-AR247,AS247/AR247-1),""))</f>
        <v>0.166666666666667</v>
      </c>
      <c r="AU247" s="5" t="str">
        <f aca="false">IF(OR(AR247="",AS247=""),"",IF($F247="Maior Melhor",IF(AS247&gt;=AR247,"Sim","Não"),IF(AS247&lt;=AR247,"Sim","Não")))</f>
        <v>Não</v>
      </c>
      <c r="AV247" s="7" t="n">
        <v>2</v>
      </c>
      <c r="AW247" s="7" t="n">
        <v>2</v>
      </c>
      <c r="AX247" s="4" t="n">
        <f aca="false">IF(OR(AV247="",AW247=""),"",IFERROR(IF($K247="%",AW247-AV247,AW247/AV247-1),""))</f>
        <v>0</v>
      </c>
      <c r="AY247" s="5" t="str">
        <f aca="false">IF(OR(AV247="",AW247=""),"",IF($F247="Maior Melhor",IF(AW247&gt;=AV247,"Sim","Não"),IF(AW247&lt;=AV247,"Sim","Não")))</f>
        <v>Sim</v>
      </c>
      <c r="AZ247" s="7" t="n">
        <v>8</v>
      </c>
      <c r="BA247" s="7" t="n">
        <v>9</v>
      </c>
      <c r="BB247" s="4" t="n">
        <f aca="false">IF(OR(AZ247="",BA247=""),"",IFERROR(IF($K247="%",BA247-AZ247,BA247/AZ247-1),""))</f>
        <v>0.125</v>
      </c>
      <c r="BC247" s="5" t="str">
        <f aca="false">IF(OR(AZ247="",BA247=""),"",IF($F247="Maior Melhor",IF(BA247&gt;=AZ247,"Sim","Não"),IF(BA247&lt;=AZ247,"Sim","Não")))</f>
        <v>Não</v>
      </c>
      <c r="BD247" s="7" t="n">
        <v>1</v>
      </c>
      <c r="BE247" s="7" t="n">
        <v>0</v>
      </c>
      <c r="BF247" s="4" t="n">
        <f aca="false">IF(OR(BD247="",BE247=""),"",IFERROR(IF($K247="%",BE247-BD247,BE247/BD247-1),""))</f>
        <v>-1</v>
      </c>
      <c r="BG247" s="5" t="str">
        <f aca="false">IF(OR(BD247="",BE247=""),"",IF($F247="Maior Melhor",IF(BE247&gt;=BD247,"Sim","Não"),IF(BE247&lt;=BD247,"Sim","Não")))</f>
        <v>Sim</v>
      </c>
      <c r="BH247" s="7" t="n">
        <v>9</v>
      </c>
      <c r="BI247" s="7" t="n">
        <v>9</v>
      </c>
      <c r="BJ247" s="4" t="n">
        <f aca="false">IF(OR(BH247="",BI247=""),"",IFERROR(IF($K247="%",BI247-BH247,BI247/BH247-1),""))</f>
        <v>0</v>
      </c>
      <c r="BK247" s="5" t="str">
        <f aca="false">IF(OR(BH247="",BI247=""),"",IF($F247="Maior Melhor",IF(BI247&gt;=BH247,"Sim","Não"),IF(BI247&lt;=BH247,"Sim","Não")))</f>
        <v>Sim</v>
      </c>
      <c r="BL247" s="8"/>
      <c r="BM247" s="8"/>
      <c r="BN247" s="4" t="str">
        <f aca="false">IF(OR(BL247="",BM247=""),"",IFERROR(IF($K247="%",BM247-BL247,BM247/BL247-1),""))</f>
        <v/>
      </c>
      <c r="BO247" s="5" t="str">
        <f aca="false">IF(OR(BL247="",BM247=""),"",IF($F247="Maior Melhor",IF(BM247&gt;=BL247,"Sim","Não"),IF(BM247&lt;=BL247,"Sim","Não")))</f>
        <v/>
      </c>
      <c r="BP247" s="8"/>
      <c r="BQ247" s="8"/>
      <c r="BR247" s="4" t="str">
        <f aca="false">IF(OR(BP247="",BQ247=""),"",IFERROR(IF($K247="%",BQ247-BP247,BQ247/BP247-1),""))</f>
        <v/>
      </c>
      <c r="BS247" s="5" t="str">
        <f aca="false">IF(OR(BP247="",BQ247=""),"",IF($F247="Maior Melhor",IF(BQ247&gt;=BP247,"Sim","Não"),IF(BQ247&lt;=BP247,"Sim","Não")))</f>
        <v/>
      </c>
      <c r="BT247" s="8"/>
      <c r="BU247" s="8"/>
      <c r="BV247" s="4" t="str">
        <f aca="false">IF(OR(BT247="",BU247=""),"",IFERROR(IF($K247="%",BU247-BT247,BU247/BT247-1),""))</f>
        <v/>
      </c>
      <c r="BW247" s="5" t="str">
        <f aca="false">IF(OR(BT247="",BU247=""),"",IF($F247="Maior Melhor",IF(BU247&gt;=BT247,"Sim","Não"),IF(BU247&lt;=BT247,"Sim","Não")))</f>
        <v/>
      </c>
      <c r="BX247" s="8"/>
      <c r="BY247" s="8"/>
      <c r="BZ247" s="4" t="str">
        <f aca="false">IF(OR(BX247="",BY247=""),"",IFERROR(IF($K247="%",BY247-BX247,BY247/BX247-1),""))</f>
        <v/>
      </c>
      <c r="CA247" s="5" t="str">
        <f aca="false">IF(OR(BX247="",BY247=""),"",IF($F247="Maior Melhor",IF(BY247&gt;=BX247,"Sim","Não"),IF(BY247&lt;=BX247,"Sim","Não")))</f>
        <v/>
      </c>
      <c r="CB247" s="8"/>
      <c r="CC247" s="8"/>
      <c r="CD247" s="4" t="str">
        <f aca="false">IF(OR(CB247="",CC247=""),"",IFERROR(IF($K247="%",CC247-CB247,CC247/CB247-1),""))</f>
        <v/>
      </c>
      <c r="CE247" s="5" t="str">
        <f aca="false">IF(OR(CB247="",CC247=""),"",IF($F247="Maior Melhor",IF(CC247&gt;=CB247,"Sim","Não"),IF(CC247&lt;=CB247,"Sim","Não")))</f>
        <v/>
      </c>
      <c r="CF247" s="8"/>
      <c r="CG247" s="8"/>
      <c r="CH247" s="4" t="str">
        <f aca="false">IF(OR(CF247="",CG247=""),"",IFERROR(IF($K247="%",CG247-CF247,CG247/CF247-1),""))</f>
        <v/>
      </c>
      <c r="CI247" s="5" t="str">
        <f aca="false">IF(OR(CF247="",CG247=""),"",IF($F247="Maior Melhor",IF(CG247&gt;=CF247,"Sim","Não"),IF(CG247&lt;=CF247,"Sim","Não")))</f>
        <v/>
      </c>
      <c r="CJ247" s="8"/>
      <c r="CK247" s="8"/>
      <c r="CL247" s="4" t="str">
        <f aca="false">IF(OR(CJ247="",CK247=""),"",IFERROR(IF($K247="%",CK247-CJ247,CK247/CJ247-1),""))</f>
        <v/>
      </c>
      <c r="CM247" s="5" t="str">
        <f aca="false">IF(OR(CJ247="",CK247=""),"",IF($F247="Maior Melhor",IF(CK247&gt;=CJ247,"Sim","Não"),IF(CK247&lt;=CJ247,"Sim","Não")))</f>
        <v/>
      </c>
      <c r="CN247" s="8"/>
      <c r="CO247" s="8"/>
      <c r="CP247" s="4" t="str">
        <f aca="false">IF(OR(CN247="",CO247=""),"",IFERROR(IF($K247="%",CO247-CN247,CO247/CN247-1),""))</f>
        <v/>
      </c>
      <c r="CQ247" s="5" t="str">
        <f aca="false">IF(OR(CN247="",CO247=""),"",IF($F247="Maior Melhor",IF(CO247&gt;=CN247,"Sim","Não"),IF(CO247&lt;=CN247,"Sim","Não")))</f>
        <v/>
      </c>
      <c r="CR247" s="2" t="s">
        <v>105</v>
      </c>
    </row>
    <row r="248" customFormat="false" ht="15" hidden="false" customHeight="false" outlineLevel="0" collapsed="false">
      <c r="A248" s="2" t="s">
        <v>161</v>
      </c>
      <c r="B248" s="2" t="s">
        <v>97</v>
      </c>
      <c r="C248" s="2" t="s">
        <v>125</v>
      </c>
      <c r="D248" s="2" t="s">
        <v>183</v>
      </c>
      <c r="E248" s="2" t="str">
        <f aca="false">C248&amp;D248</f>
        <v>UTD JEQUIÉMídias Negativas</v>
      </c>
      <c r="F248" s="2" t="s">
        <v>167</v>
      </c>
      <c r="G248" s="2" t="s">
        <v>184</v>
      </c>
      <c r="H248" s="2" t="s">
        <v>102</v>
      </c>
      <c r="I248" s="2" t="s">
        <v>169</v>
      </c>
      <c r="J248" s="2" t="n">
        <v>2</v>
      </c>
      <c r="K248" s="2" t="s">
        <v>147</v>
      </c>
      <c r="L248" s="7" t="n">
        <v>3</v>
      </c>
      <c r="M248" s="7" t="n">
        <v>1</v>
      </c>
      <c r="N248" s="4" t="n">
        <f aca="false">IF(OR(L248="",M248=""),"",IFERROR(IF($K248="%",M248-L248,M248/L248-1),""))</f>
        <v>-0.666666666666667</v>
      </c>
      <c r="O248" s="5" t="str">
        <f aca="false">IF(OR(L248="",M248=""),"",IF($F248="Maior Melhor",IF(M248&gt;=L248,"Sim","Não"),IF(M248&lt;=L248,"Sim","Não")))</f>
        <v>Sim</v>
      </c>
      <c r="P248" s="7" t="n">
        <v>2</v>
      </c>
      <c r="Q248" s="7" t="n">
        <v>0</v>
      </c>
      <c r="R248" s="4" t="n">
        <f aca="false">IF(OR(P248="",Q248=""),"",IFERROR(IF($K248="%",Q248-P248,Q248/P248-1),""))</f>
        <v>-1</v>
      </c>
      <c r="S248" s="5" t="str">
        <f aca="false">IF(OR(P248="",Q248=""),"",IF($F248="Maior Melhor",IF(Q248&gt;=P248,"Sim","Não"),IF(Q248&lt;=P248,"Sim","Não")))</f>
        <v>Sim</v>
      </c>
      <c r="T248" s="7" t="n">
        <v>2</v>
      </c>
      <c r="U248" s="7" t="n">
        <v>5</v>
      </c>
      <c r="V248" s="4" t="n">
        <f aca="false">IF(OR(T248="",U248=""),"",IFERROR(IF($K248="%",U248-T248,U248/T248-1),""))</f>
        <v>1.5</v>
      </c>
      <c r="W248" s="5" t="str">
        <f aca="false">IF(OR(T248="",U248=""),"",IF($F248="Maior Melhor",IF(U248&gt;=T248,"Sim","Não"),IF(U248&lt;=T248,"Sim","Não")))</f>
        <v>Não</v>
      </c>
      <c r="X248" s="7" t="n">
        <v>2</v>
      </c>
      <c r="Y248" s="7" t="n">
        <v>0</v>
      </c>
      <c r="Z248" s="4" t="n">
        <f aca="false">IF(OR(X248="",Y248=""),"",IFERROR(IF($K248="%",Y248-X248,Y248/X248-1),""))</f>
        <v>-1</v>
      </c>
      <c r="AA248" s="5" t="str">
        <f aca="false">IF(OR(X248="",Y248=""),"",IF($F248="Maior Melhor",IF(Y248&gt;=X248,"Sim","Não"),IF(Y248&lt;=X248,"Sim","Não")))</f>
        <v>Sim</v>
      </c>
      <c r="AB248" s="7" t="n">
        <v>9</v>
      </c>
      <c r="AC248" s="7" t="n">
        <v>6</v>
      </c>
      <c r="AD248" s="4" t="n">
        <f aca="false">IF(OR(AB248="",AC248=""),"",IFERROR(IF($K248="%",AC248-AB248,AC248/AB248-1),""))</f>
        <v>-0.333333333333333</v>
      </c>
      <c r="AE248" s="5" t="str">
        <f aca="false">IF(OR(AB248="",AC248=""),"",IF($F248="Maior Melhor",IF(AC248&gt;=AB248,"Sim","Não"),IF(AC248&lt;=AB248,"Sim","Não")))</f>
        <v>Sim</v>
      </c>
      <c r="AF248" s="7" t="n">
        <v>4</v>
      </c>
      <c r="AG248" s="7" t="n">
        <v>0</v>
      </c>
      <c r="AH248" s="4" t="n">
        <f aca="false">IF(OR(AF248="",AG248=""),"",IFERROR(IF($K248="%",AG248-AF248,AG248/AF248-1),""))</f>
        <v>-1</v>
      </c>
      <c r="AI248" s="5" t="str">
        <f aca="false">IF(OR(AF248="",AG248=""),"",IF($F248="Maior Melhor",IF(AG248&gt;=AF248,"Sim","Não"),IF(AG248&lt;=AF248,"Sim","Não")))</f>
        <v>Sim</v>
      </c>
      <c r="AJ248" s="7" t="n">
        <v>13</v>
      </c>
      <c r="AK248" s="7" t="n">
        <v>6</v>
      </c>
      <c r="AL248" s="4" t="n">
        <f aca="false">IF(OR(AJ248="",AK248=""),"",IFERROR(IF($K248="%",AK248-AJ248,AK248/AJ248-1),""))</f>
        <v>-0.538461538461538</v>
      </c>
      <c r="AM248" s="5" t="str">
        <f aca="false">IF(OR(AJ248="",AK248=""),"",IF($F248="Maior Melhor",IF(AK248&gt;=AJ248,"Sim","Não"),IF(AK248&lt;=AJ248,"Sim","Não")))</f>
        <v>Sim</v>
      </c>
      <c r="AN248" s="7" t="n">
        <v>15</v>
      </c>
      <c r="AO248" s="7" t="n">
        <v>4</v>
      </c>
      <c r="AP248" s="4" t="n">
        <f aca="false">IF(OR(AN248="",AO248=""),"",IFERROR(IF($K248="%",AO248-AN248,AO248/AN248-1),""))</f>
        <v>-0.733333333333333</v>
      </c>
      <c r="AQ248" s="5" t="str">
        <f aca="false">IF(OR(AN248="",AO248=""),"",IF($F248="Maior Melhor",IF(AO248&gt;=AN248,"Sim","Não"),IF(AO248&lt;=AN248,"Sim","Não")))</f>
        <v>Sim</v>
      </c>
      <c r="AR248" s="7" t="n">
        <v>27</v>
      </c>
      <c r="AS248" s="7" t="n">
        <v>10</v>
      </c>
      <c r="AT248" s="4" t="n">
        <f aca="false">IF(OR(AR248="",AS248=""),"",IFERROR(IF($K248="%",AS248-AR248,AS248/AR248-1),""))</f>
        <v>-0.62962962962963</v>
      </c>
      <c r="AU248" s="5" t="str">
        <f aca="false">IF(OR(AR248="",AS248=""),"",IF($F248="Maior Melhor",IF(AS248&gt;=AR248,"Sim","Não"),IF(AS248&lt;=AR248,"Sim","Não")))</f>
        <v>Sim</v>
      </c>
      <c r="AV248" s="7" t="n">
        <v>17</v>
      </c>
      <c r="AW248" s="7" t="n">
        <v>3</v>
      </c>
      <c r="AX248" s="4" t="n">
        <f aca="false">IF(OR(AV248="",AW248=""),"",IFERROR(IF($K248="%",AW248-AV248,AW248/AV248-1),""))</f>
        <v>-0.823529411764706</v>
      </c>
      <c r="AY248" s="5" t="str">
        <f aca="false">IF(OR(AV248="",AW248=""),"",IF($F248="Maior Melhor",IF(AW248&gt;=AV248,"Sim","Não"),IF(AW248&lt;=AV248,"Sim","Não")))</f>
        <v>Sim</v>
      </c>
      <c r="AZ248" s="7" t="n">
        <v>45</v>
      </c>
      <c r="BA248" s="7" t="n">
        <v>13</v>
      </c>
      <c r="BB248" s="4" t="n">
        <f aca="false">IF(OR(AZ248="",BA248=""),"",IFERROR(IF($K248="%",BA248-AZ248,BA248/AZ248-1),""))</f>
        <v>-0.711111111111111</v>
      </c>
      <c r="BC248" s="5" t="str">
        <f aca="false">IF(OR(AZ248="",BA248=""),"",IF($F248="Maior Melhor",IF(BA248&gt;=AZ248,"Sim","Não"),IF(BA248&lt;=AZ248,"Sim","Não")))</f>
        <v>Sim</v>
      </c>
      <c r="BD248" s="7" t="n">
        <v>10</v>
      </c>
      <c r="BE248" s="7" t="n">
        <v>4</v>
      </c>
      <c r="BF248" s="4" t="n">
        <f aca="false">IF(OR(BD248="",BE248=""),"",IFERROR(IF($K248="%",BE248-BD248,BE248/BD248-1),""))</f>
        <v>-0.6</v>
      </c>
      <c r="BG248" s="5" t="str">
        <f aca="false">IF(OR(BD248="",BE248=""),"",IF($F248="Maior Melhor",IF(BE248&gt;=BD248,"Sim","Não"),IF(BE248&lt;=BD248,"Sim","Não")))</f>
        <v>Sim</v>
      </c>
      <c r="BH248" s="7" t="n">
        <v>53</v>
      </c>
      <c r="BI248" s="7" t="n">
        <v>17</v>
      </c>
      <c r="BJ248" s="4" t="n">
        <f aca="false">IF(OR(BH248="",BI248=""),"",IFERROR(IF($K248="%",BI248-BH248,BI248/BH248-1),""))</f>
        <v>-0.679245283018868</v>
      </c>
      <c r="BK248" s="5" t="str">
        <f aca="false">IF(OR(BH248="",BI248=""),"",IF($F248="Maior Melhor",IF(BI248&gt;=BH248,"Sim","Não"),IF(BI248&lt;=BH248,"Sim","Não")))</f>
        <v>Sim</v>
      </c>
      <c r="BL248" s="8"/>
      <c r="BM248" s="8"/>
      <c r="BN248" s="4" t="str">
        <f aca="false">IF(OR(BL248="",BM248=""),"",IFERROR(IF($K248="%",BM248-BL248,BM248/BL248-1),""))</f>
        <v/>
      </c>
      <c r="BO248" s="5" t="str">
        <f aca="false">IF(OR(BL248="",BM248=""),"",IF($F248="Maior Melhor",IF(BM248&gt;=BL248,"Sim","Não"),IF(BM248&lt;=BL248,"Sim","Não")))</f>
        <v/>
      </c>
      <c r="BP248" s="8"/>
      <c r="BQ248" s="8"/>
      <c r="BR248" s="4" t="str">
        <f aca="false">IF(OR(BP248="",BQ248=""),"",IFERROR(IF($K248="%",BQ248-BP248,BQ248/BP248-1),""))</f>
        <v/>
      </c>
      <c r="BS248" s="5" t="str">
        <f aca="false">IF(OR(BP248="",BQ248=""),"",IF($F248="Maior Melhor",IF(BQ248&gt;=BP248,"Sim","Não"),IF(BQ248&lt;=BP248,"Sim","Não")))</f>
        <v/>
      </c>
      <c r="BT248" s="8"/>
      <c r="BU248" s="8"/>
      <c r="BV248" s="4" t="str">
        <f aca="false">IF(OR(BT248="",BU248=""),"",IFERROR(IF($K248="%",BU248-BT248,BU248/BT248-1),""))</f>
        <v/>
      </c>
      <c r="BW248" s="5" t="str">
        <f aca="false">IF(OR(BT248="",BU248=""),"",IF($F248="Maior Melhor",IF(BU248&gt;=BT248,"Sim","Não"),IF(BU248&lt;=BT248,"Sim","Não")))</f>
        <v/>
      </c>
      <c r="BX248" s="8"/>
      <c r="BY248" s="8"/>
      <c r="BZ248" s="4" t="str">
        <f aca="false">IF(OR(BX248="",BY248=""),"",IFERROR(IF($K248="%",BY248-BX248,BY248/BX248-1),""))</f>
        <v/>
      </c>
      <c r="CA248" s="5" t="str">
        <f aca="false">IF(OR(BX248="",BY248=""),"",IF($F248="Maior Melhor",IF(BY248&gt;=BX248,"Sim","Não"),IF(BY248&lt;=BX248,"Sim","Não")))</f>
        <v/>
      </c>
      <c r="CB248" s="8"/>
      <c r="CC248" s="8"/>
      <c r="CD248" s="4" t="str">
        <f aca="false">IF(OR(CB248="",CC248=""),"",IFERROR(IF($K248="%",CC248-CB248,CC248/CB248-1),""))</f>
        <v/>
      </c>
      <c r="CE248" s="5" t="str">
        <f aca="false">IF(OR(CB248="",CC248=""),"",IF($F248="Maior Melhor",IF(CC248&gt;=CB248,"Sim","Não"),IF(CC248&lt;=CB248,"Sim","Não")))</f>
        <v/>
      </c>
      <c r="CF248" s="8"/>
      <c r="CG248" s="8"/>
      <c r="CH248" s="4" t="str">
        <f aca="false">IF(OR(CF248="",CG248=""),"",IFERROR(IF($K248="%",CG248-CF248,CG248/CF248-1),""))</f>
        <v/>
      </c>
      <c r="CI248" s="5" t="str">
        <f aca="false">IF(OR(CF248="",CG248=""),"",IF($F248="Maior Melhor",IF(CG248&gt;=CF248,"Sim","Não"),IF(CG248&lt;=CF248,"Sim","Não")))</f>
        <v/>
      </c>
      <c r="CJ248" s="8"/>
      <c r="CK248" s="8"/>
      <c r="CL248" s="4" t="str">
        <f aca="false">IF(OR(CJ248="",CK248=""),"",IFERROR(IF($K248="%",CK248-CJ248,CK248/CJ248-1),""))</f>
        <v/>
      </c>
      <c r="CM248" s="5" t="str">
        <f aca="false">IF(OR(CJ248="",CK248=""),"",IF($F248="Maior Melhor",IF(CK248&gt;=CJ248,"Sim","Não"),IF(CK248&lt;=CJ248,"Sim","Não")))</f>
        <v/>
      </c>
      <c r="CN248" s="8"/>
      <c r="CO248" s="8"/>
      <c r="CP248" s="4" t="str">
        <f aca="false">IF(OR(CN248="",CO248=""),"",IFERROR(IF($K248="%",CO248-CN248,CO248/CN248-1),""))</f>
        <v/>
      </c>
      <c r="CQ248" s="5" t="str">
        <f aca="false">IF(OR(CN248="",CO248=""),"",IF($F248="Maior Melhor",IF(CO248&gt;=CN248,"Sim","Não"),IF(CO248&lt;=CN248,"Sim","Não")))</f>
        <v/>
      </c>
      <c r="CR248" s="2" t="s">
        <v>105</v>
      </c>
    </row>
    <row r="249" customFormat="false" ht="15" hidden="false" customHeight="false" outlineLevel="0" collapsed="false">
      <c r="A249" s="2" t="s">
        <v>161</v>
      </c>
      <c r="B249" s="2" t="s">
        <v>97</v>
      </c>
      <c r="C249" s="2" t="s">
        <v>126</v>
      </c>
      <c r="D249" s="2" t="s">
        <v>183</v>
      </c>
      <c r="E249" s="2" t="str">
        <f aca="false">C249&amp;D249</f>
        <v>UTD LIVRAMENTO DE NOSSA SENHORAMídias Negativas</v>
      </c>
      <c r="F249" s="2" t="s">
        <v>167</v>
      </c>
      <c r="G249" s="2" t="s">
        <v>184</v>
      </c>
      <c r="H249" s="2" t="s">
        <v>102</v>
      </c>
      <c r="I249" s="2" t="s">
        <v>169</v>
      </c>
      <c r="J249" s="2" t="n">
        <v>2</v>
      </c>
      <c r="K249" s="2" t="s">
        <v>147</v>
      </c>
      <c r="L249" s="7" t="n">
        <v>0</v>
      </c>
      <c r="M249" s="7" t="n">
        <v>1</v>
      </c>
      <c r="N249" s="4" t="str">
        <f aca="false">IF(OR(L249="",M249=""),"",IFERROR(IF($K249="%",M249-L249,M249/L249-1),""))</f>
        <v/>
      </c>
      <c r="O249" s="5" t="str">
        <f aca="false">IF(OR(L249="",M249=""),"",IF($F249="Maior Melhor",IF(M249&gt;=L249,"Sim","Não"),IF(M249&lt;=L249,"Sim","Não")))</f>
        <v>Não</v>
      </c>
      <c r="P249" s="7" t="n">
        <v>0</v>
      </c>
      <c r="Q249" s="7" t="n">
        <v>0</v>
      </c>
      <c r="R249" s="4" t="str">
        <f aca="false">IF(OR(P249="",Q249=""),"",IFERROR(IF($K249="%",Q249-P249,Q249/P249-1),""))</f>
        <v/>
      </c>
      <c r="S249" s="5" t="str">
        <f aca="false">IF(OR(P249="",Q249=""),"",IF($F249="Maior Melhor",IF(Q249&gt;=P249,"Sim","Não"),IF(Q249&lt;=P249,"Sim","Não")))</f>
        <v>Sim</v>
      </c>
      <c r="T249" s="7" t="n">
        <v>1</v>
      </c>
      <c r="U249" s="7" t="n">
        <v>0</v>
      </c>
      <c r="V249" s="4" t="n">
        <f aca="false">IF(OR(T249="",U249=""),"",IFERROR(IF($K249="%",U249-T249,U249/T249-1),""))</f>
        <v>-1</v>
      </c>
      <c r="W249" s="5" t="str">
        <f aca="false">IF(OR(T249="",U249=""),"",IF($F249="Maior Melhor",IF(U249&gt;=T249,"Sim","Não"),IF(U249&lt;=T249,"Sim","Não")))</f>
        <v>Sim</v>
      </c>
      <c r="X249" s="7" t="n">
        <v>0</v>
      </c>
      <c r="Y249" s="7" t="n">
        <v>2</v>
      </c>
      <c r="Z249" s="4" t="str">
        <f aca="false">IF(OR(X249="",Y249=""),"",IFERROR(IF($K249="%",Y249-X249,Y249/X249-1),""))</f>
        <v/>
      </c>
      <c r="AA249" s="5" t="str">
        <f aca="false">IF(OR(X249="",Y249=""),"",IF($F249="Maior Melhor",IF(Y249&gt;=X249,"Sim","Não"),IF(Y249&lt;=X249,"Sim","Não")))</f>
        <v>Não</v>
      </c>
      <c r="AB249" s="7" t="n">
        <v>1</v>
      </c>
      <c r="AC249" s="7" t="n">
        <v>3</v>
      </c>
      <c r="AD249" s="4" t="n">
        <f aca="false">IF(OR(AB249="",AC249=""),"",IFERROR(IF($K249="%",AC249-AB249,AC249/AB249-1),""))</f>
        <v>2</v>
      </c>
      <c r="AE249" s="5" t="str">
        <f aca="false">IF(OR(AB249="",AC249=""),"",IF($F249="Maior Melhor",IF(AC249&gt;=AB249,"Sim","Não"),IF(AC249&lt;=AB249,"Sim","Não")))</f>
        <v>Não</v>
      </c>
      <c r="AF249" s="7" t="n">
        <v>0.0001</v>
      </c>
      <c r="AG249" s="7" t="n">
        <v>0</v>
      </c>
      <c r="AH249" s="4" t="n">
        <f aca="false">IF(OR(AF249="",AG249=""),"",IFERROR(IF($K249="%",AG249-AF249,AG249/AF249-1),""))</f>
        <v>-1</v>
      </c>
      <c r="AI249" s="5" t="str">
        <f aca="false">IF(OR(AF249="",AG249=""),"",IF($F249="Maior Melhor",IF(AG249&gt;=AF249,"Sim","Não"),IF(AG249&lt;=AF249,"Sim","Não")))</f>
        <v>Sim</v>
      </c>
      <c r="AJ249" s="7" t="n">
        <v>1</v>
      </c>
      <c r="AK249" s="7" t="n">
        <v>3</v>
      </c>
      <c r="AL249" s="4" t="n">
        <f aca="false">IF(OR(AJ249="",AK249=""),"",IFERROR(IF($K249="%",AK249-AJ249,AK249/AJ249-1),""))</f>
        <v>2</v>
      </c>
      <c r="AM249" s="5" t="str">
        <f aca="false">IF(OR(AJ249="",AK249=""),"",IF($F249="Maior Melhor",IF(AK249&gt;=AJ249,"Sim","Não"),IF(AK249&lt;=AJ249,"Sim","Não")))</f>
        <v>Não</v>
      </c>
      <c r="AN249" s="7" t="n">
        <v>1</v>
      </c>
      <c r="AO249" s="7" t="n">
        <v>0</v>
      </c>
      <c r="AP249" s="4" t="n">
        <f aca="false">IF(OR(AN249="",AO249=""),"",IFERROR(IF($K249="%",AO249-AN249,AO249/AN249-1),""))</f>
        <v>-1</v>
      </c>
      <c r="AQ249" s="5" t="str">
        <f aca="false">IF(OR(AN249="",AO249=""),"",IF($F249="Maior Melhor",IF(AO249&gt;=AN249,"Sim","Não"),IF(AO249&lt;=AN249,"Sim","Não")))</f>
        <v>Sim</v>
      </c>
      <c r="AR249" s="7" t="n">
        <v>2</v>
      </c>
      <c r="AS249" s="7" t="n">
        <v>3</v>
      </c>
      <c r="AT249" s="4" t="n">
        <f aca="false">IF(OR(AR249="",AS249=""),"",IFERROR(IF($K249="%",AS249-AR249,AS249/AR249-1),""))</f>
        <v>0.5</v>
      </c>
      <c r="AU249" s="5" t="str">
        <f aca="false">IF(OR(AR249="",AS249=""),"",IF($F249="Maior Melhor",IF(AS249&gt;=AR249,"Sim","Não"),IF(AS249&lt;=AR249,"Sim","Não")))</f>
        <v>Não</v>
      </c>
      <c r="AV249" s="7" t="n">
        <v>0</v>
      </c>
      <c r="AW249" s="7" t="n">
        <v>0</v>
      </c>
      <c r="AX249" s="4" t="str">
        <f aca="false">IF(OR(AV249="",AW249=""),"",IFERROR(IF($K249="%",AW249-AV249,AW249/AV249-1),""))</f>
        <v/>
      </c>
      <c r="AY249" s="5" t="str">
        <f aca="false">IF(OR(AV249="",AW249=""),"",IF($F249="Maior Melhor",IF(AW249&gt;=AV249,"Sim","Não"),IF(AW249&lt;=AV249,"Sim","Não")))</f>
        <v>Sim</v>
      </c>
      <c r="AZ249" s="7" t="n">
        <v>2</v>
      </c>
      <c r="BA249" s="7" t="n">
        <v>3</v>
      </c>
      <c r="BB249" s="4" t="n">
        <f aca="false">IF(OR(AZ249="",BA249=""),"",IFERROR(IF($K249="%",BA249-AZ249,BA249/AZ249-1),""))</f>
        <v>0.5</v>
      </c>
      <c r="BC249" s="5" t="str">
        <f aca="false">IF(OR(AZ249="",BA249=""),"",IF($F249="Maior Melhor",IF(BA249&gt;=AZ249,"Sim","Não"),IF(BA249&lt;=AZ249,"Sim","Não")))</f>
        <v>Não</v>
      </c>
      <c r="BD249" s="7" t="n">
        <v>0</v>
      </c>
      <c r="BE249" s="7" t="n">
        <v>0</v>
      </c>
      <c r="BF249" s="4" t="str">
        <f aca="false">IF(OR(BD249="",BE249=""),"",IFERROR(IF($K249="%",BE249-BD249,BE249/BD249-1),""))</f>
        <v/>
      </c>
      <c r="BG249" s="5" t="str">
        <f aca="false">IF(OR(BD249="",BE249=""),"",IF($F249="Maior Melhor",IF(BE249&gt;=BD249,"Sim","Não"),IF(BE249&lt;=BD249,"Sim","Não")))</f>
        <v>Sim</v>
      </c>
      <c r="BH249" s="7" t="n">
        <v>2</v>
      </c>
      <c r="BI249" s="7" t="n">
        <v>3</v>
      </c>
      <c r="BJ249" s="4" t="n">
        <f aca="false">IF(OR(BH249="",BI249=""),"",IFERROR(IF($K249="%",BI249-BH249,BI249/BH249-1),""))</f>
        <v>0.5</v>
      </c>
      <c r="BK249" s="5" t="str">
        <f aca="false">IF(OR(BH249="",BI249=""),"",IF($F249="Maior Melhor",IF(BI249&gt;=BH249,"Sim","Não"),IF(BI249&lt;=BH249,"Sim","Não")))</f>
        <v>Não</v>
      </c>
      <c r="BL249" s="8"/>
      <c r="BM249" s="8"/>
      <c r="BN249" s="4" t="str">
        <f aca="false">IF(OR(BL249="",BM249=""),"",IFERROR(IF($K249="%",BM249-BL249,BM249/BL249-1),""))</f>
        <v/>
      </c>
      <c r="BO249" s="5" t="str">
        <f aca="false">IF(OR(BL249="",BM249=""),"",IF($F249="Maior Melhor",IF(BM249&gt;=BL249,"Sim","Não"),IF(BM249&lt;=BL249,"Sim","Não")))</f>
        <v/>
      </c>
      <c r="BP249" s="8"/>
      <c r="BQ249" s="8"/>
      <c r="BR249" s="4" t="str">
        <f aca="false">IF(OR(BP249="",BQ249=""),"",IFERROR(IF($K249="%",BQ249-BP249,BQ249/BP249-1),""))</f>
        <v/>
      </c>
      <c r="BS249" s="5" t="str">
        <f aca="false">IF(OR(BP249="",BQ249=""),"",IF($F249="Maior Melhor",IF(BQ249&gt;=BP249,"Sim","Não"),IF(BQ249&lt;=BP249,"Sim","Não")))</f>
        <v/>
      </c>
      <c r="BT249" s="8"/>
      <c r="BU249" s="8"/>
      <c r="BV249" s="4" t="str">
        <f aca="false">IF(OR(BT249="",BU249=""),"",IFERROR(IF($K249="%",BU249-BT249,BU249/BT249-1),""))</f>
        <v/>
      </c>
      <c r="BW249" s="5" t="str">
        <f aca="false">IF(OR(BT249="",BU249=""),"",IF($F249="Maior Melhor",IF(BU249&gt;=BT249,"Sim","Não"),IF(BU249&lt;=BT249,"Sim","Não")))</f>
        <v/>
      </c>
      <c r="BX249" s="8"/>
      <c r="BY249" s="8"/>
      <c r="BZ249" s="4" t="str">
        <f aca="false">IF(OR(BX249="",BY249=""),"",IFERROR(IF($K249="%",BY249-BX249,BY249/BX249-1),""))</f>
        <v/>
      </c>
      <c r="CA249" s="5" t="str">
        <f aca="false">IF(OR(BX249="",BY249=""),"",IF($F249="Maior Melhor",IF(BY249&gt;=BX249,"Sim","Não"),IF(BY249&lt;=BX249,"Sim","Não")))</f>
        <v/>
      </c>
      <c r="CB249" s="8"/>
      <c r="CC249" s="8"/>
      <c r="CD249" s="4" t="str">
        <f aca="false">IF(OR(CB249="",CC249=""),"",IFERROR(IF($K249="%",CC249-CB249,CC249/CB249-1),""))</f>
        <v/>
      </c>
      <c r="CE249" s="5" t="str">
        <f aca="false">IF(OR(CB249="",CC249=""),"",IF($F249="Maior Melhor",IF(CC249&gt;=CB249,"Sim","Não"),IF(CC249&lt;=CB249,"Sim","Não")))</f>
        <v/>
      </c>
      <c r="CF249" s="8"/>
      <c r="CG249" s="8"/>
      <c r="CH249" s="4" t="str">
        <f aca="false">IF(OR(CF249="",CG249=""),"",IFERROR(IF($K249="%",CG249-CF249,CG249/CF249-1),""))</f>
        <v/>
      </c>
      <c r="CI249" s="5" t="str">
        <f aca="false">IF(OR(CF249="",CG249=""),"",IF($F249="Maior Melhor",IF(CG249&gt;=CF249,"Sim","Não"),IF(CG249&lt;=CF249,"Sim","Não")))</f>
        <v/>
      </c>
      <c r="CJ249" s="8"/>
      <c r="CK249" s="8"/>
      <c r="CL249" s="4" t="str">
        <f aca="false">IF(OR(CJ249="",CK249=""),"",IFERROR(IF($K249="%",CK249-CJ249,CK249/CJ249-1),""))</f>
        <v/>
      </c>
      <c r="CM249" s="5" t="str">
        <f aca="false">IF(OR(CJ249="",CK249=""),"",IF($F249="Maior Melhor",IF(CK249&gt;=CJ249,"Sim","Não"),IF(CK249&lt;=CJ249,"Sim","Não")))</f>
        <v/>
      </c>
      <c r="CN249" s="8"/>
      <c r="CO249" s="8"/>
      <c r="CP249" s="4" t="str">
        <f aca="false">IF(OR(CN249="",CO249=""),"",IFERROR(IF($K249="%",CO249-CN249,CO249/CN249-1),""))</f>
        <v/>
      </c>
      <c r="CQ249" s="5" t="str">
        <f aca="false">IF(OR(CN249="",CO249=""),"",IF($F249="Maior Melhor",IF(CO249&gt;=CN249,"Sim","Não"),IF(CO249&lt;=CN249,"Sim","Não")))</f>
        <v/>
      </c>
      <c r="CR249" s="2" t="s">
        <v>105</v>
      </c>
    </row>
    <row r="250" customFormat="false" ht="15" hidden="false" customHeight="false" outlineLevel="0" collapsed="false">
      <c r="A250" s="2" t="s">
        <v>161</v>
      </c>
      <c r="B250" s="2" t="s">
        <v>106</v>
      </c>
      <c r="C250" s="2" t="s">
        <v>127</v>
      </c>
      <c r="D250" s="2" t="s">
        <v>183</v>
      </c>
      <c r="E250" s="2" t="str">
        <f aca="false">C250&amp;D250</f>
        <v>UTD LUIS EDUARDO MAGALHAESMídias Negativas</v>
      </c>
      <c r="F250" s="2" t="s">
        <v>167</v>
      </c>
      <c r="G250" s="2" t="s">
        <v>184</v>
      </c>
      <c r="H250" s="2" t="s">
        <v>102</v>
      </c>
      <c r="I250" s="2" t="s">
        <v>169</v>
      </c>
      <c r="J250" s="2" t="n">
        <v>2</v>
      </c>
      <c r="K250" s="2" t="s">
        <v>147</v>
      </c>
      <c r="L250" s="7" t="n">
        <v>2</v>
      </c>
      <c r="M250" s="7" t="n">
        <v>2</v>
      </c>
      <c r="N250" s="4" t="n">
        <f aca="false">IF(OR(L250="",M250=""),"",IFERROR(IF($K250="%",M250-L250,M250/L250-1),""))</f>
        <v>0</v>
      </c>
      <c r="O250" s="5" t="str">
        <f aca="false">IF(OR(L250="",M250=""),"",IF($F250="Maior Melhor",IF(M250&gt;=L250,"Sim","Não"),IF(M250&lt;=L250,"Sim","Não")))</f>
        <v>Sim</v>
      </c>
      <c r="P250" s="7" t="n">
        <v>2</v>
      </c>
      <c r="Q250" s="7" t="n">
        <v>8</v>
      </c>
      <c r="R250" s="4" t="n">
        <f aca="false">IF(OR(P250="",Q250=""),"",IFERROR(IF($K250="%",Q250-P250,Q250/P250-1),""))</f>
        <v>3</v>
      </c>
      <c r="S250" s="5" t="str">
        <f aca="false">IF(OR(P250="",Q250=""),"",IF($F250="Maior Melhor",IF(Q250&gt;=P250,"Sim","Não"),IF(Q250&lt;=P250,"Sim","Não")))</f>
        <v>Não</v>
      </c>
      <c r="T250" s="7" t="n">
        <v>1</v>
      </c>
      <c r="U250" s="7" t="n">
        <v>2</v>
      </c>
      <c r="V250" s="4" t="n">
        <f aca="false">IF(OR(T250="",U250=""),"",IFERROR(IF($K250="%",U250-T250,U250/T250-1),""))</f>
        <v>1</v>
      </c>
      <c r="W250" s="5" t="str">
        <f aca="false">IF(OR(T250="",U250=""),"",IF($F250="Maior Melhor",IF(U250&gt;=T250,"Sim","Não"),IF(U250&lt;=T250,"Sim","Não")))</f>
        <v>Não</v>
      </c>
      <c r="X250" s="7" t="n">
        <v>4</v>
      </c>
      <c r="Y250" s="7" t="n">
        <v>0</v>
      </c>
      <c r="Z250" s="4" t="n">
        <f aca="false">IF(OR(X250="",Y250=""),"",IFERROR(IF($K250="%",Y250-X250,Y250/X250-1),""))</f>
        <v>-1</v>
      </c>
      <c r="AA250" s="5" t="str">
        <f aca="false">IF(OR(X250="",Y250=""),"",IF($F250="Maior Melhor",IF(Y250&gt;=X250,"Sim","Não"),IF(Y250&lt;=X250,"Sim","Não")))</f>
        <v>Sim</v>
      </c>
      <c r="AB250" s="7" t="n">
        <v>11</v>
      </c>
      <c r="AC250" s="7" t="n">
        <v>12</v>
      </c>
      <c r="AD250" s="4" t="n">
        <f aca="false">IF(OR(AB250="",AC250=""),"",IFERROR(IF($K250="%",AC250-AB250,AC250/AB250-1),""))</f>
        <v>0.0909090909090908</v>
      </c>
      <c r="AE250" s="5" t="str">
        <f aca="false">IF(OR(AB250="",AC250=""),"",IF($F250="Maior Melhor",IF(AC250&gt;=AB250,"Sim","Não"),IF(AC250&lt;=AB250,"Sim","Não")))</f>
        <v>Não</v>
      </c>
      <c r="AF250" s="7" t="n">
        <v>3</v>
      </c>
      <c r="AG250" s="7" t="n">
        <v>0</v>
      </c>
      <c r="AH250" s="4" t="n">
        <f aca="false">IF(OR(AF250="",AG250=""),"",IFERROR(IF($K250="%",AG250-AF250,AG250/AF250-1),""))</f>
        <v>-1</v>
      </c>
      <c r="AI250" s="5" t="str">
        <f aca="false">IF(OR(AF250="",AG250=""),"",IF($F250="Maior Melhor",IF(AG250&gt;=AF250,"Sim","Não"),IF(AG250&lt;=AF250,"Sim","Não")))</f>
        <v>Sim</v>
      </c>
      <c r="AJ250" s="7" t="n">
        <v>14</v>
      </c>
      <c r="AK250" s="7" t="n">
        <v>15</v>
      </c>
      <c r="AL250" s="4" t="n">
        <f aca="false">IF(OR(AJ250="",AK250=""),"",IFERROR(IF($K250="%",AK250-AJ250,AK250/AJ250-1),""))</f>
        <v>0.0714285714285714</v>
      </c>
      <c r="AM250" s="5" t="str">
        <f aca="false">IF(OR(AJ250="",AK250=""),"",IF($F250="Maior Melhor",IF(AK250&gt;=AJ250,"Sim","Não"),IF(AK250&lt;=AJ250,"Sim","Não")))</f>
        <v>Não</v>
      </c>
      <c r="AN250" s="7" t="n">
        <v>1</v>
      </c>
      <c r="AO250" s="7" t="n">
        <v>2</v>
      </c>
      <c r="AP250" s="4" t="n">
        <f aca="false">IF(OR(AN250="",AO250=""),"",IFERROR(IF($K250="%",AO250-AN250,AO250/AN250-1),""))</f>
        <v>1</v>
      </c>
      <c r="AQ250" s="5" t="str">
        <f aca="false">IF(OR(AN250="",AO250=""),"",IF($F250="Maior Melhor",IF(AO250&gt;=AN250,"Sim","Não"),IF(AO250&lt;=AN250,"Sim","Não")))</f>
        <v>Não</v>
      </c>
      <c r="AR250" s="7" t="n">
        <v>15</v>
      </c>
      <c r="AS250" s="7" t="n">
        <v>17</v>
      </c>
      <c r="AT250" s="4" t="n">
        <f aca="false">IF(OR(AR250="",AS250=""),"",IFERROR(IF($K250="%",AS250-AR250,AS250/AR250-1),""))</f>
        <v>0.133333333333333</v>
      </c>
      <c r="AU250" s="5" t="str">
        <f aca="false">IF(OR(AR250="",AS250=""),"",IF($F250="Maior Melhor",IF(AS250&gt;=AR250,"Sim","Não"),IF(AS250&lt;=AR250,"Sim","Não")))</f>
        <v>Não</v>
      </c>
      <c r="AV250" s="7" t="n">
        <v>2</v>
      </c>
      <c r="AW250" s="7" t="n">
        <v>4</v>
      </c>
      <c r="AX250" s="4" t="n">
        <f aca="false">IF(OR(AV250="",AW250=""),"",IFERROR(IF($K250="%",AW250-AV250,AW250/AV250-1),""))</f>
        <v>1</v>
      </c>
      <c r="AY250" s="5" t="str">
        <f aca="false">IF(OR(AV250="",AW250=""),"",IF($F250="Maior Melhor",IF(AW250&gt;=AV250,"Sim","Não"),IF(AW250&lt;=AV250,"Sim","Não")))</f>
        <v>Não</v>
      </c>
      <c r="AZ250" s="7" t="n">
        <v>17</v>
      </c>
      <c r="BA250" s="7" t="n">
        <v>21</v>
      </c>
      <c r="BB250" s="4" t="n">
        <f aca="false">IF(OR(AZ250="",BA250=""),"",IFERROR(IF($K250="%",BA250-AZ250,BA250/AZ250-1),""))</f>
        <v>0.235294117647059</v>
      </c>
      <c r="BC250" s="5" t="str">
        <f aca="false">IF(OR(AZ250="",BA250=""),"",IF($F250="Maior Melhor",IF(BA250&gt;=AZ250,"Sim","Não"),IF(BA250&lt;=AZ250,"Sim","Não")))</f>
        <v>Não</v>
      </c>
      <c r="BD250" s="7" t="n">
        <v>2</v>
      </c>
      <c r="BE250" s="7" t="n">
        <v>0</v>
      </c>
      <c r="BF250" s="4" t="n">
        <f aca="false">IF(OR(BD250="",BE250=""),"",IFERROR(IF($K250="%",BE250-BD250,BE250/BD250-1),""))</f>
        <v>-1</v>
      </c>
      <c r="BG250" s="5" t="str">
        <f aca="false">IF(OR(BD250="",BE250=""),"",IF($F250="Maior Melhor",IF(BE250&gt;=BD250,"Sim","Não"),IF(BE250&lt;=BD250,"Sim","Não")))</f>
        <v>Sim</v>
      </c>
      <c r="BH250" s="7" t="n">
        <v>19</v>
      </c>
      <c r="BI250" s="7" t="n">
        <v>21</v>
      </c>
      <c r="BJ250" s="4" t="n">
        <f aca="false">IF(OR(BH250="",BI250=""),"",IFERROR(IF($K250="%",BI250-BH250,BI250/BH250-1),""))</f>
        <v>0.105263157894737</v>
      </c>
      <c r="BK250" s="5" t="str">
        <f aca="false">IF(OR(BH250="",BI250=""),"",IF($F250="Maior Melhor",IF(BI250&gt;=BH250,"Sim","Não"),IF(BI250&lt;=BH250,"Sim","Não")))</f>
        <v>Não</v>
      </c>
      <c r="BL250" s="8"/>
      <c r="BM250" s="8"/>
      <c r="BN250" s="4" t="str">
        <f aca="false">IF(OR(BL250="",BM250=""),"",IFERROR(IF($K250="%",BM250-BL250,BM250/BL250-1),""))</f>
        <v/>
      </c>
      <c r="BO250" s="5" t="str">
        <f aca="false">IF(OR(BL250="",BM250=""),"",IF($F250="Maior Melhor",IF(BM250&gt;=BL250,"Sim","Não"),IF(BM250&lt;=BL250,"Sim","Não")))</f>
        <v/>
      </c>
      <c r="BP250" s="8"/>
      <c r="BQ250" s="8"/>
      <c r="BR250" s="4" t="str">
        <f aca="false">IF(OR(BP250="",BQ250=""),"",IFERROR(IF($K250="%",BQ250-BP250,BQ250/BP250-1),""))</f>
        <v/>
      </c>
      <c r="BS250" s="5" t="str">
        <f aca="false">IF(OR(BP250="",BQ250=""),"",IF($F250="Maior Melhor",IF(BQ250&gt;=BP250,"Sim","Não"),IF(BQ250&lt;=BP250,"Sim","Não")))</f>
        <v/>
      </c>
      <c r="BT250" s="8"/>
      <c r="BU250" s="8"/>
      <c r="BV250" s="4" t="str">
        <f aca="false">IF(OR(BT250="",BU250=""),"",IFERROR(IF($K250="%",BU250-BT250,BU250/BT250-1),""))</f>
        <v/>
      </c>
      <c r="BW250" s="5" t="str">
        <f aca="false">IF(OR(BT250="",BU250=""),"",IF($F250="Maior Melhor",IF(BU250&gt;=BT250,"Sim","Não"),IF(BU250&lt;=BT250,"Sim","Não")))</f>
        <v/>
      </c>
      <c r="BX250" s="8"/>
      <c r="BY250" s="8"/>
      <c r="BZ250" s="4" t="str">
        <f aca="false">IF(OR(BX250="",BY250=""),"",IFERROR(IF($K250="%",BY250-BX250,BY250/BX250-1),""))</f>
        <v/>
      </c>
      <c r="CA250" s="5" t="str">
        <f aca="false">IF(OR(BX250="",BY250=""),"",IF($F250="Maior Melhor",IF(BY250&gt;=BX250,"Sim","Não"),IF(BY250&lt;=BX250,"Sim","Não")))</f>
        <v/>
      </c>
      <c r="CB250" s="8"/>
      <c r="CC250" s="8"/>
      <c r="CD250" s="4" t="str">
        <f aca="false">IF(OR(CB250="",CC250=""),"",IFERROR(IF($K250="%",CC250-CB250,CC250/CB250-1),""))</f>
        <v/>
      </c>
      <c r="CE250" s="5" t="str">
        <f aca="false">IF(OR(CB250="",CC250=""),"",IF($F250="Maior Melhor",IF(CC250&gt;=CB250,"Sim","Não"),IF(CC250&lt;=CB250,"Sim","Não")))</f>
        <v/>
      </c>
      <c r="CF250" s="8"/>
      <c r="CG250" s="8"/>
      <c r="CH250" s="4" t="str">
        <f aca="false">IF(OR(CF250="",CG250=""),"",IFERROR(IF($K250="%",CG250-CF250,CG250/CF250-1),""))</f>
        <v/>
      </c>
      <c r="CI250" s="5" t="str">
        <f aca="false">IF(OR(CF250="",CG250=""),"",IF($F250="Maior Melhor",IF(CG250&gt;=CF250,"Sim","Não"),IF(CG250&lt;=CF250,"Sim","Não")))</f>
        <v/>
      </c>
      <c r="CJ250" s="8"/>
      <c r="CK250" s="8"/>
      <c r="CL250" s="4" t="str">
        <f aca="false">IF(OR(CJ250="",CK250=""),"",IFERROR(IF($K250="%",CK250-CJ250,CK250/CJ250-1),""))</f>
        <v/>
      </c>
      <c r="CM250" s="5" t="str">
        <f aca="false">IF(OR(CJ250="",CK250=""),"",IF($F250="Maior Melhor",IF(CK250&gt;=CJ250,"Sim","Não"),IF(CK250&lt;=CJ250,"Sim","Não")))</f>
        <v/>
      </c>
      <c r="CN250" s="8"/>
      <c r="CO250" s="8"/>
      <c r="CP250" s="4" t="str">
        <f aca="false">IF(OR(CN250="",CO250=""),"",IFERROR(IF($K250="%",CO250-CN250,CO250/CN250-1),""))</f>
        <v/>
      </c>
      <c r="CQ250" s="5" t="str">
        <f aca="false">IF(OR(CN250="",CO250=""),"",IF($F250="Maior Melhor",IF(CO250&gt;=CN250,"Sim","Não"),IF(CO250&lt;=CN250,"Sim","Não")))</f>
        <v/>
      </c>
      <c r="CR250" s="2" t="s">
        <v>105</v>
      </c>
    </row>
    <row r="251" customFormat="false" ht="15" hidden="false" customHeight="false" outlineLevel="0" collapsed="false">
      <c r="A251" s="2" t="s">
        <v>161</v>
      </c>
      <c r="B251" s="2" t="s">
        <v>106</v>
      </c>
      <c r="C251" s="2" t="s">
        <v>128</v>
      </c>
      <c r="D251" s="2" t="s">
        <v>183</v>
      </c>
      <c r="E251" s="2" t="str">
        <f aca="false">C251&amp;D251</f>
        <v>UTD SANTA MARIA DA VITORIAMídias Negativas</v>
      </c>
      <c r="F251" s="2" t="s">
        <v>167</v>
      </c>
      <c r="G251" s="2" t="s">
        <v>184</v>
      </c>
      <c r="H251" s="2" t="s">
        <v>102</v>
      </c>
      <c r="I251" s="2" t="s">
        <v>169</v>
      </c>
      <c r="J251" s="2" t="n">
        <v>2</v>
      </c>
      <c r="K251" s="2" t="s">
        <v>147</v>
      </c>
      <c r="L251" s="7" t="n">
        <v>1</v>
      </c>
      <c r="M251" s="7" t="n">
        <v>0</v>
      </c>
      <c r="N251" s="4" t="n">
        <f aca="false">IF(OR(L251="",M251=""),"",IFERROR(IF($K251="%",M251-L251,M251/L251-1),""))</f>
        <v>-1</v>
      </c>
      <c r="O251" s="5" t="str">
        <f aca="false">IF(OR(L251="",M251=""),"",IF($F251="Maior Melhor",IF(M251&gt;=L251,"Sim","Não"),IF(M251&lt;=L251,"Sim","Não")))</f>
        <v>Sim</v>
      </c>
      <c r="P251" s="7" t="n">
        <v>0</v>
      </c>
      <c r="Q251" s="7" t="n">
        <v>3</v>
      </c>
      <c r="R251" s="4" t="str">
        <f aca="false">IF(OR(P251="",Q251=""),"",IFERROR(IF($K251="%",Q251-P251,Q251/P251-1),""))</f>
        <v/>
      </c>
      <c r="S251" s="5" t="str">
        <f aca="false">IF(OR(P251="",Q251=""),"",IF($F251="Maior Melhor",IF(Q251&gt;=P251,"Sim","Não"),IF(Q251&lt;=P251,"Sim","Não")))</f>
        <v>Não</v>
      </c>
      <c r="T251" s="7" t="n">
        <v>0</v>
      </c>
      <c r="U251" s="7" t="n">
        <v>0</v>
      </c>
      <c r="V251" s="4" t="str">
        <f aca="false">IF(OR(T251="",U251=""),"",IFERROR(IF($K251="%",U251-T251,U251/T251-1),""))</f>
        <v/>
      </c>
      <c r="W251" s="5" t="str">
        <f aca="false">IF(OR(T251="",U251=""),"",IF($F251="Maior Melhor",IF(U251&gt;=T251,"Sim","Não"),IF(U251&lt;=T251,"Sim","Não")))</f>
        <v>Sim</v>
      </c>
      <c r="X251" s="7" t="n">
        <v>2</v>
      </c>
      <c r="Y251" s="7" t="n">
        <v>0</v>
      </c>
      <c r="Z251" s="4" t="n">
        <f aca="false">IF(OR(X251="",Y251=""),"",IFERROR(IF($K251="%",Y251-X251,Y251/X251-1),""))</f>
        <v>-1</v>
      </c>
      <c r="AA251" s="5" t="str">
        <f aca="false">IF(OR(X251="",Y251=""),"",IF($F251="Maior Melhor",IF(Y251&gt;=X251,"Sim","Não"),IF(Y251&lt;=X251,"Sim","Não")))</f>
        <v>Sim</v>
      </c>
      <c r="AB251" s="7" t="n">
        <v>3</v>
      </c>
      <c r="AC251" s="7" t="n">
        <v>3</v>
      </c>
      <c r="AD251" s="4" t="n">
        <f aca="false">IF(OR(AB251="",AC251=""),"",IFERROR(IF($K251="%",AC251-AB251,AC251/AB251-1),""))</f>
        <v>0</v>
      </c>
      <c r="AE251" s="5" t="str">
        <f aca="false">IF(OR(AB251="",AC251=""),"",IF($F251="Maior Melhor",IF(AC251&gt;=AB251,"Sim","Não"),IF(AC251&lt;=AB251,"Sim","Não")))</f>
        <v>Sim</v>
      </c>
      <c r="AF251" s="7" t="n">
        <v>0.0001</v>
      </c>
      <c r="AG251" s="7" t="n">
        <v>0</v>
      </c>
      <c r="AH251" s="4" t="n">
        <f aca="false">IF(OR(AF251="",AG251=""),"",IFERROR(IF($K251="%",AG251-AF251,AG251/AF251-1),""))</f>
        <v>-1</v>
      </c>
      <c r="AI251" s="5" t="str">
        <f aca="false">IF(OR(AF251="",AG251=""),"",IF($F251="Maior Melhor",IF(AG251&gt;=AF251,"Sim","Não"),IF(AG251&lt;=AF251,"Sim","Não")))</f>
        <v>Sim</v>
      </c>
      <c r="AJ251" s="7" t="n">
        <v>3</v>
      </c>
      <c r="AK251" s="7" t="n">
        <v>3</v>
      </c>
      <c r="AL251" s="4" t="n">
        <f aca="false">IF(OR(AJ251="",AK251=""),"",IFERROR(IF($K251="%",AK251-AJ251,AK251/AJ251-1),""))</f>
        <v>0</v>
      </c>
      <c r="AM251" s="5" t="str">
        <f aca="false">IF(OR(AJ251="",AK251=""),"",IF($F251="Maior Melhor",IF(AK251&gt;=AJ251,"Sim","Não"),IF(AK251&lt;=AJ251,"Sim","Não")))</f>
        <v>Sim</v>
      </c>
      <c r="AN251" s="7" t="n">
        <v>0</v>
      </c>
      <c r="AO251" s="7" t="n">
        <v>0</v>
      </c>
      <c r="AP251" s="4" t="str">
        <f aca="false">IF(OR(AN251="",AO251=""),"",IFERROR(IF($K251="%",AO251-AN251,AO251/AN251-1),""))</f>
        <v/>
      </c>
      <c r="AQ251" s="5" t="str">
        <f aca="false">IF(OR(AN251="",AO251=""),"",IF($F251="Maior Melhor",IF(AO251&gt;=AN251,"Sim","Não"),IF(AO251&lt;=AN251,"Sim","Não")))</f>
        <v>Sim</v>
      </c>
      <c r="AR251" s="7" t="n">
        <v>3</v>
      </c>
      <c r="AS251" s="7" t="n">
        <v>3</v>
      </c>
      <c r="AT251" s="4" t="n">
        <f aca="false">IF(OR(AR251="",AS251=""),"",IFERROR(IF($K251="%",AS251-AR251,AS251/AR251-1),""))</f>
        <v>0</v>
      </c>
      <c r="AU251" s="5" t="str">
        <f aca="false">IF(OR(AR251="",AS251=""),"",IF($F251="Maior Melhor",IF(AS251&gt;=AR251,"Sim","Não"),IF(AS251&lt;=AR251,"Sim","Não")))</f>
        <v>Sim</v>
      </c>
      <c r="AV251" s="7" t="n">
        <v>1</v>
      </c>
      <c r="AW251" s="7" t="n">
        <v>0</v>
      </c>
      <c r="AX251" s="4" t="n">
        <f aca="false">IF(OR(AV251="",AW251=""),"",IFERROR(IF($K251="%",AW251-AV251,AW251/AV251-1),""))</f>
        <v>-1</v>
      </c>
      <c r="AY251" s="5" t="str">
        <f aca="false">IF(OR(AV251="",AW251=""),"",IF($F251="Maior Melhor",IF(AW251&gt;=AV251,"Sim","Não"),IF(AW251&lt;=AV251,"Sim","Não")))</f>
        <v>Sim</v>
      </c>
      <c r="AZ251" s="7" t="n">
        <v>4</v>
      </c>
      <c r="BA251" s="7" t="n">
        <v>3</v>
      </c>
      <c r="BB251" s="4" t="n">
        <f aca="false">IF(OR(AZ251="",BA251=""),"",IFERROR(IF($K251="%",BA251-AZ251,BA251/AZ251-1),""))</f>
        <v>-0.25</v>
      </c>
      <c r="BC251" s="5" t="str">
        <f aca="false">IF(OR(AZ251="",BA251=""),"",IF($F251="Maior Melhor",IF(BA251&gt;=AZ251,"Sim","Não"),IF(BA251&lt;=AZ251,"Sim","Não")))</f>
        <v>Sim</v>
      </c>
      <c r="BD251" s="7" t="n">
        <v>0</v>
      </c>
      <c r="BE251" s="7" t="n">
        <v>0</v>
      </c>
      <c r="BF251" s="4" t="str">
        <f aca="false">IF(OR(BD251="",BE251=""),"",IFERROR(IF($K251="%",BE251-BD251,BE251/BD251-1),""))</f>
        <v/>
      </c>
      <c r="BG251" s="5" t="str">
        <f aca="false">IF(OR(BD251="",BE251=""),"",IF($F251="Maior Melhor",IF(BE251&gt;=BD251,"Sim","Não"),IF(BE251&lt;=BD251,"Sim","Não")))</f>
        <v>Sim</v>
      </c>
      <c r="BH251" s="7" t="n">
        <v>4</v>
      </c>
      <c r="BI251" s="7" t="n">
        <v>3</v>
      </c>
      <c r="BJ251" s="4" t="n">
        <f aca="false">IF(OR(BH251="",BI251=""),"",IFERROR(IF($K251="%",BI251-BH251,BI251/BH251-1),""))</f>
        <v>-0.25</v>
      </c>
      <c r="BK251" s="5" t="str">
        <f aca="false">IF(OR(BH251="",BI251=""),"",IF($F251="Maior Melhor",IF(BI251&gt;=BH251,"Sim","Não"),IF(BI251&lt;=BH251,"Sim","Não")))</f>
        <v>Sim</v>
      </c>
      <c r="BL251" s="8"/>
      <c r="BM251" s="8"/>
      <c r="BN251" s="4" t="str">
        <f aca="false">IF(OR(BL251="",BM251=""),"",IFERROR(IF($K251="%",BM251-BL251,BM251/BL251-1),""))</f>
        <v/>
      </c>
      <c r="BO251" s="5" t="str">
        <f aca="false">IF(OR(BL251="",BM251=""),"",IF($F251="Maior Melhor",IF(BM251&gt;=BL251,"Sim","Não"),IF(BM251&lt;=BL251,"Sim","Não")))</f>
        <v/>
      </c>
      <c r="BP251" s="8"/>
      <c r="BQ251" s="8"/>
      <c r="BR251" s="4" t="str">
        <f aca="false">IF(OR(BP251="",BQ251=""),"",IFERROR(IF($K251="%",BQ251-BP251,BQ251/BP251-1),""))</f>
        <v/>
      </c>
      <c r="BS251" s="5" t="str">
        <f aca="false">IF(OR(BP251="",BQ251=""),"",IF($F251="Maior Melhor",IF(BQ251&gt;=BP251,"Sim","Não"),IF(BQ251&lt;=BP251,"Sim","Não")))</f>
        <v/>
      </c>
      <c r="BT251" s="8"/>
      <c r="BU251" s="8"/>
      <c r="BV251" s="4" t="str">
        <f aca="false">IF(OR(BT251="",BU251=""),"",IFERROR(IF($K251="%",BU251-BT251,BU251/BT251-1),""))</f>
        <v/>
      </c>
      <c r="BW251" s="5" t="str">
        <f aca="false">IF(OR(BT251="",BU251=""),"",IF($F251="Maior Melhor",IF(BU251&gt;=BT251,"Sim","Não"),IF(BU251&lt;=BT251,"Sim","Não")))</f>
        <v/>
      </c>
      <c r="BX251" s="8"/>
      <c r="BY251" s="8"/>
      <c r="BZ251" s="4" t="str">
        <f aca="false">IF(OR(BX251="",BY251=""),"",IFERROR(IF($K251="%",BY251-BX251,BY251/BX251-1),""))</f>
        <v/>
      </c>
      <c r="CA251" s="5" t="str">
        <f aca="false">IF(OR(BX251="",BY251=""),"",IF($F251="Maior Melhor",IF(BY251&gt;=BX251,"Sim","Não"),IF(BY251&lt;=BX251,"Sim","Não")))</f>
        <v/>
      </c>
      <c r="CB251" s="8"/>
      <c r="CC251" s="8"/>
      <c r="CD251" s="4" t="str">
        <f aca="false">IF(OR(CB251="",CC251=""),"",IFERROR(IF($K251="%",CC251-CB251,CC251/CB251-1),""))</f>
        <v/>
      </c>
      <c r="CE251" s="5" t="str">
        <f aca="false">IF(OR(CB251="",CC251=""),"",IF($F251="Maior Melhor",IF(CC251&gt;=CB251,"Sim","Não"),IF(CC251&lt;=CB251,"Sim","Não")))</f>
        <v/>
      </c>
      <c r="CF251" s="8"/>
      <c r="CG251" s="8"/>
      <c r="CH251" s="4" t="str">
        <f aca="false">IF(OR(CF251="",CG251=""),"",IFERROR(IF($K251="%",CG251-CF251,CG251/CF251-1),""))</f>
        <v/>
      </c>
      <c r="CI251" s="5" t="str">
        <f aca="false">IF(OR(CF251="",CG251=""),"",IF($F251="Maior Melhor",IF(CG251&gt;=CF251,"Sim","Não"),IF(CG251&lt;=CF251,"Sim","Não")))</f>
        <v/>
      </c>
      <c r="CJ251" s="8"/>
      <c r="CK251" s="8"/>
      <c r="CL251" s="4" t="str">
        <f aca="false">IF(OR(CJ251="",CK251=""),"",IFERROR(IF($K251="%",CK251-CJ251,CK251/CJ251-1),""))</f>
        <v/>
      </c>
      <c r="CM251" s="5" t="str">
        <f aca="false">IF(OR(CJ251="",CK251=""),"",IF($F251="Maior Melhor",IF(CK251&gt;=CJ251,"Sim","Não"),IF(CK251&lt;=CJ251,"Sim","Não")))</f>
        <v/>
      </c>
      <c r="CN251" s="8"/>
      <c r="CO251" s="8"/>
      <c r="CP251" s="4" t="str">
        <f aca="false">IF(OR(CN251="",CO251=""),"",IFERROR(IF($K251="%",CO251-CN251,CO251/CN251-1),""))</f>
        <v/>
      </c>
      <c r="CQ251" s="5" t="str">
        <f aca="false">IF(OR(CN251="",CO251=""),"",IF($F251="Maior Melhor",IF(CO251&gt;=CN251,"Sim","Não"),IF(CO251&lt;=CN251,"Sim","Não")))</f>
        <v/>
      </c>
      <c r="CR251" s="2" t="s">
        <v>160</v>
      </c>
    </row>
    <row r="252" customFormat="false" ht="15" hidden="false" customHeight="false" outlineLevel="0" collapsed="false">
      <c r="A252" s="2" t="s">
        <v>161</v>
      </c>
      <c r="B252" s="2" t="s">
        <v>97</v>
      </c>
      <c r="C252" s="2" t="s">
        <v>130</v>
      </c>
      <c r="D252" s="2" t="s">
        <v>183</v>
      </c>
      <c r="E252" s="2" t="str">
        <f aca="false">C252&amp;D252</f>
        <v>UTD SEABRAMídias Negativas</v>
      </c>
      <c r="F252" s="2" t="s">
        <v>167</v>
      </c>
      <c r="G252" s="2" t="s">
        <v>184</v>
      </c>
      <c r="H252" s="2" t="s">
        <v>102</v>
      </c>
      <c r="I252" s="2" t="s">
        <v>169</v>
      </c>
      <c r="J252" s="2" t="n">
        <v>2</v>
      </c>
      <c r="K252" s="2" t="s">
        <v>147</v>
      </c>
      <c r="L252" s="7" t="n">
        <v>0</v>
      </c>
      <c r="M252" s="7" t="n">
        <v>0</v>
      </c>
      <c r="N252" s="4" t="str">
        <f aca="false">IF(OR(L252="",M252=""),"",IFERROR(IF($K252="%",M252-L252,M252/L252-1),""))</f>
        <v/>
      </c>
      <c r="O252" s="5" t="str">
        <f aca="false">IF(OR(L252="",M252=""),"",IF($F252="Maior Melhor",IF(M252&gt;=L252,"Sim","Não"),IF(M252&lt;=L252,"Sim","Não")))</f>
        <v>Sim</v>
      </c>
      <c r="P252" s="7" t="n">
        <v>0</v>
      </c>
      <c r="Q252" s="7" t="n">
        <v>0</v>
      </c>
      <c r="R252" s="4" t="str">
        <f aca="false">IF(OR(P252="",Q252=""),"",IFERROR(IF($K252="%",Q252-P252,Q252/P252-1),""))</f>
        <v/>
      </c>
      <c r="S252" s="5" t="str">
        <f aca="false">IF(OR(P252="",Q252=""),"",IF($F252="Maior Melhor",IF(Q252&gt;=P252,"Sim","Não"),IF(Q252&lt;=P252,"Sim","Não")))</f>
        <v>Sim</v>
      </c>
      <c r="T252" s="7" t="n">
        <v>0</v>
      </c>
      <c r="U252" s="7" t="n">
        <v>5</v>
      </c>
      <c r="V252" s="4" t="str">
        <f aca="false">IF(OR(T252="",U252=""),"",IFERROR(IF($K252="%",U252-T252,U252/T252-1),""))</f>
        <v/>
      </c>
      <c r="W252" s="5" t="str">
        <f aca="false">IF(OR(T252="",U252=""),"",IF($F252="Maior Melhor",IF(U252&gt;=T252,"Sim","Não"),IF(U252&lt;=T252,"Sim","Não")))</f>
        <v>Não</v>
      </c>
      <c r="X252" s="7" t="n">
        <v>0</v>
      </c>
      <c r="Y252" s="7" t="n">
        <v>0</v>
      </c>
      <c r="Z252" s="4" t="str">
        <f aca="false">IF(OR(X252="",Y252=""),"",IFERROR(IF($K252="%",Y252-X252,Y252/X252-1),""))</f>
        <v/>
      </c>
      <c r="AA252" s="5" t="str">
        <f aca="false">IF(OR(X252="",Y252=""),"",IF($F252="Maior Melhor",IF(Y252&gt;=X252,"Sim","Não"),IF(Y252&lt;=X252,"Sim","Não")))</f>
        <v>Sim</v>
      </c>
      <c r="AB252" s="7" t="n">
        <v>0</v>
      </c>
      <c r="AC252" s="7" t="n">
        <v>5</v>
      </c>
      <c r="AD252" s="4" t="str">
        <f aca="false">IF(OR(AB252="",AC252=""),"",IFERROR(IF($K252="%",AC252-AB252,AC252/AB252-1),""))</f>
        <v/>
      </c>
      <c r="AE252" s="5" t="str">
        <f aca="false">IF(OR(AB252="",AC252=""),"",IF($F252="Maior Melhor",IF(AC252&gt;=AB252,"Sim","Não"),IF(AC252&lt;=AB252,"Sim","Não")))</f>
        <v>Não</v>
      </c>
      <c r="AF252" s="7" t="n">
        <v>0.0001</v>
      </c>
      <c r="AG252" s="7" t="n">
        <v>0</v>
      </c>
      <c r="AH252" s="4" t="n">
        <f aca="false">IF(OR(AF252="",AG252=""),"",IFERROR(IF($K252="%",AG252-AF252,AG252/AF252-1),""))</f>
        <v>-1</v>
      </c>
      <c r="AI252" s="5" t="str">
        <f aca="false">IF(OR(AF252="",AG252=""),"",IF($F252="Maior Melhor",IF(AG252&gt;=AF252,"Sim","Não"),IF(AG252&lt;=AF252,"Sim","Não")))</f>
        <v>Sim</v>
      </c>
      <c r="AJ252" s="7" t="n">
        <v>0</v>
      </c>
      <c r="AK252" s="7" t="n">
        <v>5</v>
      </c>
      <c r="AL252" s="4" t="str">
        <f aca="false">IF(OR(AJ252="",AK252=""),"",IFERROR(IF($K252="%",AK252-AJ252,AK252/AJ252-1),""))</f>
        <v/>
      </c>
      <c r="AM252" s="5" t="str">
        <f aca="false">IF(OR(AJ252="",AK252=""),"",IF($F252="Maior Melhor",IF(AK252&gt;=AJ252,"Sim","Não"),IF(AK252&lt;=AJ252,"Sim","Não")))</f>
        <v>Não</v>
      </c>
      <c r="AN252" s="7" t="n">
        <v>0</v>
      </c>
      <c r="AO252" s="7" t="n">
        <v>1</v>
      </c>
      <c r="AP252" s="4" t="str">
        <f aca="false">IF(OR(AN252="",AO252=""),"",IFERROR(IF($K252="%",AO252-AN252,AO252/AN252-1),""))</f>
        <v/>
      </c>
      <c r="AQ252" s="5" t="str">
        <f aca="false">IF(OR(AN252="",AO252=""),"",IF($F252="Maior Melhor",IF(AO252&gt;=AN252,"Sim","Não"),IF(AO252&lt;=AN252,"Sim","Não")))</f>
        <v>Não</v>
      </c>
      <c r="AR252" s="7" t="n">
        <v>0</v>
      </c>
      <c r="AS252" s="7" t="n">
        <v>6</v>
      </c>
      <c r="AT252" s="4" t="str">
        <f aca="false">IF(OR(AR252="",AS252=""),"",IFERROR(IF($K252="%",AS252-AR252,AS252/AR252-1),""))</f>
        <v/>
      </c>
      <c r="AU252" s="5" t="str">
        <f aca="false">IF(OR(AR252="",AS252=""),"",IF($F252="Maior Melhor",IF(AS252&gt;=AR252,"Sim","Não"),IF(AS252&lt;=AR252,"Sim","Não")))</f>
        <v>Não</v>
      </c>
      <c r="AV252" s="7" t="n">
        <v>0</v>
      </c>
      <c r="AW252" s="7" t="n">
        <v>0</v>
      </c>
      <c r="AX252" s="4" t="str">
        <f aca="false">IF(OR(AV252="",AW252=""),"",IFERROR(IF($K252="%",AW252-AV252,AW252/AV252-1),""))</f>
        <v/>
      </c>
      <c r="AY252" s="5" t="str">
        <f aca="false">IF(OR(AV252="",AW252=""),"",IF($F252="Maior Melhor",IF(AW252&gt;=AV252,"Sim","Não"),IF(AW252&lt;=AV252,"Sim","Não")))</f>
        <v>Sim</v>
      </c>
      <c r="AZ252" s="7" t="n">
        <v>0</v>
      </c>
      <c r="BA252" s="7" t="n">
        <v>5</v>
      </c>
      <c r="BB252" s="4" t="str">
        <f aca="false">IF(OR(AZ252="",BA252=""),"",IFERROR(IF($K252="%",BA252-AZ252,BA252/AZ252-1),""))</f>
        <v/>
      </c>
      <c r="BC252" s="5" t="str">
        <f aca="false">IF(OR(AZ252="",BA252=""),"",IF($F252="Maior Melhor",IF(BA252&gt;=AZ252,"Sim","Não"),IF(BA252&lt;=AZ252,"Sim","Não")))</f>
        <v>Não</v>
      </c>
      <c r="BD252" s="7" t="n">
        <v>0</v>
      </c>
      <c r="BE252" s="7" t="n">
        <v>0</v>
      </c>
      <c r="BF252" s="4" t="str">
        <f aca="false">IF(OR(BD252="",BE252=""),"",IFERROR(IF($K252="%",BE252-BD252,BE252/BD252-1),""))</f>
        <v/>
      </c>
      <c r="BG252" s="5" t="str">
        <f aca="false">IF(OR(BD252="",BE252=""),"",IF($F252="Maior Melhor",IF(BE252&gt;=BD252,"Sim","Não"),IF(BE252&lt;=BD252,"Sim","Não")))</f>
        <v>Sim</v>
      </c>
      <c r="BH252" s="7" t="n">
        <v>0</v>
      </c>
      <c r="BI252" s="7" t="n">
        <v>0</v>
      </c>
      <c r="BJ252" s="4" t="str">
        <f aca="false">IF(OR(BH252="",BI252=""),"",IFERROR(IF($K252="%",BI252-BH252,BI252/BH252-1),""))</f>
        <v/>
      </c>
      <c r="BK252" s="5" t="str">
        <f aca="false">IF(OR(BH252="",BI252=""),"",IF($F252="Maior Melhor",IF(BI252&gt;=BH252,"Sim","Não"),IF(BI252&lt;=BH252,"Sim","Não")))</f>
        <v>Sim</v>
      </c>
      <c r="BL252" s="8"/>
      <c r="BM252" s="8"/>
      <c r="BN252" s="4" t="str">
        <f aca="false">IF(OR(BL252="",BM252=""),"",IFERROR(IF($K252="%",BM252-BL252,BM252/BL252-1),""))</f>
        <v/>
      </c>
      <c r="BO252" s="5" t="str">
        <f aca="false">IF(OR(BL252="",BM252=""),"",IF($F252="Maior Melhor",IF(BM252&gt;=BL252,"Sim","Não"),IF(BM252&lt;=BL252,"Sim","Não")))</f>
        <v/>
      </c>
      <c r="BP252" s="8"/>
      <c r="BQ252" s="8"/>
      <c r="BR252" s="4" t="str">
        <f aca="false">IF(OR(BP252="",BQ252=""),"",IFERROR(IF($K252="%",BQ252-BP252,BQ252/BP252-1),""))</f>
        <v/>
      </c>
      <c r="BS252" s="5" t="str">
        <f aca="false">IF(OR(BP252="",BQ252=""),"",IF($F252="Maior Melhor",IF(BQ252&gt;=BP252,"Sim","Não"),IF(BQ252&lt;=BP252,"Sim","Não")))</f>
        <v/>
      </c>
      <c r="BT252" s="8"/>
      <c r="BU252" s="8"/>
      <c r="BV252" s="4" t="str">
        <f aca="false">IF(OR(BT252="",BU252=""),"",IFERROR(IF($K252="%",BU252-BT252,BU252/BT252-1),""))</f>
        <v/>
      </c>
      <c r="BW252" s="5" t="str">
        <f aca="false">IF(OR(BT252="",BU252=""),"",IF($F252="Maior Melhor",IF(BU252&gt;=BT252,"Sim","Não"),IF(BU252&lt;=BT252,"Sim","Não")))</f>
        <v/>
      </c>
      <c r="BX252" s="8"/>
      <c r="BY252" s="8"/>
      <c r="BZ252" s="4" t="str">
        <f aca="false">IF(OR(BX252="",BY252=""),"",IFERROR(IF($K252="%",BY252-BX252,BY252/BX252-1),""))</f>
        <v/>
      </c>
      <c r="CA252" s="5" t="str">
        <f aca="false">IF(OR(BX252="",BY252=""),"",IF($F252="Maior Melhor",IF(BY252&gt;=BX252,"Sim","Não"),IF(BY252&lt;=BX252,"Sim","Não")))</f>
        <v/>
      </c>
      <c r="CB252" s="8"/>
      <c r="CC252" s="8"/>
      <c r="CD252" s="4" t="str">
        <f aca="false">IF(OR(CB252="",CC252=""),"",IFERROR(IF($K252="%",CC252-CB252,CC252/CB252-1),""))</f>
        <v/>
      </c>
      <c r="CE252" s="5" t="str">
        <f aca="false">IF(OR(CB252="",CC252=""),"",IF($F252="Maior Melhor",IF(CC252&gt;=CB252,"Sim","Não"),IF(CC252&lt;=CB252,"Sim","Não")))</f>
        <v/>
      </c>
      <c r="CF252" s="8"/>
      <c r="CG252" s="8"/>
      <c r="CH252" s="4" t="str">
        <f aca="false">IF(OR(CF252="",CG252=""),"",IFERROR(IF($K252="%",CG252-CF252,CG252/CF252-1),""))</f>
        <v/>
      </c>
      <c r="CI252" s="5" t="str">
        <f aca="false">IF(OR(CF252="",CG252=""),"",IF($F252="Maior Melhor",IF(CG252&gt;=CF252,"Sim","Não"),IF(CG252&lt;=CF252,"Sim","Não")))</f>
        <v/>
      </c>
      <c r="CJ252" s="8"/>
      <c r="CK252" s="8"/>
      <c r="CL252" s="4" t="str">
        <f aca="false">IF(OR(CJ252="",CK252=""),"",IFERROR(IF($K252="%",CK252-CJ252,CK252/CJ252-1),""))</f>
        <v/>
      </c>
      <c r="CM252" s="5" t="str">
        <f aca="false">IF(OR(CJ252="",CK252=""),"",IF($F252="Maior Melhor",IF(CK252&gt;=CJ252,"Sim","Não"),IF(CK252&lt;=CJ252,"Sim","Não")))</f>
        <v/>
      </c>
      <c r="CN252" s="8"/>
      <c r="CO252" s="8"/>
      <c r="CP252" s="4" t="str">
        <f aca="false">IF(OR(CN252="",CO252=""),"",IFERROR(IF($K252="%",CO252-CN252,CO252/CN252-1),""))</f>
        <v/>
      </c>
      <c r="CQ252" s="5" t="str">
        <f aca="false">IF(OR(CN252="",CO252=""),"",IF($F252="Maior Melhor",IF(CO252&gt;=CN252,"Sim","Não"),IF(CO252&lt;=CN252,"Sim","Não")))</f>
        <v/>
      </c>
      <c r="CR252" s="2" t="s">
        <v>105</v>
      </c>
    </row>
    <row r="253" customFormat="false" ht="15" hidden="false" customHeight="false" outlineLevel="0" collapsed="false">
      <c r="A253" s="2" t="s">
        <v>161</v>
      </c>
      <c r="B253" s="2" t="s">
        <v>108</v>
      </c>
      <c r="C253" s="2" t="s">
        <v>131</v>
      </c>
      <c r="D253" s="2" t="s">
        <v>183</v>
      </c>
      <c r="E253" s="2" t="str">
        <f aca="false">C253&amp;D253</f>
        <v>UTD VITORIA DA CONQUISTAMídias Negativas</v>
      </c>
      <c r="F253" s="2" t="s">
        <v>167</v>
      </c>
      <c r="G253" s="2" t="s">
        <v>184</v>
      </c>
      <c r="H253" s="2" t="s">
        <v>102</v>
      </c>
      <c r="I253" s="2" t="s">
        <v>169</v>
      </c>
      <c r="J253" s="2" t="n">
        <v>2</v>
      </c>
      <c r="K253" s="2" t="s">
        <v>147</v>
      </c>
      <c r="L253" s="7" t="n">
        <v>14</v>
      </c>
      <c r="M253" s="7" t="n">
        <v>12</v>
      </c>
      <c r="N253" s="4" t="n">
        <f aca="false">IF(OR(L253="",M253=""),"",IFERROR(IF($K253="%",M253-L253,M253/L253-1),""))</f>
        <v>-0.142857142857143</v>
      </c>
      <c r="O253" s="5" t="str">
        <f aca="false">IF(OR(L253="",M253=""),"",IF($F253="Maior Melhor",IF(M253&gt;=L253,"Sim","Não"),IF(M253&lt;=L253,"Sim","Não")))</f>
        <v>Sim</v>
      </c>
      <c r="P253" s="7" t="n">
        <v>18</v>
      </c>
      <c r="Q253" s="7" t="n">
        <v>13</v>
      </c>
      <c r="R253" s="4" t="n">
        <f aca="false">IF(OR(P253="",Q253=""),"",IFERROR(IF($K253="%",Q253-P253,Q253/P253-1),""))</f>
        <v>-0.277777777777778</v>
      </c>
      <c r="S253" s="5" t="str">
        <f aca="false">IF(OR(P253="",Q253=""),"",IF($F253="Maior Melhor",IF(Q253&gt;=P253,"Sim","Não"),IF(Q253&lt;=P253,"Sim","Não")))</f>
        <v>Sim</v>
      </c>
      <c r="T253" s="7" t="n">
        <v>12</v>
      </c>
      <c r="U253" s="7" t="n">
        <v>22</v>
      </c>
      <c r="V253" s="4" t="n">
        <f aca="false">IF(OR(T253="",U253=""),"",IFERROR(IF($K253="%",U253-T253,U253/T253-1),""))</f>
        <v>0.833333333333333</v>
      </c>
      <c r="W253" s="5" t="str">
        <f aca="false">IF(OR(T253="",U253=""),"",IF($F253="Maior Melhor",IF(U253&gt;=T253,"Sim","Não"),IF(U253&lt;=T253,"Sim","Não")))</f>
        <v>Não</v>
      </c>
      <c r="X253" s="7" t="n">
        <v>18</v>
      </c>
      <c r="Y253" s="7" t="n">
        <v>10</v>
      </c>
      <c r="Z253" s="4" t="n">
        <f aca="false">IF(OR(X253="",Y253=""),"",IFERROR(IF($K253="%",Y253-X253,Y253/X253-1),""))</f>
        <v>-0.444444444444444</v>
      </c>
      <c r="AA253" s="5" t="str">
        <f aca="false">IF(OR(X253="",Y253=""),"",IF($F253="Maior Melhor",IF(Y253&gt;=X253,"Sim","Não"),IF(Y253&lt;=X253,"Sim","Não")))</f>
        <v>Sim</v>
      </c>
      <c r="AB253" s="7" t="n">
        <v>62</v>
      </c>
      <c r="AC253" s="7" t="n">
        <v>57</v>
      </c>
      <c r="AD253" s="4" t="n">
        <f aca="false">IF(OR(AB253="",AC253=""),"",IFERROR(IF($K253="%",AC253-AB253,AC253/AB253-1),""))</f>
        <v>-0.0806451612903226</v>
      </c>
      <c r="AE253" s="5" t="str">
        <f aca="false">IF(OR(AB253="",AC253=""),"",IF($F253="Maior Melhor",IF(AC253&gt;=AB253,"Sim","Não"),IF(AC253&lt;=AB253,"Sim","Não")))</f>
        <v>Sim</v>
      </c>
      <c r="AF253" s="7" t="n">
        <v>10</v>
      </c>
      <c r="AG253" s="7" t="n">
        <v>0</v>
      </c>
      <c r="AH253" s="4" t="n">
        <f aca="false">IF(OR(AF253="",AG253=""),"",IFERROR(IF($K253="%",AG253-AF253,AG253/AF253-1),""))</f>
        <v>-1</v>
      </c>
      <c r="AI253" s="5" t="str">
        <f aca="false">IF(OR(AF253="",AG253=""),"",IF($F253="Maior Melhor",IF(AG253&gt;=AF253,"Sim","Não"),IF(AG253&lt;=AF253,"Sim","Não")))</f>
        <v>Sim</v>
      </c>
      <c r="AJ253" s="7" t="n">
        <v>72</v>
      </c>
      <c r="AK253" s="7" t="n">
        <v>57</v>
      </c>
      <c r="AL253" s="4" t="n">
        <f aca="false">IF(OR(AJ253="",AK253=""),"",IFERROR(IF($K253="%",AK253-AJ253,AK253/AJ253-1),""))</f>
        <v>-0.208333333333333</v>
      </c>
      <c r="AM253" s="5" t="str">
        <f aca="false">IF(OR(AJ253="",AK253=""),"",IF($F253="Maior Melhor",IF(AK253&gt;=AJ253,"Sim","Não"),IF(AK253&lt;=AJ253,"Sim","Não")))</f>
        <v>Sim</v>
      </c>
      <c r="AN253" s="7" t="n">
        <v>5</v>
      </c>
      <c r="AO253" s="7" t="n">
        <v>4</v>
      </c>
      <c r="AP253" s="4" t="n">
        <f aca="false">IF(OR(AN253="",AO253=""),"",IFERROR(IF($K253="%",AO253-AN253,AO253/AN253-1),""))</f>
        <v>-0.2</v>
      </c>
      <c r="AQ253" s="5" t="str">
        <f aca="false">IF(OR(AN253="",AO253=""),"",IF($F253="Maior Melhor",IF(AO253&gt;=AN253,"Sim","Não"),IF(AO253&lt;=AN253,"Sim","Não")))</f>
        <v>Sim</v>
      </c>
      <c r="AR253" s="7" t="n">
        <v>77</v>
      </c>
      <c r="AS253" s="7" t="n">
        <v>61</v>
      </c>
      <c r="AT253" s="4" t="n">
        <f aca="false">IF(OR(AR253="",AS253=""),"",IFERROR(IF($K253="%",AS253-AR253,AS253/AR253-1),""))</f>
        <v>-0.207792207792208</v>
      </c>
      <c r="AU253" s="5" t="str">
        <f aca="false">IF(OR(AR253="",AS253=""),"",IF($F253="Maior Melhor",IF(AS253&gt;=AR253,"Sim","Não"),IF(AS253&lt;=AR253,"Sim","Não")))</f>
        <v>Sim</v>
      </c>
      <c r="AV253" s="7" t="n">
        <v>6</v>
      </c>
      <c r="AW253" s="7" t="n">
        <v>0</v>
      </c>
      <c r="AX253" s="4" t="n">
        <f aca="false">IF(OR(AV253="",AW253=""),"",IFERROR(IF($K253="%",AW253-AV253,AW253/AV253-1),""))</f>
        <v>-1</v>
      </c>
      <c r="AY253" s="5" t="str">
        <f aca="false">IF(OR(AV253="",AW253=""),"",IF($F253="Maior Melhor",IF(AW253&gt;=AV253,"Sim","Não"),IF(AW253&lt;=AV253,"Sim","Não")))</f>
        <v>Sim</v>
      </c>
      <c r="AZ253" s="7" t="n">
        <v>81</v>
      </c>
      <c r="BA253" s="7" t="n">
        <v>61</v>
      </c>
      <c r="BB253" s="4" t="n">
        <f aca="false">IF(OR(AZ253="",BA253=""),"",IFERROR(IF($K253="%",BA253-AZ253,BA253/AZ253-1),""))</f>
        <v>-0.246913580246914</v>
      </c>
      <c r="BC253" s="5" t="str">
        <f aca="false">IF(OR(AZ253="",BA253=""),"",IF($F253="Maior Melhor",IF(BA253&gt;=AZ253,"Sim","Não"),IF(BA253&lt;=AZ253,"Sim","Não")))</f>
        <v>Sim</v>
      </c>
      <c r="BD253" s="7" t="n">
        <v>4</v>
      </c>
      <c r="BE253" s="7" t="n">
        <v>4</v>
      </c>
      <c r="BF253" s="4" t="n">
        <f aca="false">IF(OR(BD253="",BE253=""),"",IFERROR(IF($K253="%",BE253-BD253,BE253/BD253-1),""))</f>
        <v>0</v>
      </c>
      <c r="BG253" s="5" t="str">
        <f aca="false">IF(OR(BD253="",BE253=""),"",IF($F253="Maior Melhor",IF(BE253&gt;=BD253,"Sim","Não"),IF(BE253&lt;=BD253,"Sim","Não")))</f>
        <v>Sim</v>
      </c>
      <c r="BH253" s="7" t="n">
        <v>87</v>
      </c>
      <c r="BI253" s="7" t="n">
        <v>65</v>
      </c>
      <c r="BJ253" s="4" t="n">
        <f aca="false">IF(OR(BH253="",BI253=""),"",IFERROR(IF($K253="%",BI253-BH253,BI253/BH253-1),""))</f>
        <v>-0.252873563218391</v>
      </c>
      <c r="BK253" s="5" t="str">
        <f aca="false">IF(OR(BH253="",BI253=""),"",IF($F253="Maior Melhor",IF(BI253&gt;=BH253,"Sim","Não"),IF(BI253&lt;=BH253,"Sim","Não")))</f>
        <v>Sim</v>
      </c>
      <c r="BL253" s="8"/>
      <c r="BM253" s="8"/>
      <c r="BN253" s="4" t="str">
        <f aca="false">IF(OR(BL253="",BM253=""),"",IFERROR(IF($K253="%",BM253-BL253,BM253/BL253-1),""))</f>
        <v/>
      </c>
      <c r="BO253" s="5" t="str">
        <f aca="false">IF(OR(BL253="",BM253=""),"",IF($F253="Maior Melhor",IF(BM253&gt;=BL253,"Sim","Não"),IF(BM253&lt;=BL253,"Sim","Não")))</f>
        <v/>
      </c>
      <c r="BP253" s="8"/>
      <c r="BQ253" s="8"/>
      <c r="BR253" s="4" t="str">
        <f aca="false">IF(OR(BP253="",BQ253=""),"",IFERROR(IF($K253="%",BQ253-BP253,BQ253/BP253-1),""))</f>
        <v/>
      </c>
      <c r="BS253" s="5" t="str">
        <f aca="false">IF(OR(BP253="",BQ253=""),"",IF($F253="Maior Melhor",IF(BQ253&gt;=BP253,"Sim","Não"),IF(BQ253&lt;=BP253,"Sim","Não")))</f>
        <v/>
      </c>
      <c r="BT253" s="8"/>
      <c r="BU253" s="8"/>
      <c r="BV253" s="4" t="str">
        <f aca="false">IF(OR(BT253="",BU253=""),"",IFERROR(IF($K253="%",BU253-BT253,BU253/BT253-1),""))</f>
        <v/>
      </c>
      <c r="BW253" s="5" t="str">
        <f aca="false">IF(OR(BT253="",BU253=""),"",IF($F253="Maior Melhor",IF(BU253&gt;=BT253,"Sim","Não"),IF(BU253&lt;=BT253,"Sim","Não")))</f>
        <v/>
      </c>
      <c r="BX253" s="8"/>
      <c r="BY253" s="8"/>
      <c r="BZ253" s="4" t="str">
        <f aca="false">IF(OR(BX253="",BY253=""),"",IFERROR(IF($K253="%",BY253-BX253,BY253/BX253-1),""))</f>
        <v/>
      </c>
      <c r="CA253" s="5" t="str">
        <f aca="false">IF(OR(BX253="",BY253=""),"",IF($F253="Maior Melhor",IF(BY253&gt;=BX253,"Sim","Não"),IF(BY253&lt;=BX253,"Sim","Não")))</f>
        <v/>
      </c>
      <c r="CB253" s="8"/>
      <c r="CC253" s="8"/>
      <c r="CD253" s="4" t="str">
        <f aca="false">IF(OR(CB253="",CC253=""),"",IFERROR(IF($K253="%",CC253-CB253,CC253/CB253-1),""))</f>
        <v/>
      </c>
      <c r="CE253" s="5" t="str">
        <f aca="false">IF(OR(CB253="",CC253=""),"",IF($F253="Maior Melhor",IF(CC253&gt;=CB253,"Sim","Não"),IF(CC253&lt;=CB253,"Sim","Não")))</f>
        <v/>
      </c>
      <c r="CF253" s="8"/>
      <c r="CG253" s="8"/>
      <c r="CH253" s="4" t="str">
        <f aca="false">IF(OR(CF253="",CG253=""),"",IFERROR(IF($K253="%",CG253-CF253,CG253/CF253-1),""))</f>
        <v/>
      </c>
      <c r="CI253" s="5" t="str">
        <f aca="false">IF(OR(CF253="",CG253=""),"",IF($F253="Maior Melhor",IF(CG253&gt;=CF253,"Sim","Não"),IF(CG253&lt;=CF253,"Sim","Não")))</f>
        <v/>
      </c>
      <c r="CJ253" s="8"/>
      <c r="CK253" s="8"/>
      <c r="CL253" s="4" t="str">
        <f aca="false">IF(OR(CJ253="",CK253=""),"",IFERROR(IF($K253="%",CK253-CJ253,CK253/CJ253-1),""))</f>
        <v/>
      </c>
      <c r="CM253" s="5" t="str">
        <f aca="false">IF(OR(CJ253="",CK253=""),"",IF($F253="Maior Melhor",IF(CK253&gt;=CJ253,"Sim","Não"),IF(CK253&lt;=CJ253,"Sim","Não")))</f>
        <v/>
      </c>
      <c r="CN253" s="8"/>
      <c r="CO253" s="8"/>
      <c r="CP253" s="4" t="str">
        <f aca="false">IF(OR(CN253="",CO253=""),"",IFERROR(IF($K253="%",CO253-CN253,CO253/CN253-1),""))</f>
        <v/>
      </c>
      <c r="CQ253" s="5" t="str">
        <f aca="false">IF(OR(CN253="",CO253=""),"",IF($F253="Maior Melhor",IF(CO253&gt;=CN253,"Sim","Não"),IF(CO253&lt;=CN253,"Sim","Não")))</f>
        <v/>
      </c>
      <c r="CR253" s="2" t="s">
        <v>105</v>
      </c>
    </row>
    <row r="254" customFormat="false" ht="15" hidden="false" customHeight="false" outlineLevel="0" collapsed="false">
      <c r="A254" s="2" t="s">
        <v>151</v>
      </c>
      <c r="B254" s="2" t="s">
        <v>97</v>
      </c>
      <c r="C254" s="2" t="s">
        <v>98</v>
      </c>
      <c r="D254" s="2" t="s">
        <v>185</v>
      </c>
      <c r="E254" s="2" t="str">
        <f aca="false">C254&amp;D254</f>
        <v>Gerência Centro OesteOPEX MSO</v>
      </c>
      <c r="F254" s="2" t="s">
        <v>167</v>
      </c>
      <c r="G254" s="2" t="s">
        <v>186</v>
      </c>
      <c r="H254" s="2" t="s">
        <v>102</v>
      </c>
      <c r="I254" s="2" t="s">
        <v>169</v>
      </c>
      <c r="J254" s="2" t="n">
        <v>3</v>
      </c>
      <c r="K254" s="2" t="s">
        <v>187</v>
      </c>
      <c r="L254" s="9" t="n">
        <v>497660</v>
      </c>
      <c r="M254" s="9" t="n">
        <v>449736.68</v>
      </c>
      <c r="N254" s="4" t="n">
        <f aca="false">IF(OR(L254="",M254=""),"",IFERROR(IF($K254="%",M254-L254,M254/L254-1),""))</f>
        <v>-0.0962973114174338</v>
      </c>
      <c r="O254" s="5" t="str">
        <f aca="false">IF(OR(L254="",M254=""),"",IF($F254="Maior Melhor",IF(M254&gt;=L254,"Sim","Não"),IF(M254&lt;=L254,"Sim","Não")))</f>
        <v>Sim</v>
      </c>
      <c r="P254" s="9" t="n">
        <v>522510</v>
      </c>
      <c r="Q254" s="9" t="n">
        <v>565743.48</v>
      </c>
      <c r="R254" s="4" t="n">
        <f aca="false">IF(OR(P254="",Q254=""),"",IFERROR(IF($K254="%",Q254-P254,Q254/P254-1),""))</f>
        <v>0.0827419188149512</v>
      </c>
      <c r="S254" s="5" t="str">
        <f aca="false">IF(OR(P254="",Q254=""),"",IF($F254="Maior Melhor",IF(Q254&gt;=P254,"Sim","Não"),IF(Q254&lt;=P254,"Sim","Não")))</f>
        <v>Não</v>
      </c>
      <c r="T254" s="9" t="n">
        <v>460986.09</v>
      </c>
      <c r="U254" s="9" t="n">
        <v>470472.51</v>
      </c>
      <c r="V254" s="4" t="n">
        <f aca="false">IF(OR(T254="",U254=""),"",IFERROR(IF($K254="%",U254-T254,U254/T254-1),""))</f>
        <v>0.0205785384977668</v>
      </c>
      <c r="W254" s="5" t="str">
        <f aca="false">IF(OR(T254="",U254=""),"",IF($F254="Maior Melhor",IF(U254&gt;=T254,"Sim","Não"),IF(U254&lt;=T254,"Sim","Não")))</f>
        <v>Não</v>
      </c>
      <c r="X254" s="9" t="n">
        <v>437135</v>
      </c>
      <c r="Y254" s="9" t="n">
        <v>644465.64</v>
      </c>
      <c r="Z254" s="4" t="n">
        <f aca="false">IF(OR(X254="",Y254=""),"",IFERROR(IF($K254="%",Y254-X254,Y254/X254-1),""))</f>
        <v>0.474294302675375</v>
      </c>
      <c r="AA254" s="5" t="str">
        <f aca="false">IF(OR(X254="",Y254=""),"",IF($F254="Maior Melhor",IF(Y254&gt;=X254,"Sim","Não"),IF(Y254&lt;=X254,"Sim","Não")))</f>
        <v>Não</v>
      </c>
      <c r="AB254" s="9" t="n">
        <v>1919713</v>
      </c>
      <c r="AC254" s="9" t="n">
        <v>2134976.38</v>
      </c>
      <c r="AD254" s="4" t="n">
        <f aca="false">IF(OR(AB254="",AC254=""),"",IFERROR(IF($K254="%",AC254-AB254,AC254/AB254-1),""))</f>
        <v>0.112133105313138</v>
      </c>
      <c r="AE254" s="5" t="str">
        <f aca="false">IF(OR(AB254="",AC254=""),"",IF($F254="Maior Melhor",IF(AC254&gt;=AB254,"Sim","Não"),IF(AC254&lt;=AB254,"Sim","Não")))</f>
        <v>Não</v>
      </c>
      <c r="AF254" s="9" t="n">
        <v>471047</v>
      </c>
      <c r="AG254" s="9" t="n">
        <v>673194.75</v>
      </c>
      <c r="AH254" s="4" t="n">
        <f aca="false">IF(OR(AF254="",AG254=""),"",IFERROR(IF($K254="%",AG254-AF254,AG254/AF254-1),""))</f>
        <v>0.429145605427908</v>
      </c>
      <c r="AI254" s="5" t="str">
        <f aca="false">IF(OR(AF254="",AG254=""),"",IF($F254="Maior Melhor",IF(AG254&gt;=AF254,"Sim","Não"),IF(AG254&lt;=AF254,"Sim","Não")))</f>
        <v>Não</v>
      </c>
      <c r="AJ254" s="9" t="n">
        <v>2390760</v>
      </c>
      <c r="AK254" s="9" t="n">
        <v>2808171.13</v>
      </c>
      <c r="AL254" s="4" t="n">
        <f aca="false">IF(OR(AJ254="",AK254=""),"",IFERROR(IF($K254="%",AK254-AJ254,AK254/AJ254-1),""))</f>
        <v>0.174593489099701</v>
      </c>
      <c r="AM254" s="5" t="str">
        <f aca="false">IF(OR(AJ254="",AK254=""),"",IF($F254="Maior Melhor",IF(AK254&gt;=AJ254,"Sim","Não"),IF(AK254&lt;=AJ254,"Sim","Não")))</f>
        <v>Não</v>
      </c>
      <c r="AN254" s="9" t="n">
        <v>422739.67</v>
      </c>
      <c r="AO254" s="9" t="n">
        <v>451085.04</v>
      </c>
      <c r="AP254" s="4" t="n">
        <f aca="false">IF(OR(AN254="",AO254=""),"",IFERROR(IF($K254="%",AO254-AN254,AO254/AN254-1),""))</f>
        <v>0.067051597026605</v>
      </c>
      <c r="AQ254" s="5" t="str">
        <f aca="false">IF(OR(AN254="",AO254=""),"",IF($F254="Maior Melhor",IF(AO254&gt;=AN254,"Sim","Não"),IF(AO254&lt;=AN254,"Sim","Não")))</f>
        <v>Não</v>
      </c>
      <c r="AR254" s="9" t="n">
        <v>2798589.86</v>
      </c>
      <c r="AS254" s="9" t="n">
        <v>3216298.7</v>
      </c>
      <c r="AT254" s="4" t="n">
        <f aca="false">IF(OR(AR254="",AS254=""),"",IFERROR(IF($K254="%",AS254-AR254,AS254/AR254-1),""))</f>
        <v>0.149256897543394</v>
      </c>
      <c r="AU254" s="5" t="str">
        <f aca="false">IF(OR(AR254="",AS254=""),"",IF($F254="Maior Melhor",IF(AS254&gt;=AR254,"Sim","Não"),IF(AS254&lt;=AR254,"Sim","Não")))</f>
        <v>Não</v>
      </c>
      <c r="AV254" s="9" t="n">
        <v>450046.21</v>
      </c>
      <c r="AW254" s="9" t="n">
        <v>479540.38</v>
      </c>
      <c r="AX254" s="4" t="n">
        <f aca="false">IF(OR(AV254="",AW254=""),"",IFERROR(IF($K254="%",AW254-AV254,AW254/AV254-1),""))</f>
        <v>0.0655358701943074</v>
      </c>
      <c r="AY254" s="5" t="str">
        <f aca="false">IF(OR(AV254="",AW254=""),"",IF($F254="Maior Melhor",IF(AW254&gt;=AV254,"Sim","Não"),IF(AW254&lt;=AV254,"Sim","Não")))</f>
        <v>Não</v>
      </c>
      <c r="AZ254" s="9" t="n">
        <v>3248636.07</v>
      </c>
      <c r="BA254" s="9" t="n">
        <v>3695839.08</v>
      </c>
      <c r="BB254" s="4" t="n">
        <f aca="false">IF(OR(AZ254="",BA254=""),"",IFERROR(IF($K254="%",BA254-AZ254,BA254/AZ254-1),""))</f>
        <v>0.137658697485311</v>
      </c>
      <c r="BC254" s="5" t="str">
        <f aca="false">IF(OR(AZ254="",BA254=""),"",IF($F254="Maior Melhor",IF(BA254&gt;=AZ254,"Sim","Não"),IF(BA254&lt;=AZ254,"Sim","Não")))</f>
        <v>Não</v>
      </c>
      <c r="BD254" s="9" t="n">
        <v>488096.82</v>
      </c>
      <c r="BE254" s="9" t="n">
        <v>528733.36</v>
      </c>
      <c r="BF254" s="4" t="n">
        <f aca="false">IF(OR(BD254="",BE254=""),"",IFERROR(IF($K254="%",BE254-BD254,BE254/BD254-1),""))</f>
        <v>0.0832550804162173</v>
      </c>
      <c r="BG254" s="5" t="str">
        <f aca="false">IF(OR(BD254="",BE254=""),"",IF($F254="Maior Melhor",IF(BE254&gt;=BD254,"Sim","Não"),IF(BE254&lt;=BD254,"Sim","Não")))</f>
        <v>Não</v>
      </c>
      <c r="BH254" s="9" t="n">
        <v>3736732.89</v>
      </c>
      <c r="BI254" s="9" t="n">
        <v>4224572.44</v>
      </c>
      <c r="BJ254" s="4" t="n">
        <f aca="false">IF(OR(BH254="",BI254=""),"",IFERROR(IF($K254="%",BI254-BH254,BI254/BH254-1),""))</f>
        <v>0.130552427577985</v>
      </c>
      <c r="BK254" s="5" t="str">
        <f aca="false">IF(OR(BH254="",BI254=""),"",IF($F254="Maior Melhor",IF(BI254&gt;=BH254,"Sim","Não"),IF(BI254&lt;=BH254,"Sim","Não")))</f>
        <v>Não</v>
      </c>
      <c r="BL254" s="10"/>
      <c r="BM254" s="10"/>
      <c r="BN254" s="4" t="str">
        <f aca="false">IF(OR(BL254="",BM254=""),"",IFERROR(IF($K254="%",BM254-BL254,BM254/BL254-1),""))</f>
        <v/>
      </c>
      <c r="BO254" s="5" t="str">
        <f aca="false">IF(OR(BL254="",BM254=""),"",IF($F254="Maior Melhor",IF(BM254&gt;=BL254,"Sim","Não"),IF(BM254&lt;=BL254,"Sim","Não")))</f>
        <v/>
      </c>
      <c r="BP254" s="10"/>
      <c r="BQ254" s="10"/>
      <c r="BR254" s="4" t="str">
        <f aca="false">IF(OR(BP254="",BQ254=""),"",IFERROR(IF($K254="%",BQ254-BP254,BQ254/BP254-1),""))</f>
        <v/>
      </c>
      <c r="BS254" s="5" t="str">
        <f aca="false">IF(OR(BP254="",BQ254=""),"",IF($F254="Maior Melhor",IF(BQ254&gt;=BP254,"Sim","Não"),IF(BQ254&lt;=BP254,"Sim","Não")))</f>
        <v/>
      </c>
      <c r="BT254" s="10"/>
      <c r="BU254" s="10"/>
      <c r="BV254" s="4" t="str">
        <f aca="false">IF(OR(BT254="",BU254=""),"",IFERROR(IF($K254="%",BU254-BT254,BU254/BT254-1),""))</f>
        <v/>
      </c>
      <c r="BW254" s="5" t="str">
        <f aca="false">IF(OR(BT254="",BU254=""),"",IF($F254="Maior Melhor",IF(BU254&gt;=BT254,"Sim","Não"),IF(BU254&lt;=BT254,"Sim","Não")))</f>
        <v/>
      </c>
      <c r="BX254" s="10"/>
      <c r="BY254" s="10"/>
      <c r="BZ254" s="4" t="str">
        <f aca="false">IF(OR(BX254="",BY254=""),"",IFERROR(IF($K254="%",BY254-BX254,BY254/BX254-1),""))</f>
        <v/>
      </c>
      <c r="CA254" s="5" t="str">
        <f aca="false">IF(OR(BX254="",BY254=""),"",IF($F254="Maior Melhor",IF(BY254&gt;=BX254,"Sim","Não"),IF(BY254&lt;=BX254,"Sim","Não")))</f>
        <v/>
      </c>
      <c r="CB254" s="10"/>
      <c r="CC254" s="10"/>
      <c r="CD254" s="4" t="str">
        <f aca="false">IF(OR(CB254="",CC254=""),"",IFERROR(IF($K254="%",CC254-CB254,CC254/CB254-1),""))</f>
        <v/>
      </c>
      <c r="CE254" s="5" t="str">
        <f aca="false">IF(OR(CB254="",CC254=""),"",IF($F254="Maior Melhor",IF(CC254&gt;=CB254,"Sim","Não"),IF(CC254&lt;=CB254,"Sim","Não")))</f>
        <v/>
      </c>
      <c r="CF254" s="10"/>
      <c r="CG254" s="10"/>
      <c r="CH254" s="4" t="str">
        <f aca="false">IF(OR(CF254="",CG254=""),"",IFERROR(IF($K254="%",CG254-CF254,CG254/CF254-1),""))</f>
        <v/>
      </c>
      <c r="CI254" s="5" t="str">
        <f aca="false">IF(OR(CF254="",CG254=""),"",IF($F254="Maior Melhor",IF(CG254&gt;=CF254,"Sim","Não"),IF(CG254&lt;=CF254,"Sim","Não")))</f>
        <v/>
      </c>
      <c r="CJ254" s="10"/>
      <c r="CK254" s="10"/>
      <c r="CL254" s="4" t="str">
        <f aca="false">IF(OR(CJ254="",CK254=""),"",IFERROR(IF($K254="%",CK254-CJ254,CK254/CJ254-1),""))</f>
        <v/>
      </c>
      <c r="CM254" s="5" t="str">
        <f aca="false">IF(OR(CJ254="",CK254=""),"",IF($F254="Maior Melhor",IF(CK254&gt;=CJ254,"Sim","Não"),IF(CK254&lt;=CJ254,"Sim","Não")))</f>
        <v/>
      </c>
      <c r="CN254" s="10"/>
      <c r="CO254" s="10"/>
      <c r="CP254" s="4" t="str">
        <f aca="false">IF(OR(CN254="",CO254=""),"",IFERROR(IF($K254="%",CO254-CN254,CO254/CN254-1),""))</f>
        <v/>
      </c>
      <c r="CQ254" s="5" t="str">
        <f aca="false">IF(OR(CN254="",CO254=""),"",IF($F254="Maior Melhor",IF(CO254&gt;=CN254,"Sim","Não"),IF(CO254&lt;=CN254,"Sim","Não")))</f>
        <v/>
      </c>
      <c r="CR254" s="2" t="s">
        <v>105</v>
      </c>
    </row>
    <row r="255" customFormat="false" ht="15" hidden="false" customHeight="false" outlineLevel="0" collapsed="false">
      <c r="A255" s="2" t="s">
        <v>151</v>
      </c>
      <c r="B255" s="2" t="s">
        <v>97</v>
      </c>
      <c r="C255" s="2" t="s">
        <v>121</v>
      </c>
      <c r="D255" s="2" t="s">
        <v>185</v>
      </c>
      <c r="E255" s="2" t="str">
        <f aca="false">C255&amp;D255</f>
        <v>UTD IRECÊOPEX MSO</v>
      </c>
      <c r="F255" s="2" t="s">
        <v>167</v>
      </c>
      <c r="G255" s="2" t="s">
        <v>186</v>
      </c>
      <c r="H255" s="2" t="s">
        <v>102</v>
      </c>
      <c r="I255" s="2" t="s">
        <v>169</v>
      </c>
      <c r="J255" s="2" t="n">
        <v>3</v>
      </c>
      <c r="K255" s="2" t="s">
        <v>187</v>
      </c>
      <c r="L255" s="9" t="n">
        <v>137717</v>
      </c>
      <c r="M255" s="9" t="n">
        <v>131246.99</v>
      </c>
      <c r="N255" s="4" t="n">
        <f aca="false">IF(OR(L255="",M255=""),"",IFERROR(IF($K255="%",M255-L255,M255/L255-1),""))</f>
        <v>-0.0469804744512298</v>
      </c>
      <c r="O255" s="5" t="str">
        <f aca="false">IF(OR(L255="",M255=""),"",IF($F255="Maior Melhor",IF(M255&gt;=L255,"Sim","Não"),IF(M255&lt;=L255,"Sim","Não")))</f>
        <v>Sim</v>
      </c>
      <c r="P255" s="9" t="n">
        <v>137521</v>
      </c>
      <c r="Q255" s="9" t="n">
        <v>186131.48</v>
      </c>
      <c r="R255" s="4" t="n">
        <f aca="false">IF(OR(P255="",Q255=""),"",IFERROR(IF($K255="%",Q255-P255,Q255/P255-1),""))</f>
        <v>0.353476778092073</v>
      </c>
      <c r="S255" s="5" t="str">
        <f aca="false">IF(OR(P255="",Q255=""),"",IF($F255="Maior Melhor",IF(Q255&gt;=P255,"Sim","Não"),IF(Q255&lt;=P255,"Sim","Não")))</f>
        <v>Não</v>
      </c>
      <c r="T255" s="9" t="n">
        <v>131881</v>
      </c>
      <c r="U255" s="9" t="n">
        <v>122226.98</v>
      </c>
      <c r="V255" s="4" t="n">
        <f aca="false">IF(OR(T255="",U255=""),"",IFERROR(IF($K255="%",U255-T255,U255/T255-1),""))</f>
        <v>-0.0732025083218962</v>
      </c>
      <c r="W255" s="5" t="str">
        <f aca="false">IF(OR(T255="",U255=""),"",IF($F255="Maior Melhor",IF(U255&gt;=T255,"Sim","Não"),IF(U255&lt;=T255,"Sim","Não")))</f>
        <v>Sim</v>
      </c>
      <c r="X255" s="9" t="n">
        <v>124902</v>
      </c>
      <c r="Y255" s="9" t="n">
        <v>220615.49</v>
      </c>
      <c r="Z255" s="4" t="n">
        <f aca="false">IF(OR(X255="",Y255=""),"",IFERROR(IF($K255="%",Y255-X255,Y255/X255-1),""))</f>
        <v>0.766308706025523</v>
      </c>
      <c r="AA255" s="5" t="str">
        <f aca="false">IF(OR(X255="",Y255=""),"",IF($F255="Maior Melhor",IF(Y255&gt;=X255,"Sim","Não"),IF(Y255&lt;=X255,"Sim","Não")))</f>
        <v>Não</v>
      </c>
      <c r="AB255" s="9" t="n">
        <v>532021</v>
      </c>
      <c r="AC255" s="9" t="n">
        <v>660220.94</v>
      </c>
      <c r="AD255" s="4" t="n">
        <f aca="false">IF(OR(AB255="",AC255=""),"",IFERROR(IF($K255="%",AC255-AB255,AC255/AB255-1),""))</f>
        <v>0.240967818939478</v>
      </c>
      <c r="AE255" s="5" t="str">
        <f aca="false">IF(OR(AB255="",AC255=""),"",IF($F255="Maior Melhor",IF(AC255&gt;=AB255,"Sim","Não"),IF(AC255&lt;=AB255,"Sim","Não")))</f>
        <v>Não</v>
      </c>
      <c r="AF255" s="9" t="n">
        <v>160231</v>
      </c>
      <c r="AG255" s="9" t="n">
        <v>178551.33</v>
      </c>
      <c r="AH255" s="4" t="n">
        <f aca="false">IF(OR(AF255="",AG255=""),"",IFERROR(IF($K255="%",AG255-AF255,AG255/AF255-1),""))</f>
        <v>0.114336988472892</v>
      </c>
      <c r="AI255" s="5" t="str">
        <f aca="false">IF(OR(AF255="",AG255=""),"",IF($F255="Maior Melhor",IF(AG255&gt;=AF255,"Sim","Não"),IF(AG255&lt;=AF255,"Sim","Não")))</f>
        <v>Não</v>
      </c>
      <c r="AJ255" s="9" t="n">
        <v>692252</v>
      </c>
      <c r="AK255" s="9" t="n">
        <v>838772.27</v>
      </c>
      <c r="AL255" s="4" t="n">
        <f aca="false">IF(OR(AJ255="",AK255=""),"",IFERROR(IF($K255="%",AK255-AJ255,AK255/AJ255-1),""))</f>
        <v>0.211657416663296</v>
      </c>
      <c r="AM255" s="5" t="str">
        <f aca="false">IF(OR(AJ255="",AK255=""),"",IF($F255="Maior Melhor",IF(AK255&gt;=AJ255,"Sim","Não"),IF(AK255&lt;=AJ255,"Sim","Não")))</f>
        <v>Não</v>
      </c>
      <c r="AN255" s="9" t="n">
        <v>119722.59</v>
      </c>
      <c r="AO255" s="9" t="n">
        <v>171642.29</v>
      </c>
      <c r="AP255" s="4" t="n">
        <f aca="false">IF(OR(AN255="",AO255=""),"",IFERROR(IF($K255="%",AO255-AN255,AO255/AN255-1),""))</f>
        <v>0.433666695650336</v>
      </c>
      <c r="AQ255" s="5" t="str">
        <f aca="false">IF(OR(AN255="",AO255=""),"",IF($F255="Maior Melhor",IF(AO255&gt;=AN255,"Sim","Não"),IF(AO255&lt;=AN255,"Sim","Não")))</f>
        <v>Não</v>
      </c>
      <c r="AR255" s="9" t="n">
        <v>811973.48</v>
      </c>
      <c r="AS255" s="9" t="n">
        <v>1010414.56</v>
      </c>
      <c r="AT255" s="4" t="n">
        <f aca="false">IF(OR(AR255="",AS255=""),"",IFERROR(IF($K255="%",AS255-AR255,AS255/AR255-1),""))</f>
        <v>0.244393548419833</v>
      </c>
      <c r="AU255" s="5" t="str">
        <f aca="false">IF(OR(AR255="",AS255=""),"",IF($F255="Maior Melhor",IF(AS255&gt;=AR255,"Sim","Não"),IF(AS255&lt;=AR255,"Sim","Não")))</f>
        <v>Não</v>
      </c>
      <c r="AV255" s="9" t="n">
        <v>125564.79</v>
      </c>
      <c r="AW255" s="9" t="n">
        <v>144641.1</v>
      </c>
      <c r="AX255" s="4" t="n">
        <f aca="false">IF(OR(AV255="",AW255=""),"",IFERROR(IF($K255="%",AW255-AV255,AW255/AV255-1),""))</f>
        <v>0.151924038578012</v>
      </c>
      <c r="AY255" s="5" t="str">
        <f aca="false">IF(OR(AV255="",AW255=""),"",IF($F255="Maior Melhor",IF(AW255&gt;=AV255,"Sim","Não"),IF(AW255&lt;=AV255,"Sim","Não")))</f>
        <v>Não</v>
      </c>
      <c r="AZ255" s="9" t="n">
        <v>937538.27</v>
      </c>
      <c r="BA255" s="9" t="n">
        <v>1155055.66</v>
      </c>
      <c r="BB255" s="4" t="n">
        <f aca="false">IF(OR(AZ255="",BA255=""),"",IFERROR(IF($K255="%",BA255-AZ255,BA255/AZ255-1),""))</f>
        <v>0.232009078413407</v>
      </c>
      <c r="BC255" s="5" t="str">
        <f aca="false">IF(OR(AZ255="",BA255=""),"",IF($F255="Maior Melhor",IF(BA255&gt;=AZ255,"Sim","Não"),IF(BA255&lt;=AZ255,"Sim","Não")))</f>
        <v>Não</v>
      </c>
      <c r="BD255" s="9" t="n">
        <v>124826.41</v>
      </c>
      <c r="BE255" s="9" t="n">
        <v>110059.17</v>
      </c>
      <c r="BF255" s="4" t="n">
        <f aca="false">IF(OR(BD255="",BE255=""),"",IFERROR(IF($K255="%",BE255-BD255,BE255/BD255-1),""))</f>
        <v>-0.118302208643187</v>
      </c>
      <c r="BG255" s="5" t="str">
        <f aca="false">IF(OR(BD255="",BE255=""),"",IF($F255="Maior Melhor",IF(BE255&gt;=BD255,"Sim","Não"),IF(BE255&lt;=BD255,"Sim","Não")))</f>
        <v>Sim</v>
      </c>
      <c r="BH255" s="9" t="n">
        <v>1062364.68</v>
      </c>
      <c r="BI255" s="9" t="n">
        <v>1265114.83</v>
      </c>
      <c r="BJ255" s="4" t="n">
        <f aca="false">IF(OR(BH255="",BI255=""),"",IFERROR(IF($K255="%",BI255-BH255,BI255/BH255-1),""))</f>
        <v>0.190847976986585</v>
      </c>
      <c r="BK255" s="5" t="str">
        <f aca="false">IF(OR(BH255="",BI255=""),"",IF($F255="Maior Melhor",IF(BI255&gt;=BH255,"Sim","Não"),IF(BI255&lt;=BH255,"Sim","Não")))</f>
        <v>Não</v>
      </c>
      <c r="BL255" s="10"/>
      <c r="BM255" s="10"/>
      <c r="BN255" s="4" t="str">
        <f aca="false">IF(OR(BL255="",BM255=""),"",IFERROR(IF($K255="%",BM255-BL255,BM255/BL255-1),""))</f>
        <v/>
      </c>
      <c r="BO255" s="5" t="str">
        <f aca="false">IF(OR(BL255="",BM255=""),"",IF($F255="Maior Melhor",IF(BM255&gt;=BL255,"Sim","Não"),IF(BM255&lt;=BL255,"Sim","Não")))</f>
        <v/>
      </c>
      <c r="BP255" s="10"/>
      <c r="BQ255" s="10"/>
      <c r="BR255" s="4" t="str">
        <f aca="false">IF(OR(BP255="",BQ255=""),"",IFERROR(IF($K255="%",BQ255-BP255,BQ255/BP255-1),""))</f>
        <v/>
      </c>
      <c r="BS255" s="5" t="str">
        <f aca="false">IF(OR(BP255="",BQ255=""),"",IF($F255="Maior Melhor",IF(BQ255&gt;=BP255,"Sim","Não"),IF(BQ255&lt;=BP255,"Sim","Não")))</f>
        <v/>
      </c>
      <c r="BT255" s="10"/>
      <c r="BU255" s="10"/>
      <c r="BV255" s="4" t="str">
        <f aca="false">IF(OR(BT255="",BU255=""),"",IFERROR(IF($K255="%",BU255-BT255,BU255/BT255-1),""))</f>
        <v/>
      </c>
      <c r="BW255" s="5" t="str">
        <f aca="false">IF(OR(BT255="",BU255=""),"",IF($F255="Maior Melhor",IF(BU255&gt;=BT255,"Sim","Não"),IF(BU255&lt;=BT255,"Sim","Não")))</f>
        <v/>
      </c>
      <c r="BX255" s="10"/>
      <c r="BY255" s="10"/>
      <c r="BZ255" s="4" t="str">
        <f aca="false">IF(OR(BX255="",BY255=""),"",IFERROR(IF($K255="%",BY255-BX255,BY255/BX255-1),""))</f>
        <v/>
      </c>
      <c r="CA255" s="5" t="str">
        <f aca="false">IF(OR(BX255="",BY255=""),"",IF($F255="Maior Melhor",IF(BY255&gt;=BX255,"Sim","Não"),IF(BY255&lt;=BX255,"Sim","Não")))</f>
        <v/>
      </c>
      <c r="CB255" s="10"/>
      <c r="CC255" s="10"/>
      <c r="CD255" s="4" t="str">
        <f aca="false">IF(OR(CB255="",CC255=""),"",IFERROR(IF($K255="%",CC255-CB255,CC255/CB255-1),""))</f>
        <v/>
      </c>
      <c r="CE255" s="5" t="str">
        <f aca="false">IF(OR(CB255="",CC255=""),"",IF($F255="Maior Melhor",IF(CC255&gt;=CB255,"Sim","Não"),IF(CC255&lt;=CB255,"Sim","Não")))</f>
        <v/>
      </c>
      <c r="CF255" s="10"/>
      <c r="CG255" s="10"/>
      <c r="CH255" s="4" t="str">
        <f aca="false">IF(OR(CF255="",CG255=""),"",IFERROR(IF($K255="%",CG255-CF255,CG255/CF255-1),""))</f>
        <v/>
      </c>
      <c r="CI255" s="5" t="str">
        <f aca="false">IF(OR(CF255="",CG255=""),"",IF($F255="Maior Melhor",IF(CG255&gt;=CF255,"Sim","Não"),IF(CG255&lt;=CF255,"Sim","Não")))</f>
        <v/>
      </c>
      <c r="CJ255" s="10"/>
      <c r="CK255" s="10"/>
      <c r="CL255" s="4" t="str">
        <f aca="false">IF(OR(CJ255="",CK255=""),"",IFERROR(IF($K255="%",CK255-CJ255,CK255/CJ255-1),""))</f>
        <v/>
      </c>
      <c r="CM255" s="5" t="str">
        <f aca="false">IF(OR(CJ255="",CK255=""),"",IF($F255="Maior Melhor",IF(CK255&gt;=CJ255,"Sim","Não"),IF(CK255&lt;=CJ255,"Sim","Não")))</f>
        <v/>
      </c>
      <c r="CN255" s="10"/>
      <c r="CO255" s="10"/>
      <c r="CP255" s="4" t="str">
        <f aca="false">IF(OR(CN255="",CO255=""),"",IFERROR(IF($K255="%",CO255-CN255,CO255/CN255-1),""))</f>
        <v/>
      </c>
      <c r="CQ255" s="5" t="str">
        <f aca="false">IF(OR(CN255="",CO255=""),"",IF($F255="Maior Melhor",IF(CO255&gt;=CN255,"Sim","Não"),IF(CO255&lt;=CN255,"Sim","Não")))</f>
        <v/>
      </c>
      <c r="CR255" s="2" t="s">
        <v>105</v>
      </c>
    </row>
    <row r="256" customFormat="false" ht="15" hidden="false" customHeight="false" outlineLevel="0" collapsed="false">
      <c r="A256" s="2" t="s">
        <v>151</v>
      </c>
      <c r="B256" s="2" t="s">
        <v>97</v>
      </c>
      <c r="C256" s="2" t="s">
        <v>122</v>
      </c>
      <c r="D256" s="2" t="s">
        <v>185</v>
      </c>
      <c r="E256" s="2" t="str">
        <f aca="false">C256&amp;D256</f>
        <v>UTD ITABERABAOPEX MSO</v>
      </c>
      <c r="F256" s="2" t="s">
        <v>167</v>
      </c>
      <c r="G256" s="2" t="s">
        <v>186</v>
      </c>
      <c r="H256" s="2" t="s">
        <v>102</v>
      </c>
      <c r="I256" s="2" t="s">
        <v>169</v>
      </c>
      <c r="J256" s="2" t="n">
        <v>3</v>
      </c>
      <c r="K256" s="2" t="s">
        <v>187</v>
      </c>
      <c r="L256" s="9" t="n">
        <v>85084</v>
      </c>
      <c r="M256" s="9" t="n">
        <v>56090.37</v>
      </c>
      <c r="N256" s="4" t="n">
        <f aca="false">IF(OR(L256="",M256=""),"",IFERROR(IF($K256="%",M256-L256,M256/L256-1),""))</f>
        <v>-0.340764773635466</v>
      </c>
      <c r="O256" s="5" t="str">
        <f aca="false">IF(OR(L256="",M256=""),"",IF($F256="Maior Melhor",IF(M256&gt;=L256,"Sim","Não"),IF(M256&lt;=L256,"Sim","Não")))</f>
        <v>Sim</v>
      </c>
      <c r="P256" s="9" t="n">
        <v>107568</v>
      </c>
      <c r="Q256" s="9" t="n">
        <v>94689.42</v>
      </c>
      <c r="R256" s="4" t="n">
        <f aca="false">IF(OR(P256="",Q256=""),"",IFERROR(IF($K256="%",Q256-P256,Q256/P256-1),""))</f>
        <v>-0.119725011155734</v>
      </c>
      <c r="S256" s="5" t="str">
        <f aca="false">IF(OR(P256="",Q256=""),"",IF($F256="Maior Melhor",IF(Q256&gt;=P256,"Sim","Não"),IF(Q256&lt;=P256,"Sim","Não")))</f>
        <v>Sim</v>
      </c>
      <c r="T256" s="9" t="n">
        <v>83934</v>
      </c>
      <c r="U256" s="9" t="n">
        <v>72960.03</v>
      </c>
      <c r="V256" s="4" t="n">
        <f aca="false">IF(OR(T256="",U256=""),"",IFERROR(IF($K256="%",U256-T256,U256/T256-1),""))</f>
        <v>-0.130745228393738</v>
      </c>
      <c r="W256" s="5" t="str">
        <f aca="false">IF(OR(T256="",U256=""),"",IF($F256="Maior Melhor",IF(U256&gt;=T256,"Sim","Não"),IF(U256&lt;=T256,"Sim","Não")))</f>
        <v>Sim</v>
      </c>
      <c r="X256" s="9" t="n">
        <v>84522</v>
      </c>
      <c r="Y256" s="9" t="n">
        <v>99023.52</v>
      </c>
      <c r="Z256" s="4" t="n">
        <f aca="false">IF(OR(X256="",Y256=""),"",IFERROR(IF($K256="%",Y256-X256,Y256/X256-1),""))</f>
        <v>0.171570951941507</v>
      </c>
      <c r="AA256" s="5" t="str">
        <f aca="false">IF(OR(X256="",Y256=""),"",IF($F256="Maior Melhor",IF(Y256&gt;=X256,"Sim","Não"),IF(Y256&lt;=X256,"Sim","Não")))</f>
        <v>Não</v>
      </c>
      <c r="AB256" s="9" t="n">
        <v>361108</v>
      </c>
      <c r="AC256" s="9" t="n">
        <v>322763.34</v>
      </c>
      <c r="AD256" s="4" t="n">
        <f aca="false">IF(OR(AB256="",AC256=""),"",IFERROR(IF($K256="%",AC256-AB256,AC256/AB256-1),""))</f>
        <v>-0.106186127142019</v>
      </c>
      <c r="AE256" s="5" t="str">
        <f aca="false">IF(OR(AB256="",AC256=""),"",IF($F256="Maior Melhor",IF(AC256&gt;=AB256,"Sim","Não"),IF(AC256&lt;=AB256,"Sim","Não")))</f>
        <v>Sim</v>
      </c>
      <c r="AF256" s="9" t="n">
        <v>78323</v>
      </c>
      <c r="AG256" s="9" t="n">
        <v>136601.13</v>
      </c>
      <c r="AH256" s="4" t="n">
        <f aca="false">IF(OR(AF256="",AG256=""),"",IFERROR(IF($K256="%",AG256-AF256,AG256/AF256-1),""))</f>
        <v>0.744074282139346</v>
      </c>
      <c r="AI256" s="5" t="str">
        <f aca="false">IF(OR(AF256="",AG256=""),"",IF($F256="Maior Melhor",IF(AG256&gt;=AF256,"Sim","Não"),IF(AG256&lt;=AF256,"Sim","Não")))</f>
        <v>Não</v>
      </c>
      <c r="AJ256" s="9" t="n">
        <v>439431</v>
      </c>
      <c r="AK256" s="9" t="n">
        <v>459364.47</v>
      </c>
      <c r="AL256" s="4" t="n">
        <f aca="false">IF(OR(AJ256="",AK256=""),"",IFERROR(IF($K256="%",AK256-AJ256,AK256/AJ256-1),""))</f>
        <v>0.0453620022256054</v>
      </c>
      <c r="AM256" s="5" t="str">
        <f aca="false">IF(OR(AJ256="",AK256=""),"",IF($F256="Maior Melhor",IF(AK256&gt;=AJ256,"Sim","Não"),IF(AK256&lt;=AJ256,"Sim","Não")))</f>
        <v>Não</v>
      </c>
      <c r="AN256" s="9" t="n">
        <v>78234.85</v>
      </c>
      <c r="AO256" s="9" t="n">
        <v>79640.68</v>
      </c>
      <c r="AP256" s="4" t="n">
        <f aca="false">IF(OR(AN256="",AO256=""),"",IFERROR(IF($K256="%",AO256-AN256,AO256/AN256-1),""))</f>
        <v>0.0179693576456015</v>
      </c>
      <c r="AQ256" s="5" t="str">
        <f aca="false">IF(OR(AN256="",AO256=""),"",IF($F256="Maior Melhor",IF(AO256&gt;=AN256,"Sim","Não"),IF(AO256&lt;=AN256,"Sim","Não")))</f>
        <v>Não</v>
      </c>
      <c r="AR256" s="9" t="n">
        <v>517665.24</v>
      </c>
      <c r="AS256" s="9" t="n">
        <v>539078.4</v>
      </c>
      <c r="AT256" s="4" t="n">
        <f aca="false">IF(OR(AR256="",AS256=""),"",IFERROR(IF($K256="%",AS256-AR256,AS256/AR256-1),""))</f>
        <v>0.0413648789708192</v>
      </c>
      <c r="AU256" s="5" t="str">
        <f aca="false">IF(OR(AR256="",AS256=""),"",IF($F256="Maior Melhor",IF(AS256&gt;=AR256,"Sim","Não"),IF(AS256&lt;=AR256,"Sim","Não")))</f>
        <v>Não</v>
      </c>
      <c r="AV256" s="9" t="n">
        <v>80031.7</v>
      </c>
      <c r="AW256" s="9" t="n">
        <v>85345.82</v>
      </c>
      <c r="AX256" s="4" t="n">
        <f aca="false">IF(OR(AV256="",AW256=""),"",IFERROR(IF($K256="%",AW256-AV256,AW256/AV256-1),""))</f>
        <v>0.0664001889251384</v>
      </c>
      <c r="AY256" s="5" t="str">
        <f aca="false">IF(OR(AV256="",AW256=""),"",IF($F256="Maior Melhor",IF(AW256&gt;=AV256,"Sim","Não"),IF(AW256&lt;=AV256,"Sim","Não")))</f>
        <v>Não</v>
      </c>
      <c r="AZ256" s="9" t="n">
        <v>597696.94</v>
      </c>
      <c r="BA256" s="9" t="n">
        <v>624424.22</v>
      </c>
      <c r="BB256" s="4" t="n">
        <f aca="false">IF(OR(AZ256="",BA256=""),"",IFERROR(IF($K256="%",BA256-AZ256,BA256/AZ256-1),""))</f>
        <v>0.0447171103134643</v>
      </c>
      <c r="BC256" s="5" t="str">
        <f aca="false">IF(OR(AZ256="",BA256=""),"",IF($F256="Maior Melhor",IF(BA256&gt;=AZ256,"Sim","Não"),IF(BA256&lt;=AZ256,"Sim","Não")))</f>
        <v>Não</v>
      </c>
      <c r="BD256" s="9" t="n">
        <v>107525.68</v>
      </c>
      <c r="BE256" s="9" t="n">
        <v>54036.87</v>
      </c>
      <c r="BF256" s="4" t="n">
        <f aca="false">IF(OR(BD256="",BE256=""),"",IFERROR(IF($K256="%",BE256-BD256,BE256/BD256-1),""))</f>
        <v>-0.49745149251788</v>
      </c>
      <c r="BG256" s="5" t="str">
        <f aca="false">IF(OR(BD256="",BE256=""),"",IF($F256="Maior Melhor",IF(BE256&gt;=BD256,"Sim","Não"),IF(BE256&lt;=BD256,"Sim","Não")))</f>
        <v>Sim</v>
      </c>
      <c r="BH256" s="9" t="n">
        <v>705222.62</v>
      </c>
      <c r="BI256" s="9" t="n">
        <v>678461.09</v>
      </c>
      <c r="BJ256" s="4" t="n">
        <f aca="false">IF(OR(BH256="",BI256=""),"",IFERROR(IF($K256="%",BI256-BH256,BI256/BH256-1),""))</f>
        <v>-0.0379476341811045</v>
      </c>
      <c r="BK256" s="5" t="str">
        <f aca="false">IF(OR(BH256="",BI256=""),"",IF($F256="Maior Melhor",IF(BI256&gt;=BH256,"Sim","Não"),IF(BI256&lt;=BH256,"Sim","Não")))</f>
        <v>Sim</v>
      </c>
      <c r="BL256" s="10"/>
      <c r="BM256" s="10"/>
      <c r="BN256" s="4" t="str">
        <f aca="false">IF(OR(BL256="",BM256=""),"",IFERROR(IF($K256="%",BM256-BL256,BM256/BL256-1),""))</f>
        <v/>
      </c>
      <c r="BO256" s="5" t="str">
        <f aca="false">IF(OR(BL256="",BM256=""),"",IF($F256="Maior Melhor",IF(BM256&gt;=BL256,"Sim","Não"),IF(BM256&lt;=BL256,"Sim","Não")))</f>
        <v/>
      </c>
      <c r="BP256" s="10"/>
      <c r="BQ256" s="10"/>
      <c r="BR256" s="4" t="str">
        <f aca="false">IF(OR(BP256="",BQ256=""),"",IFERROR(IF($K256="%",BQ256-BP256,BQ256/BP256-1),""))</f>
        <v/>
      </c>
      <c r="BS256" s="5" t="str">
        <f aca="false">IF(OR(BP256="",BQ256=""),"",IF($F256="Maior Melhor",IF(BQ256&gt;=BP256,"Sim","Não"),IF(BQ256&lt;=BP256,"Sim","Não")))</f>
        <v/>
      </c>
      <c r="BT256" s="10"/>
      <c r="BU256" s="10"/>
      <c r="BV256" s="4" t="str">
        <f aca="false">IF(OR(BT256="",BU256=""),"",IFERROR(IF($K256="%",BU256-BT256,BU256/BT256-1),""))</f>
        <v/>
      </c>
      <c r="BW256" s="5" t="str">
        <f aca="false">IF(OR(BT256="",BU256=""),"",IF($F256="Maior Melhor",IF(BU256&gt;=BT256,"Sim","Não"),IF(BU256&lt;=BT256,"Sim","Não")))</f>
        <v/>
      </c>
      <c r="BX256" s="10"/>
      <c r="BY256" s="10"/>
      <c r="BZ256" s="4" t="str">
        <f aca="false">IF(OR(BX256="",BY256=""),"",IFERROR(IF($K256="%",BY256-BX256,BY256/BX256-1),""))</f>
        <v/>
      </c>
      <c r="CA256" s="5" t="str">
        <f aca="false">IF(OR(BX256="",BY256=""),"",IF($F256="Maior Melhor",IF(BY256&gt;=BX256,"Sim","Não"),IF(BY256&lt;=BX256,"Sim","Não")))</f>
        <v/>
      </c>
      <c r="CB256" s="10"/>
      <c r="CC256" s="10"/>
      <c r="CD256" s="4" t="str">
        <f aca="false">IF(OR(CB256="",CC256=""),"",IFERROR(IF($K256="%",CC256-CB256,CC256/CB256-1),""))</f>
        <v/>
      </c>
      <c r="CE256" s="5" t="str">
        <f aca="false">IF(OR(CB256="",CC256=""),"",IF($F256="Maior Melhor",IF(CC256&gt;=CB256,"Sim","Não"),IF(CC256&lt;=CB256,"Sim","Não")))</f>
        <v/>
      </c>
      <c r="CF256" s="10"/>
      <c r="CG256" s="10"/>
      <c r="CH256" s="4" t="str">
        <f aca="false">IF(OR(CF256="",CG256=""),"",IFERROR(IF($K256="%",CG256-CF256,CG256/CF256-1),""))</f>
        <v/>
      </c>
      <c r="CI256" s="5" t="str">
        <f aca="false">IF(OR(CF256="",CG256=""),"",IF($F256="Maior Melhor",IF(CG256&gt;=CF256,"Sim","Não"),IF(CG256&lt;=CF256,"Sim","Não")))</f>
        <v/>
      </c>
      <c r="CJ256" s="10"/>
      <c r="CK256" s="10"/>
      <c r="CL256" s="4" t="str">
        <f aca="false">IF(OR(CJ256="",CK256=""),"",IFERROR(IF($K256="%",CK256-CJ256,CK256/CJ256-1),""))</f>
        <v/>
      </c>
      <c r="CM256" s="5" t="str">
        <f aca="false">IF(OR(CJ256="",CK256=""),"",IF($F256="Maior Melhor",IF(CK256&gt;=CJ256,"Sim","Não"),IF(CK256&lt;=CJ256,"Sim","Não")))</f>
        <v/>
      </c>
      <c r="CN256" s="10"/>
      <c r="CO256" s="10"/>
      <c r="CP256" s="4" t="str">
        <f aca="false">IF(OR(CN256="",CO256=""),"",IFERROR(IF($K256="%",CO256-CN256,CO256/CN256-1),""))</f>
        <v/>
      </c>
      <c r="CQ256" s="5" t="str">
        <f aca="false">IF(OR(CN256="",CO256=""),"",IF($F256="Maior Melhor",IF(CO256&gt;=CN256,"Sim","Não"),IF(CO256&lt;=CN256,"Sim","Não")))</f>
        <v/>
      </c>
      <c r="CR256" s="2" t="s">
        <v>164</v>
      </c>
    </row>
    <row r="257" customFormat="false" ht="15" hidden="false" customHeight="false" outlineLevel="0" collapsed="false">
      <c r="A257" s="2" t="s">
        <v>151</v>
      </c>
      <c r="B257" s="2" t="s">
        <v>97</v>
      </c>
      <c r="C257" s="2" t="s">
        <v>125</v>
      </c>
      <c r="D257" s="2" t="s">
        <v>185</v>
      </c>
      <c r="E257" s="2" t="str">
        <f aca="false">C257&amp;D257</f>
        <v>UTD JEQUIÉOPEX MSO</v>
      </c>
      <c r="F257" s="2" t="s">
        <v>167</v>
      </c>
      <c r="G257" s="2" t="s">
        <v>186</v>
      </c>
      <c r="H257" s="2" t="s">
        <v>102</v>
      </c>
      <c r="I257" s="2" t="s">
        <v>169</v>
      </c>
      <c r="J257" s="2" t="n">
        <v>3</v>
      </c>
      <c r="K257" s="2" t="s">
        <v>187</v>
      </c>
      <c r="L257" s="9" t="n">
        <v>111468</v>
      </c>
      <c r="M257" s="9" t="n">
        <v>82097.18</v>
      </c>
      <c r="N257" s="4" t="n">
        <f aca="false">IF(OR(L257="",M257=""),"",IFERROR(IF($K257="%",M257-L257,M257/L257-1),""))</f>
        <v>-0.263491046757814</v>
      </c>
      <c r="O257" s="5" t="str">
        <f aca="false">IF(OR(L257="",M257=""),"",IF($F257="Maior Melhor",IF(M257&gt;=L257,"Sim","Não"),IF(M257&lt;=L257,"Sim","Não")))</f>
        <v>Sim</v>
      </c>
      <c r="P257" s="9" t="n">
        <v>141308</v>
      </c>
      <c r="Q257" s="9" t="n">
        <v>152265.54</v>
      </c>
      <c r="R257" s="4" t="n">
        <f aca="false">IF(OR(P257="",Q257=""),"",IFERROR(IF($K257="%",Q257-P257,Q257/P257-1),""))</f>
        <v>0.0775436634868514</v>
      </c>
      <c r="S257" s="5" t="str">
        <f aca="false">IF(OR(P257="",Q257=""),"",IF($F257="Maior Melhor",IF(Q257&gt;=P257,"Sim","Não"),IF(Q257&lt;=P257,"Sim","Não")))</f>
        <v>Não</v>
      </c>
      <c r="T257" s="9" t="n">
        <v>110321</v>
      </c>
      <c r="U257" s="9" t="n">
        <v>104427.44</v>
      </c>
      <c r="V257" s="4" t="n">
        <f aca="false">IF(OR(T257="",U257=""),"",IFERROR(IF($K257="%",U257-T257,U257/T257-1),""))</f>
        <v>-0.0534219232965627</v>
      </c>
      <c r="W257" s="5" t="str">
        <f aca="false">IF(OR(T257="",U257=""),"",IF($F257="Maior Melhor",IF(U257&gt;=T257,"Sim","Não"),IF(U257&lt;=T257,"Sim","Não")))</f>
        <v>Sim</v>
      </c>
      <c r="X257" s="9" t="n">
        <v>98932</v>
      </c>
      <c r="Y257" s="9" t="n">
        <v>105948.13</v>
      </c>
      <c r="Z257" s="4" t="n">
        <f aca="false">IF(OR(X257="",Y257=""),"",IFERROR(IF($K257="%",Y257-X257,Y257/X257-1),""))</f>
        <v>0.0709187118424777</v>
      </c>
      <c r="AA257" s="5" t="str">
        <f aca="false">IF(OR(X257="",Y257=""),"",IF($F257="Maior Melhor",IF(Y257&gt;=X257,"Sim","Não"),IF(Y257&lt;=X257,"Sim","Não")))</f>
        <v>Não</v>
      </c>
      <c r="AB257" s="9" t="n">
        <v>462029</v>
      </c>
      <c r="AC257" s="9" t="n">
        <v>444738.29</v>
      </c>
      <c r="AD257" s="4" t="n">
        <f aca="false">IF(OR(AB257="",AC257=""),"",IFERROR(IF($K257="%",AC257-AB257,AC257/AB257-1),""))</f>
        <v>-0.0374234301310084</v>
      </c>
      <c r="AE257" s="5" t="str">
        <f aca="false">IF(OR(AB257="",AC257=""),"",IF($F257="Maior Melhor",IF(AC257&gt;=AB257,"Sim","Não"),IF(AC257&lt;=AB257,"Sim","Não")))</f>
        <v>Sim</v>
      </c>
      <c r="AF257" s="9" t="n">
        <v>98316</v>
      </c>
      <c r="AG257" s="9" t="n">
        <v>110700.7</v>
      </c>
      <c r="AH257" s="4" t="n">
        <f aca="false">IF(OR(AF257="",AG257=""),"",IFERROR(IF($K257="%",AG257-AF257,AG257/AF257-1),""))</f>
        <v>0.125968306277717</v>
      </c>
      <c r="AI257" s="5" t="str">
        <f aca="false">IF(OR(AF257="",AG257=""),"",IF($F257="Maior Melhor",IF(AG257&gt;=AF257,"Sim","Não"),IF(AG257&lt;=AF257,"Sim","Não")))</f>
        <v>Não</v>
      </c>
      <c r="AJ257" s="9" t="n">
        <v>560345</v>
      </c>
      <c r="AK257" s="9" t="n">
        <v>555438.99</v>
      </c>
      <c r="AL257" s="4" t="n">
        <f aca="false">IF(OR(AJ257="",AK257=""),"",IFERROR(IF($K257="%",AK257-AJ257,AK257/AJ257-1),""))</f>
        <v>-0.00875533822912666</v>
      </c>
      <c r="AM257" s="5" t="str">
        <f aca="false">IF(OR(AJ257="",AK257=""),"",IF($F257="Maior Melhor",IF(AK257&gt;=AJ257,"Sim","Não"),IF(AK257&lt;=AJ257,"Sim","Não")))</f>
        <v>Sim</v>
      </c>
      <c r="AN257" s="9" t="n">
        <v>100401.03</v>
      </c>
      <c r="AO257" s="9" t="n">
        <v>78551.35</v>
      </c>
      <c r="AP257" s="4" t="n">
        <f aca="false">IF(OR(AN257="",AO257=""),"",IFERROR(IF($K257="%",AO257-AN257,AO257/AN257-1),""))</f>
        <v>-0.217624062223266</v>
      </c>
      <c r="AQ257" s="5" t="str">
        <f aca="false">IF(OR(AN257="",AO257=""),"",IF($F257="Maior Melhor",IF(AO257&gt;=AN257,"Sim","Não"),IF(AO257&lt;=AN257,"Sim","Não")))</f>
        <v>Sim</v>
      </c>
      <c r="AR257" s="9" t="n">
        <v>660748.07</v>
      </c>
      <c r="AS257" s="9" t="n">
        <v>634636.92</v>
      </c>
      <c r="AT257" s="4" t="n">
        <f aca="false">IF(OR(AR257="",AS257=""),"",IFERROR(IF($K257="%",AS257-AR257,AS257/AR257-1),""))</f>
        <v>-0.039517557728167</v>
      </c>
      <c r="AU257" s="5" t="str">
        <f aca="false">IF(OR(AR257="",AS257=""),"",IF($F257="Maior Melhor",IF(AS257&gt;=AR257,"Sim","Não"),IF(AS257&lt;=AR257,"Sim","Não")))</f>
        <v>Sim</v>
      </c>
      <c r="AV257" s="9" t="n">
        <v>101601.99</v>
      </c>
      <c r="AW257" s="9" t="n">
        <v>104010.79</v>
      </c>
      <c r="AX257" s="4" t="n">
        <f aca="false">IF(OR(AV257="",AW257=""),"",IFERROR(IF($K257="%",AW257-AV257,AW257/AV257-1),""))</f>
        <v>0.0237081970540143</v>
      </c>
      <c r="AY257" s="5" t="str">
        <f aca="false">IF(OR(AV257="",AW257=""),"",IF($F257="Maior Melhor",IF(AW257&gt;=AV257,"Sim","Não"),IF(AW257&lt;=AV257,"Sim","Não")))</f>
        <v>Não</v>
      </c>
      <c r="AZ257" s="9" t="n">
        <v>762350.06</v>
      </c>
      <c r="BA257" s="9" t="n">
        <v>738647.71</v>
      </c>
      <c r="BB257" s="4" t="n">
        <f aca="false">IF(OR(AZ257="",BA257=""),"",IFERROR(IF($K257="%",BA257-AZ257,BA257/AZ257-1),""))</f>
        <v>-0.0310911630281765</v>
      </c>
      <c r="BC257" s="5" t="str">
        <f aca="false">IF(OR(AZ257="",BA257=""),"",IF($F257="Maior Melhor",IF(BA257&gt;=AZ257,"Sim","Não"),IF(BA257&lt;=AZ257,"Sim","Não")))</f>
        <v>Sim</v>
      </c>
      <c r="BD257" s="9" t="n">
        <v>131986.21</v>
      </c>
      <c r="BE257" s="9" t="n">
        <v>221760.72</v>
      </c>
      <c r="BF257" s="4" t="n">
        <f aca="false">IF(OR(BD257="",BE257=""),"",IFERROR(IF($K257="%",BE257-BD257,BE257/BD257-1),""))</f>
        <v>0.680180982543555</v>
      </c>
      <c r="BG257" s="5" t="str">
        <f aca="false">IF(OR(BD257="",BE257=""),"",IF($F257="Maior Melhor",IF(BE257&gt;=BD257,"Sim","Não"),IF(BE257&lt;=BD257,"Sim","Não")))</f>
        <v>Não</v>
      </c>
      <c r="BH257" s="9" t="n">
        <v>894336.27</v>
      </c>
      <c r="BI257" s="9" t="n">
        <v>960408.43</v>
      </c>
      <c r="BJ257" s="4" t="n">
        <f aca="false">IF(OR(BH257="",BI257=""),"",IFERROR(IF($K257="%",BI257-BH257,BI257/BH257-1),""))</f>
        <v>0.0738784305370954</v>
      </c>
      <c r="BK257" s="5" t="str">
        <f aca="false">IF(OR(BH257="",BI257=""),"",IF($F257="Maior Melhor",IF(BI257&gt;=BH257,"Sim","Não"),IF(BI257&lt;=BH257,"Sim","Não")))</f>
        <v>Não</v>
      </c>
      <c r="BL257" s="10"/>
      <c r="BM257" s="10"/>
      <c r="BN257" s="4" t="str">
        <f aca="false">IF(OR(BL257="",BM257=""),"",IFERROR(IF($K257="%",BM257-BL257,BM257/BL257-1),""))</f>
        <v/>
      </c>
      <c r="BO257" s="5" t="str">
        <f aca="false">IF(OR(BL257="",BM257=""),"",IF($F257="Maior Melhor",IF(BM257&gt;=BL257,"Sim","Não"),IF(BM257&lt;=BL257,"Sim","Não")))</f>
        <v/>
      </c>
      <c r="BP257" s="10"/>
      <c r="BQ257" s="10"/>
      <c r="BR257" s="4" t="str">
        <f aca="false">IF(OR(BP257="",BQ257=""),"",IFERROR(IF($K257="%",BQ257-BP257,BQ257/BP257-1),""))</f>
        <v/>
      </c>
      <c r="BS257" s="5" t="str">
        <f aca="false">IF(OR(BP257="",BQ257=""),"",IF($F257="Maior Melhor",IF(BQ257&gt;=BP257,"Sim","Não"),IF(BQ257&lt;=BP257,"Sim","Não")))</f>
        <v/>
      </c>
      <c r="BT257" s="10"/>
      <c r="BU257" s="10"/>
      <c r="BV257" s="4" t="str">
        <f aca="false">IF(OR(BT257="",BU257=""),"",IFERROR(IF($K257="%",BU257-BT257,BU257/BT257-1),""))</f>
        <v/>
      </c>
      <c r="BW257" s="5" t="str">
        <f aca="false">IF(OR(BT257="",BU257=""),"",IF($F257="Maior Melhor",IF(BU257&gt;=BT257,"Sim","Não"),IF(BU257&lt;=BT257,"Sim","Não")))</f>
        <v/>
      </c>
      <c r="BX257" s="10"/>
      <c r="BY257" s="10"/>
      <c r="BZ257" s="4" t="str">
        <f aca="false">IF(OR(BX257="",BY257=""),"",IFERROR(IF($K257="%",BY257-BX257,BY257/BX257-1),""))</f>
        <v/>
      </c>
      <c r="CA257" s="5" t="str">
        <f aca="false">IF(OR(BX257="",BY257=""),"",IF($F257="Maior Melhor",IF(BY257&gt;=BX257,"Sim","Não"),IF(BY257&lt;=BX257,"Sim","Não")))</f>
        <v/>
      </c>
      <c r="CB257" s="10"/>
      <c r="CC257" s="10"/>
      <c r="CD257" s="4" t="str">
        <f aca="false">IF(OR(CB257="",CC257=""),"",IFERROR(IF($K257="%",CC257-CB257,CC257/CB257-1),""))</f>
        <v/>
      </c>
      <c r="CE257" s="5" t="str">
        <f aca="false">IF(OR(CB257="",CC257=""),"",IF($F257="Maior Melhor",IF(CC257&gt;=CB257,"Sim","Não"),IF(CC257&lt;=CB257,"Sim","Não")))</f>
        <v/>
      </c>
      <c r="CF257" s="10"/>
      <c r="CG257" s="10"/>
      <c r="CH257" s="4" t="str">
        <f aca="false">IF(OR(CF257="",CG257=""),"",IFERROR(IF($K257="%",CG257-CF257,CG257/CF257-1),""))</f>
        <v/>
      </c>
      <c r="CI257" s="5" t="str">
        <f aca="false">IF(OR(CF257="",CG257=""),"",IF($F257="Maior Melhor",IF(CG257&gt;=CF257,"Sim","Não"),IF(CG257&lt;=CF257,"Sim","Não")))</f>
        <v/>
      </c>
      <c r="CJ257" s="10"/>
      <c r="CK257" s="10"/>
      <c r="CL257" s="4" t="str">
        <f aca="false">IF(OR(CJ257="",CK257=""),"",IFERROR(IF($K257="%",CK257-CJ257,CK257/CJ257-1),""))</f>
        <v/>
      </c>
      <c r="CM257" s="5" t="str">
        <f aca="false">IF(OR(CJ257="",CK257=""),"",IF($F257="Maior Melhor",IF(CK257&gt;=CJ257,"Sim","Não"),IF(CK257&lt;=CJ257,"Sim","Não")))</f>
        <v/>
      </c>
      <c r="CN257" s="10"/>
      <c r="CO257" s="10"/>
      <c r="CP257" s="4" t="str">
        <f aca="false">IF(OR(CN257="",CO257=""),"",IFERROR(IF($K257="%",CO257-CN257,CO257/CN257-1),""))</f>
        <v/>
      </c>
      <c r="CQ257" s="5" t="str">
        <f aca="false">IF(OR(CN257="",CO257=""),"",IF($F257="Maior Melhor",IF(CO257&gt;=CN257,"Sim","Não"),IF(CO257&lt;=CN257,"Sim","Não")))</f>
        <v/>
      </c>
      <c r="CR257" s="2" t="s">
        <v>105</v>
      </c>
    </row>
    <row r="258" customFormat="false" ht="15" hidden="false" customHeight="false" outlineLevel="0" collapsed="false">
      <c r="A258" s="2" t="s">
        <v>151</v>
      </c>
      <c r="B258" s="2" t="s">
        <v>97</v>
      </c>
      <c r="C258" s="2" t="s">
        <v>126</v>
      </c>
      <c r="D258" s="2" t="s">
        <v>185</v>
      </c>
      <c r="E258" s="2" t="str">
        <f aca="false">C258&amp;D258</f>
        <v>UTD LIVRAMENTO DE NOSSA SENHORAOPEX MSO</v>
      </c>
      <c r="F258" s="2" t="s">
        <v>167</v>
      </c>
      <c r="G258" s="2" t="s">
        <v>186</v>
      </c>
      <c r="H258" s="2" t="s">
        <v>102</v>
      </c>
      <c r="I258" s="2" t="s">
        <v>169</v>
      </c>
      <c r="J258" s="2" t="n">
        <v>3</v>
      </c>
      <c r="K258" s="2" t="s">
        <v>187</v>
      </c>
      <c r="L258" s="9" t="n">
        <v>110566</v>
      </c>
      <c r="M258" s="9" t="n">
        <v>110859.84</v>
      </c>
      <c r="N258" s="4" t="n">
        <f aca="false">IF(OR(L258="",M258=""),"",IFERROR(IF($K258="%",M258-L258,M258/L258-1),""))</f>
        <v>0.00265759817665456</v>
      </c>
      <c r="O258" s="5" t="str">
        <f aca="false">IF(OR(L258="",M258=""),"",IF($F258="Maior Melhor",IF(M258&gt;=L258,"Sim","Não"),IF(M258&lt;=L258,"Sim","Não")))</f>
        <v>Não</v>
      </c>
      <c r="P258" s="9" t="n">
        <v>87150</v>
      </c>
      <c r="Q258" s="9" t="n">
        <v>54344.89</v>
      </c>
      <c r="R258" s="4" t="n">
        <f aca="false">IF(OR(P258="",Q258=""),"",IFERROR(IF($K258="%",Q258-P258,Q258/P258-1),""))</f>
        <v>-0.376421227768216</v>
      </c>
      <c r="S258" s="5" t="str">
        <f aca="false">IF(OR(P258="",Q258=""),"",IF($F258="Maior Melhor",IF(Q258&gt;=P258,"Sim","Não"),IF(Q258&lt;=P258,"Sim","Não")))</f>
        <v>Sim</v>
      </c>
      <c r="T258" s="9" t="n">
        <v>89616</v>
      </c>
      <c r="U258" s="9" t="n">
        <v>52732.64</v>
      </c>
      <c r="V258" s="4" t="n">
        <f aca="false">IF(OR(T258="",U258=""),"",IFERROR(IF($K258="%",U258-T258,U258/T258-1),""))</f>
        <v>-0.411571148009284</v>
      </c>
      <c r="W258" s="5" t="str">
        <f aca="false">IF(OR(T258="",U258=""),"",IF($F258="Maior Melhor",IF(U258&gt;=T258,"Sim","Não"),IF(U258&lt;=T258,"Sim","Não")))</f>
        <v>Sim</v>
      </c>
      <c r="X258" s="9" t="n">
        <v>84237</v>
      </c>
      <c r="Y258" s="9" t="n">
        <v>109071.76</v>
      </c>
      <c r="Z258" s="4" t="n">
        <f aca="false">IF(OR(X258="",Y258=""),"",IFERROR(IF($K258="%",Y258-X258,Y258/X258-1),""))</f>
        <v>0.294820090933913</v>
      </c>
      <c r="AA258" s="5" t="str">
        <f aca="false">IF(OR(X258="",Y258=""),"",IF($F258="Maior Melhor",IF(Y258&gt;=X258,"Sim","Não"),IF(Y258&lt;=X258,"Sim","Não")))</f>
        <v>Não</v>
      </c>
      <c r="AB258" s="9" t="n">
        <v>371569</v>
      </c>
      <c r="AC258" s="9" t="n">
        <v>327009.13</v>
      </c>
      <c r="AD258" s="4" t="n">
        <f aca="false">IF(OR(AB258="",AC258=""),"",IFERROR(IF($K258="%",AC258-AB258,AC258/AB258-1),""))</f>
        <v>-0.119923540446055</v>
      </c>
      <c r="AE258" s="5" t="str">
        <f aca="false">IF(OR(AB258="",AC258=""),"",IF($F258="Maior Melhor",IF(AC258&gt;=AB258,"Sim","Não"),IF(AC258&lt;=AB258,"Sim","Não")))</f>
        <v>Sim</v>
      </c>
      <c r="AF258" s="9" t="n">
        <v>80783</v>
      </c>
      <c r="AG258" s="9" t="n">
        <v>134924.8</v>
      </c>
      <c r="AH258" s="4" t="n">
        <f aca="false">IF(OR(AF258="",AG258=""),"",IFERROR(IF($K258="%",AG258-AF258,AG258/AF258-1),""))</f>
        <v>0.670212792295409</v>
      </c>
      <c r="AI258" s="5" t="str">
        <f aca="false">IF(OR(AF258="",AG258=""),"",IF($F258="Maior Melhor",IF(AG258&gt;=AF258,"Sim","Não"),IF(AG258&lt;=AF258,"Sim","Não")))</f>
        <v>Não</v>
      </c>
      <c r="AJ258" s="9" t="n">
        <v>452352</v>
      </c>
      <c r="AK258" s="9" t="n">
        <v>461933.93</v>
      </c>
      <c r="AL258" s="4" t="n">
        <f aca="false">IF(OR(AJ258="",AK258=""),"",IFERROR(IF($K258="%",AK258-AJ258,AK258/AJ258-1),""))</f>
        <v>0.021182464098755</v>
      </c>
      <c r="AM258" s="5" t="str">
        <f aca="false">IF(OR(AJ258="",AK258=""),"",IF($F258="Maior Melhor",IF(AK258&gt;=AJ258,"Sim","Não"),IF(AK258&lt;=AJ258,"Sim","Não")))</f>
        <v>Não</v>
      </c>
      <c r="AN258" s="9" t="n">
        <v>85803.74</v>
      </c>
      <c r="AO258" s="9" t="n">
        <v>53881.33</v>
      </c>
      <c r="AP258" s="4" t="n">
        <f aca="false">IF(OR(AN258="",AO258=""),"",IFERROR(IF($K258="%",AO258-AN258,AO258/AN258-1),""))</f>
        <v>-0.372039843484678</v>
      </c>
      <c r="AQ258" s="5" t="str">
        <f aca="false">IF(OR(AN258="",AO258=""),"",IF($F258="Maior Melhor",IF(AO258&gt;=AN258,"Sim","Não"),IF(AO258&lt;=AN258,"Sim","Não")))</f>
        <v>Sim</v>
      </c>
      <c r="AR258" s="9" t="n">
        <v>538155.49</v>
      </c>
      <c r="AS258" s="9" t="n">
        <v>515815.26</v>
      </c>
      <c r="AT258" s="4" t="n">
        <f aca="false">IF(OR(AR258="",AS258=""),"",IFERROR(IF($K258="%",AS258-AR258,AS258/AR258-1),""))</f>
        <v>-0.0415125933213094</v>
      </c>
      <c r="AU258" s="5" t="str">
        <f aca="false">IF(OR(AR258="",AS258=""),"",IF($F258="Maior Melhor",IF(AS258&gt;=AR258,"Sim","Não"),IF(AS258&lt;=AR258,"Sim","Não")))</f>
        <v>Sim</v>
      </c>
      <c r="AV258" s="9" t="n">
        <v>106356.25</v>
      </c>
      <c r="AW258" s="9" t="n">
        <v>55076.72</v>
      </c>
      <c r="AX258" s="4" t="n">
        <f aca="false">IF(OR(AV258="",AW258=""),"",IFERROR(IF($K258="%",AW258-AV258,AW258/AV258-1),""))</f>
        <v>-0.482148721866369</v>
      </c>
      <c r="AY258" s="5" t="str">
        <f aca="false">IF(OR(AV258="",AW258=""),"",IF($F258="Maior Melhor",IF(AW258&gt;=AV258,"Sim","Não"),IF(AW258&lt;=AV258,"Sim","Não")))</f>
        <v>Sim</v>
      </c>
      <c r="AZ258" s="9" t="n">
        <v>644511.74</v>
      </c>
      <c r="BA258" s="9" t="n">
        <v>570891.98</v>
      </c>
      <c r="BB258" s="4" t="n">
        <f aca="false">IF(OR(AZ258="",BA258=""),"",IFERROR(IF($K258="%",BA258-AZ258,BA258/AZ258-1),""))</f>
        <v>-0.114225630707673</v>
      </c>
      <c r="BC258" s="5" t="str">
        <f aca="false">IF(OR(AZ258="",BA258=""),"",IF($F258="Maior Melhor",IF(BA258&gt;=AZ258,"Sim","Não"),IF(BA258&lt;=AZ258,"Sim","Não")))</f>
        <v>Sim</v>
      </c>
      <c r="BD258" s="9" t="n">
        <v>84726.82</v>
      </c>
      <c r="BE258" s="9" t="n">
        <v>43026.56</v>
      </c>
      <c r="BF258" s="4" t="n">
        <f aca="false">IF(OR(BD258="",BE258=""),"",IFERROR(IF($K258="%",BE258-BD258,BE258/BD258-1),""))</f>
        <v>-0.492173080495645</v>
      </c>
      <c r="BG258" s="5" t="str">
        <f aca="false">IF(OR(BD258="",BE258=""),"",IF($F258="Maior Melhor",IF(BE258&gt;=BD258,"Sim","Não"),IF(BE258&lt;=BD258,"Sim","Não")))</f>
        <v>Sim</v>
      </c>
      <c r="BH258" s="9" t="n">
        <v>729238.56</v>
      </c>
      <c r="BI258" s="9" t="n">
        <v>613918.54</v>
      </c>
      <c r="BJ258" s="4" t="n">
        <f aca="false">IF(OR(BH258="",BI258=""),"",IFERROR(IF($K258="%",BI258-BH258,BI258/BH258-1),""))</f>
        <v>-0.158137578462664</v>
      </c>
      <c r="BK258" s="5" t="str">
        <f aca="false">IF(OR(BH258="",BI258=""),"",IF($F258="Maior Melhor",IF(BI258&gt;=BH258,"Sim","Não"),IF(BI258&lt;=BH258,"Sim","Não")))</f>
        <v>Sim</v>
      </c>
      <c r="BL258" s="10"/>
      <c r="BM258" s="10"/>
      <c r="BN258" s="4" t="str">
        <f aca="false">IF(OR(BL258="",BM258=""),"",IFERROR(IF($K258="%",BM258-BL258,BM258/BL258-1),""))</f>
        <v/>
      </c>
      <c r="BO258" s="5" t="str">
        <f aca="false">IF(OR(BL258="",BM258=""),"",IF($F258="Maior Melhor",IF(BM258&gt;=BL258,"Sim","Não"),IF(BM258&lt;=BL258,"Sim","Não")))</f>
        <v/>
      </c>
      <c r="BP258" s="10"/>
      <c r="BQ258" s="10"/>
      <c r="BR258" s="4" t="str">
        <f aca="false">IF(OR(BP258="",BQ258=""),"",IFERROR(IF($K258="%",BQ258-BP258,BQ258/BP258-1),""))</f>
        <v/>
      </c>
      <c r="BS258" s="5" t="str">
        <f aca="false">IF(OR(BP258="",BQ258=""),"",IF($F258="Maior Melhor",IF(BQ258&gt;=BP258,"Sim","Não"),IF(BQ258&lt;=BP258,"Sim","Não")))</f>
        <v/>
      </c>
      <c r="BT258" s="10"/>
      <c r="BU258" s="10"/>
      <c r="BV258" s="4" t="str">
        <f aca="false">IF(OR(BT258="",BU258=""),"",IFERROR(IF($K258="%",BU258-BT258,BU258/BT258-1),""))</f>
        <v/>
      </c>
      <c r="BW258" s="5" t="str">
        <f aca="false">IF(OR(BT258="",BU258=""),"",IF($F258="Maior Melhor",IF(BU258&gt;=BT258,"Sim","Não"),IF(BU258&lt;=BT258,"Sim","Não")))</f>
        <v/>
      </c>
      <c r="BX258" s="10"/>
      <c r="BY258" s="10"/>
      <c r="BZ258" s="4" t="str">
        <f aca="false">IF(OR(BX258="",BY258=""),"",IFERROR(IF($K258="%",BY258-BX258,BY258/BX258-1),""))</f>
        <v/>
      </c>
      <c r="CA258" s="5" t="str">
        <f aca="false">IF(OR(BX258="",BY258=""),"",IF($F258="Maior Melhor",IF(BY258&gt;=BX258,"Sim","Não"),IF(BY258&lt;=BX258,"Sim","Não")))</f>
        <v/>
      </c>
      <c r="CB258" s="10"/>
      <c r="CC258" s="10"/>
      <c r="CD258" s="4" t="str">
        <f aca="false">IF(OR(CB258="",CC258=""),"",IFERROR(IF($K258="%",CC258-CB258,CC258/CB258-1),""))</f>
        <v/>
      </c>
      <c r="CE258" s="5" t="str">
        <f aca="false">IF(OR(CB258="",CC258=""),"",IF($F258="Maior Melhor",IF(CC258&gt;=CB258,"Sim","Não"),IF(CC258&lt;=CB258,"Sim","Não")))</f>
        <v/>
      </c>
      <c r="CF258" s="10"/>
      <c r="CG258" s="10"/>
      <c r="CH258" s="4" t="str">
        <f aca="false">IF(OR(CF258="",CG258=""),"",IFERROR(IF($K258="%",CG258-CF258,CG258/CF258-1),""))</f>
        <v/>
      </c>
      <c r="CI258" s="5" t="str">
        <f aca="false">IF(OR(CF258="",CG258=""),"",IF($F258="Maior Melhor",IF(CG258&gt;=CF258,"Sim","Não"),IF(CG258&lt;=CF258,"Sim","Não")))</f>
        <v/>
      </c>
      <c r="CJ258" s="10"/>
      <c r="CK258" s="10"/>
      <c r="CL258" s="4" t="str">
        <f aca="false">IF(OR(CJ258="",CK258=""),"",IFERROR(IF($K258="%",CK258-CJ258,CK258/CJ258-1),""))</f>
        <v/>
      </c>
      <c r="CM258" s="5" t="str">
        <f aca="false">IF(OR(CJ258="",CK258=""),"",IF($F258="Maior Melhor",IF(CK258&gt;=CJ258,"Sim","Não"),IF(CK258&lt;=CJ258,"Sim","Não")))</f>
        <v/>
      </c>
      <c r="CN258" s="10"/>
      <c r="CO258" s="10"/>
      <c r="CP258" s="4" t="str">
        <f aca="false">IF(OR(CN258="",CO258=""),"",IFERROR(IF($K258="%",CO258-CN258,CO258/CN258-1),""))</f>
        <v/>
      </c>
      <c r="CQ258" s="5" t="str">
        <f aca="false">IF(OR(CN258="",CO258=""),"",IF($F258="Maior Melhor",IF(CO258&gt;=CN258,"Sim","Não"),IF(CO258&lt;=CN258,"Sim","Não")))</f>
        <v/>
      </c>
      <c r="CR258" s="2" t="s">
        <v>105</v>
      </c>
    </row>
    <row r="259" customFormat="false" ht="15" hidden="false" customHeight="false" outlineLevel="0" collapsed="false">
      <c r="A259" s="2" t="s">
        <v>151</v>
      </c>
      <c r="B259" s="2" t="s">
        <v>97</v>
      </c>
      <c r="C259" s="2" t="s">
        <v>130</v>
      </c>
      <c r="D259" s="2" t="s">
        <v>185</v>
      </c>
      <c r="E259" s="2" t="str">
        <f aca="false">C259&amp;D259</f>
        <v>UTD SEABRAOPEX MSO</v>
      </c>
      <c r="F259" s="2" t="s">
        <v>167</v>
      </c>
      <c r="G259" s="2" t="s">
        <v>186</v>
      </c>
      <c r="H259" s="2" t="s">
        <v>102</v>
      </c>
      <c r="I259" s="2" t="s">
        <v>169</v>
      </c>
      <c r="J259" s="2" t="n">
        <v>3</v>
      </c>
      <c r="K259" s="2" t="s">
        <v>187</v>
      </c>
      <c r="L259" s="9" t="n">
        <v>49258</v>
      </c>
      <c r="M259" s="9" t="n">
        <v>51806.88</v>
      </c>
      <c r="N259" s="4" t="n">
        <f aca="false">IF(OR(L259="",M259=""),"",IFERROR(IF($K259="%",M259-L259,M259/L259-1),""))</f>
        <v>0.0517455032685046</v>
      </c>
      <c r="O259" s="5" t="str">
        <f aca="false">IF(OR(L259="",M259=""),"",IF($F259="Maior Melhor",IF(M259&gt;=L259,"Sim","Não"),IF(M259&lt;=L259,"Sim","Não")))</f>
        <v>Não</v>
      </c>
      <c r="P259" s="9" t="n">
        <v>45968</v>
      </c>
      <c r="Q259" s="9" t="n">
        <v>71406.24</v>
      </c>
      <c r="R259" s="4" t="n">
        <f aca="false">IF(OR(P259="",Q259=""),"",IFERROR(IF($K259="%",Q259-P259,Q259/P259-1),""))</f>
        <v>0.553390184476157</v>
      </c>
      <c r="S259" s="5" t="str">
        <f aca="false">IF(OR(P259="",Q259=""),"",IF($F259="Maior Melhor",IF(Q259&gt;=P259,"Sim","Não"),IF(Q259&lt;=P259,"Sim","Não")))</f>
        <v>Não</v>
      </c>
      <c r="T259" s="9" t="n">
        <v>45232</v>
      </c>
      <c r="U259" s="9" t="n">
        <v>117478.84</v>
      </c>
      <c r="V259" s="4" t="n">
        <f aca="false">IF(OR(T259="",U259=""),"",IFERROR(IF($K259="%",U259-T259,U259/T259-1),""))</f>
        <v>1.59725061903077</v>
      </c>
      <c r="W259" s="5" t="str">
        <f aca="false">IF(OR(T259="",U259=""),"",IF($F259="Maior Melhor",IF(U259&gt;=T259,"Sim","Não"),IF(U259&lt;=T259,"Sim","Não")))</f>
        <v>Não</v>
      </c>
      <c r="X259" s="9" t="n">
        <v>39039</v>
      </c>
      <c r="Y259" s="9" t="n">
        <v>104936.32</v>
      </c>
      <c r="Z259" s="4" t="n">
        <f aca="false">IF(OR(X259="",Y259=""),"",IFERROR(IF($K259="%",Y259-X259,Y259/X259-1),""))</f>
        <v>1.68798688490996</v>
      </c>
      <c r="AA259" s="5" t="str">
        <f aca="false">IF(OR(X259="",Y259=""),"",IF($F259="Maior Melhor",IF(Y259&gt;=X259,"Sim","Não"),IF(Y259&lt;=X259,"Sim","Não")))</f>
        <v>Não</v>
      </c>
      <c r="AB259" s="9" t="n">
        <v>179497</v>
      </c>
      <c r="AC259" s="9" t="n">
        <v>345628.28</v>
      </c>
      <c r="AD259" s="4" t="n">
        <f aca="false">IF(OR(AB259="",AC259=""),"",IFERROR(IF($K259="%",AC259-AB259,AC259/AB259-1),""))</f>
        <v>0.925537919853813</v>
      </c>
      <c r="AE259" s="5" t="str">
        <f aca="false">IF(OR(AB259="",AC259=""),"",IF($F259="Maior Melhor",IF(AC259&gt;=AB259,"Sim","Não"),IF(AC259&lt;=AB259,"Sim","Não")))</f>
        <v>Não</v>
      </c>
      <c r="AF259" s="9" t="n">
        <v>51970</v>
      </c>
      <c r="AG259" s="9" t="n">
        <v>103355.89</v>
      </c>
      <c r="AH259" s="4" t="n">
        <f aca="false">IF(OR(AF259="",AG259=""),"",IFERROR(IF($K259="%",AG259-AF259,AG259/AF259-1),""))</f>
        <v>0.988760631133346</v>
      </c>
      <c r="AI259" s="5" t="str">
        <f aca="false">IF(OR(AF259="",AG259=""),"",IF($F259="Maior Melhor",IF(AG259&gt;=AF259,"Sim","Não"),IF(AG259&lt;=AF259,"Sim","Não")))</f>
        <v>Não</v>
      </c>
      <c r="AJ259" s="9" t="n">
        <v>231467</v>
      </c>
      <c r="AK259" s="9" t="n">
        <v>448984.17</v>
      </c>
      <c r="AL259" s="4" t="n">
        <f aca="false">IF(OR(AJ259="",AK259=""),"",IFERROR(IF($K259="%",AK259-AJ259,AK259/AJ259-1),""))</f>
        <v>0.939732964094234</v>
      </c>
      <c r="AM259" s="5" t="str">
        <f aca="false">IF(OR(AJ259="",AK259=""),"",IF($F259="Maior Melhor",IF(AK259&gt;=AJ259,"Sim","Não"),IF(AK259&lt;=AJ259,"Sim","Não")))</f>
        <v>Não</v>
      </c>
      <c r="AN259" s="9" t="n">
        <v>38577.46</v>
      </c>
      <c r="AO259" s="9" t="n">
        <v>67369.39</v>
      </c>
      <c r="AP259" s="4" t="n">
        <f aca="false">IF(OR(AN259="",AO259=""),"",IFERROR(IF($K259="%",AO259-AN259,AO259/AN259-1),""))</f>
        <v>0.746340738866685</v>
      </c>
      <c r="AQ259" s="5" t="str">
        <f aca="false">IF(OR(AN259="",AO259=""),"",IF($F259="Maior Melhor",IF(AO259&gt;=AN259,"Sim","Não"),IF(AO259&lt;=AN259,"Sim","Não")))</f>
        <v>Não</v>
      </c>
      <c r="AR259" s="9" t="n">
        <v>270047.58</v>
      </c>
      <c r="AS259" s="9" t="n">
        <v>516353.56</v>
      </c>
      <c r="AT259" s="4" t="n">
        <f aca="false">IF(OR(AR259="",AS259=""),"",IFERROR(IF($K259="%",AS259-AR259,AS259/AR259-1),""))</f>
        <v>0.912083640964307</v>
      </c>
      <c r="AU259" s="5" t="str">
        <f aca="false">IF(OR(AR259="",AS259=""),"",IF($F259="Maior Melhor",IF(AS259&gt;=AR259,"Sim","Não"),IF(AS259&lt;=AR259,"Sim","Não")))</f>
        <v>Não</v>
      </c>
      <c r="AV259" s="9" t="n">
        <v>36491.48</v>
      </c>
      <c r="AW259" s="9" t="n">
        <v>90465.95</v>
      </c>
      <c r="AX259" s="4" t="n">
        <f aca="false">IF(OR(AV259="",AW259=""),"",IFERROR(IF($K259="%",AW259-AV259,AW259/AV259-1),""))</f>
        <v>1.47909786065131</v>
      </c>
      <c r="AY259" s="5" t="str">
        <f aca="false">IF(OR(AV259="",AW259=""),"",IF($F259="Maior Melhor",IF(AW259&gt;=AV259,"Sim","Não"),IF(AW259&lt;=AV259,"Sim","Não")))</f>
        <v>Não</v>
      </c>
      <c r="AZ259" s="9" t="n">
        <v>306539.06</v>
      </c>
      <c r="BA259" s="9" t="n">
        <v>606819.51</v>
      </c>
      <c r="BB259" s="4" t="n">
        <f aca="false">IF(OR(AZ259="",BA259=""),"",IFERROR(IF($K259="%",BA259-AZ259,BA259/AZ259-1),""))</f>
        <v>0.979582993436465</v>
      </c>
      <c r="BC259" s="5" t="str">
        <f aca="false">IF(OR(AZ259="",BA259=""),"",IF($F259="Maior Melhor",IF(BA259&gt;=AZ259,"Sim","Não"),IF(BA259&lt;=AZ259,"Sim","Não")))</f>
        <v>Não</v>
      </c>
      <c r="BD259" s="9" t="n">
        <v>39031.7</v>
      </c>
      <c r="BE259" s="9" t="n">
        <v>99850.04</v>
      </c>
      <c r="BF259" s="4" t="n">
        <f aca="false">IF(OR(BD259="",BE259=""),"",IFERROR(IF($K259="%",BE259-BD259,BE259/BD259-1),""))</f>
        <v>1.55817809626534</v>
      </c>
      <c r="BG259" s="5" t="str">
        <f aca="false">IF(OR(BD259="",BE259=""),"",IF($F259="Maior Melhor",IF(BE259&gt;=BD259,"Sim","Não"),IF(BE259&lt;=BD259,"Sim","Não")))</f>
        <v>Não</v>
      </c>
      <c r="BH259" s="9" t="n">
        <v>345570.76</v>
      </c>
      <c r="BI259" s="9" t="n">
        <v>706669.55</v>
      </c>
      <c r="BJ259" s="4" t="n">
        <f aca="false">IF(OR(BH259="",BI259=""),"",IFERROR(IF($K259="%",BI259-BH259,BI259/BH259-1),""))</f>
        <v>1.04493444410632</v>
      </c>
      <c r="BK259" s="5" t="str">
        <f aca="false">IF(OR(BH259="",BI259=""),"",IF($F259="Maior Melhor",IF(BI259&gt;=BH259,"Sim","Não"),IF(BI259&lt;=BH259,"Sim","Não")))</f>
        <v>Não</v>
      </c>
      <c r="BL259" s="10"/>
      <c r="BM259" s="10"/>
      <c r="BN259" s="4" t="str">
        <f aca="false">IF(OR(BL259="",BM259=""),"",IFERROR(IF($K259="%",BM259-BL259,BM259/BL259-1),""))</f>
        <v/>
      </c>
      <c r="BO259" s="5" t="str">
        <f aca="false">IF(OR(BL259="",BM259=""),"",IF($F259="Maior Melhor",IF(BM259&gt;=BL259,"Sim","Não"),IF(BM259&lt;=BL259,"Sim","Não")))</f>
        <v/>
      </c>
      <c r="BP259" s="10"/>
      <c r="BQ259" s="10"/>
      <c r="BR259" s="4" t="str">
        <f aca="false">IF(OR(BP259="",BQ259=""),"",IFERROR(IF($K259="%",BQ259-BP259,BQ259/BP259-1),""))</f>
        <v/>
      </c>
      <c r="BS259" s="5" t="str">
        <f aca="false">IF(OR(BP259="",BQ259=""),"",IF($F259="Maior Melhor",IF(BQ259&gt;=BP259,"Sim","Não"),IF(BQ259&lt;=BP259,"Sim","Não")))</f>
        <v/>
      </c>
      <c r="BT259" s="10"/>
      <c r="BU259" s="10"/>
      <c r="BV259" s="4" t="str">
        <f aca="false">IF(OR(BT259="",BU259=""),"",IFERROR(IF($K259="%",BU259-BT259,BU259/BT259-1),""))</f>
        <v/>
      </c>
      <c r="BW259" s="5" t="str">
        <f aca="false">IF(OR(BT259="",BU259=""),"",IF($F259="Maior Melhor",IF(BU259&gt;=BT259,"Sim","Não"),IF(BU259&lt;=BT259,"Sim","Não")))</f>
        <v/>
      </c>
      <c r="BX259" s="10"/>
      <c r="BY259" s="10"/>
      <c r="BZ259" s="4" t="str">
        <f aca="false">IF(OR(BX259="",BY259=""),"",IFERROR(IF($K259="%",BY259-BX259,BY259/BX259-1),""))</f>
        <v/>
      </c>
      <c r="CA259" s="5" t="str">
        <f aca="false">IF(OR(BX259="",BY259=""),"",IF($F259="Maior Melhor",IF(BY259&gt;=BX259,"Sim","Não"),IF(BY259&lt;=BX259,"Sim","Não")))</f>
        <v/>
      </c>
      <c r="CB259" s="10"/>
      <c r="CC259" s="10"/>
      <c r="CD259" s="4" t="str">
        <f aca="false">IF(OR(CB259="",CC259=""),"",IFERROR(IF($K259="%",CC259-CB259,CC259/CB259-1),""))</f>
        <v/>
      </c>
      <c r="CE259" s="5" t="str">
        <f aca="false">IF(OR(CB259="",CC259=""),"",IF($F259="Maior Melhor",IF(CC259&gt;=CB259,"Sim","Não"),IF(CC259&lt;=CB259,"Sim","Não")))</f>
        <v/>
      </c>
      <c r="CF259" s="10"/>
      <c r="CG259" s="10"/>
      <c r="CH259" s="4" t="str">
        <f aca="false">IF(OR(CF259="",CG259=""),"",IFERROR(IF($K259="%",CG259-CF259,CG259/CF259-1),""))</f>
        <v/>
      </c>
      <c r="CI259" s="5" t="str">
        <f aca="false">IF(OR(CF259="",CG259=""),"",IF($F259="Maior Melhor",IF(CG259&gt;=CF259,"Sim","Não"),IF(CG259&lt;=CF259,"Sim","Não")))</f>
        <v/>
      </c>
      <c r="CJ259" s="10"/>
      <c r="CK259" s="10"/>
      <c r="CL259" s="4" t="str">
        <f aca="false">IF(OR(CJ259="",CK259=""),"",IFERROR(IF($K259="%",CK259-CJ259,CK259/CJ259-1),""))</f>
        <v/>
      </c>
      <c r="CM259" s="5" t="str">
        <f aca="false">IF(OR(CJ259="",CK259=""),"",IF($F259="Maior Melhor",IF(CK259&gt;=CJ259,"Sim","Não"),IF(CK259&lt;=CJ259,"Sim","Não")))</f>
        <v/>
      </c>
      <c r="CN259" s="10"/>
      <c r="CO259" s="10"/>
      <c r="CP259" s="4" t="str">
        <f aca="false">IF(OR(CN259="",CO259=""),"",IFERROR(IF($K259="%",CO259-CN259,CO259/CN259-1),""))</f>
        <v/>
      </c>
      <c r="CQ259" s="5" t="str">
        <f aca="false">IF(OR(CN259="",CO259=""),"",IF($F259="Maior Melhor",IF(CO259&gt;=CN259,"Sim","Não"),IF(CO259&lt;=CN259,"Sim","Não")))</f>
        <v/>
      </c>
      <c r="CR259" s="2" t="s">
        <v>105</v>
      </c>
    </row>
    <row r="260" customFormat="false" ht="15" hidden="false" customHeight="false" outlineLevel="0" collapsed="false">
      <c r="A260" s="2" t="s">
        <v>151</v>
      </c>
      <c r="B260" s="2" t="s">
        <v>106</v>
      </c>
      <c r="C260" s="2" t="s">
        <v>107</v>
      </c>
      <c r="D260" s="2" t="s">
        <v>185</v>
      </c>
      <c r="E260" s="2" t="str">
        <f aca="false">C260&amp;D260</f>
        <v>Gerência OesteOPEX MSO</v>
      </c>
      <c r="F260" s="2" t="s">
        <v>167</v>
      </c>
      <c r="G260" s="2" t="s">
        <v>186</v>
      </c>
      <c r="H260" s="2" t="s">
        <v>102</v>
      </c>
      <c r="I260" s="2" t="s">
        <v>169</v>
      </c>
      <c r="J260" s="2" t="n">
        <v>3</v>
      </c>
      <c r="K260" s="2" t="s">
        <v>187</v>
      </c>
      <c r="L260" s="9" t="n">
        <v>674250</v>
      </c>
      <c r="M260" s="9" t="n">
        <v>858639.64</v>
      </c>
      <c r="N260" s="4" t="n">
        <f aca="false">IF(OR(L260="",M260=""),"",IFERROR(IF($K260="%",M260-L260,M260/L260-1),""))</f>
        <v>0.273473696700037</v>
      </c>
      <c r="O260" s="5" t="str">
        <f aca="false">IF(OR(L260="",M260=""),"",IF($F260="Maior Melhor",IF(M260&gt;=L260,"Sim","Não"),IF(M260&lt;=L260,"Sim","Não")))</f>
        <v>Não</v>
      </c>
      <c r="P260" s="9" t="n">
        <v>775519</v>
      </c>
      <c r="Q260" s="9" t="n">
        <v>1160037.02</v>
      </c>
      <c r="R260" s="4" t="n">
        <f aca="false">IF(OR(P260="",Q260=""),"",IFERROR(IF($K260="%",Q260-P260,Q260/P260-1),""))</f>
        <v>0.495820244249335</v>
      </c>
      <c r="S260" s="5" t="str">
        <f aca="false">IF(OR(P260="",Q260=""),"",IF($F260="Maior Melhor",IF(Q260&gt;=P260,"Sim","Não"),IF(Q260&lt;=P260,"Sim","Não")))</f>
        <v>Não</v>
      </c>
      <c r="T260" s="9" t="n">
        <v>582569.22</v>
      </c>
      <c r="U260" s="9" t="n">
        <v>769067.48</v>
      </c>
      <c r="V260" s="4" t="n">
        <f aca="false">IF(OR(T260="",U260=""),"",IFERROR(IF($K260="%",U260-T260,U260/T260-1),""))</f>
        <v>0.320130644732655</v>
      </c>
      <c r="W260" s="5" t="str">
        <f aca="false">IF(OR(T260="",U260=""),"",IF($F260="Maior Melhor",IF(U260&gt;=T260,"Sim","Não"),IF(U260&lt;=T260,"Sim","Não")))</f>
        <v>Não</v>
      </c>
      <c r="X260" s="9" t="n">
        <v>576894</v>
      </c>
      <c r="Y260" s="9" t="n">
        <v>1116260.09</v>
      </c>
      <c r="Z260" s="4" t="n">
        <f aca="false">IF(OR(X260="",Y260=""),"",IFERROR(IF($K260="%",Y260-X260,Y260/X260-1),""))</f>
        <v>0.934948344063208</v>
      </c>
      <c r="AA260" s="5" t="str">
        <f aca="false">IF(OR(X260="",Y260=""),"",IF($F260="Maior Melhor",IF(Y260&gt;=X260,"Sim","Não"),IF(Y260&lt;=X260,"Sim","Não")))</f>
        <v>Não</v>
      </c>
      <c r="AB260" s="9" t="n">
        <v>2614733</v>
      </c>
      <c r="AC260" s="9" t="n">
        <v>3922456.19</v>
      </c>
      <c r="AD260" s="4" t="n">
        <f aca="false">IF(OR(AB260="",AC260=""),"",IFERROR(IF($K260="%",AC260-AB260,AC260/AB260-1),""))</f>
        <v>0.5001364154581</v>
      </c>
      <c r="AE260" s="5" t="str">
        <f aca="false">IF(OR(AB260="",AC260=""),"",IF($F260="Maior Melhor",IF(AC260&gt;=AB260,"Sim","Não"),IF(AC260&lt;=AB260,"Sim","Não")))</f>
        <v>Não</v>
      </c>
      <c r="AF260" s="9" t="n">
        <v>599023</v>
      </c>
      <c r="AG260" s="9" t="n">
        <v>1141971.67</v>
      </c>
      <c r="AH260" s="4" t="n">
        <f aca="false">IF(OR(AF260="",AG260=""),"",IFERROR(IF($K260="%",AG260-AF260,AG260/AF260-1),""))</f>
        <v>0.906390355629083</v>
      </c>
      <c r="AI260" s="5" t="str">
        <f aca="false">IF(OR(AF260="",AG260=""),"",IF($F260="Maior Melhor",IF(AG260&gt;=AF260,"Sim","Não"),IF(AG260&lt;=AF260,"Sim","Não")))</f>
        <v>Não</v>
      </c>
      <c r="AJ260" s="9" t="n">
        <v>3213756</v>
      </c>
      <c r="AK260" s="9" t="n">
        <v>5064427.86</v>
      </c>
      <c r="AL260" s="4" t="n">
        <f aca="false">IF(OR(AJ260="",AK260=""),"",IFERROR(IF($K260="%",AK260-AJ260,AK260/AJ260-1),""))</f>
        <v>0.575859480309022</v>
      </c>
      <c r="AM260" s="5" t="str">
        <f aca="false">IF(OR(AJ260="",AK260=""),"",IF($F260="Maior Melhor",IF(AK260&gt;=AJ260,"Sim","Não"),IF(AK260&lt;=AJ260,"Sim","Não")))</f>
        <v>Não</v>
      </c>
      <c r="AN260" s="9" t="n">
        <v>644652.75</v>
      </c>
      <c r="AO260" s="9" t="n">
        <v>645256.07</v>
      </c>
      <c r="AP260" s="4" t="n">
        <f aca="false">IF(OR(AN260="",AO260=""),"",IFERROR(IF($K260="%",AO260-AN260,AO260/AN260-1),""))</f>
        <v>0.000935883698626849</v>
      </c>
      <c r="AQ260" s="5" t="str">
        <f aca="false">IF(OR(AN260="",AO260=""),"",IF($F260="Maior Melhor",IF(AO260&gt;=AN260,"Sim","Não"),IF(AO260&lt;=AN260,"Sim","Não")))</f>
        <v>Não</v>
      </c>
      <c r="AR260" s="9" t="n">
        <v>3755311.63</v>
      </c>
      <c r="AS260" s="9" t="n">
        <v>5673710.95</v>
      </c>
      <c r="AT260" s="4" t="n">
        <f aca="false">IF(OR(AR260="",AS260=""),"",IFERROR(IF($K260="%",AS260-AR260,AS260/AR260-1),""))</f>
        <v>0.510849566963901</v>
      </c>
      <c r="AU260" s="5" t="str">
        <f aca="false">IF(OR(AR260="",AS260=""),"",IF($F260="Maior Melhor",IF(AS260&gt;=AR260,"Sim","Não"),IF(AS260&lt;=AR260,"Sim","Não")))</f>
        <v>Não</v>
      </c>
      <c r="AV260" s="9" t="n">
        <v>551733.56</v>
      </c>
      <c r="AW260" s="9" t="n">
        <v>821310.85</v>
      </c>
      <c r="AX260" s="4" t="n">
        <f aca="false">IF(OR(AV260="",AW260=""),"",IFERROR(IF($K260="%",AW260-AV260,AW260/AV260-1),""))</f>
        <v>0.488600494050063</v>
      </c>
      <c r="AY260" s="5" t="str">
        <f aca="false">IF(OR(AV260="",AW260=""),"",IF($F260="Maior Melhor",IF(AW260&gt;=AV260,"Sim","Não"),IF(AW260&lt;=AV260,"Sim","Não")))</f>
        <v>Não</v>
      </c>
      <c r="AZ260" s="9" t="n">
        <v>4307045.19</v>
      </c>
      <c r="BA260" s="9" t="n">
        <v>6495021.8</v>
      </c>
      <c r="BB260" s="4" t="n">
        <f aca="false">IF(OR(AZ260="",BA260=""),"",IFERROR(IF($K260="%",BA260-AZ260,BA260/AZ260-1),""))</f>
        <v>0.507999455190299</v>
      </c>
      <c r="BC260" s="5" t="str">
        <f aca="false">IF(OR(AZ260="",BA260=""),"",IF($F260="Maior Melhor",IF(BA260&gt;=AZ260,"Sim","Não"),IF(BA260&lt;=AZ260,"Sim","Não")))</f>
        <v>Não</v>
      </c>
      <c r="BD260" s="9" t="n">
        <v>688555.63</v>
      </c>
      <c r="BE260" s="9" t="n">
        <v>544617.41</v>
      </c>
      <c r="BF260" s="4" t="n">
        <f aca="false">IF(OR(BD260="",BE260=""),"",IFERROR(IF($K260="%",BE260-BD260,BE260/BD260-1),""))</f>
        <v>-0.209043705008991</v>
      </c>
      <c r="BG260" s="5" t="str">
        <f aca="false">IF(OR(BD260="",BE260=""),"",IF($F260="Maior Melhor",IF(BE260&gt;=BD260,"Sim","Não"),IF(BE260&lt;=BD260,"Sim","Não")))</f>
        <v>Sim</v>
      </c>
      <c r="BH260" s="9" t="n">
        <v>4995600.82</v>
      </c>
      <c r="BI260" s="9" t="n">
        <v>7039639.21</v>
      </c>
      <c r="BJ260" s="4" t="n">
        <f aca="false">IF(OR(BH260="",BI260=""),"",IFERROR(IF($K260="%",BI260-BH260,BI260/BH260-1),""))</f>
        <v>0.40916767845354</v>
      </c>
      <c r="BK260" s="5" t="str">
        <f aca="false">IF(OR(BH260="",BI260=""),"",IF($F260="Maior Melhor",IF(BI260&gt;=BH260,"Sim","Não"),IF(BI260&lt;=BH260,"Sim","Não")))</f>
        <v>Não</v>
      </c>
      <c r="BL260" s="10"/>
      <c r="BM260" s="10"/>
      <c r="BN260" s="4" t="str">
        <f aca="false">IF(OR(BL260="",BM260=""),"",IFERROR(IF($K260="%",BM260-BL260,BM260/BL260-1),""))</f>
        <v/>
      </c>
      <c r="BO260" s="5" t="str">
        <f aca="false">IF(OR(BL260="",BM260=""),"",IF($F260="Maior Melhor",IF(BM260&gt;=BL260,"Sim","Não"),IF(BM260&lt;=BL260,"Sim","Não")))</f>
        <v/>
      </c>
      <c r="BP260" s="10"/>
      <c r="BQ260" s="10"/>
      <c r="BR260" s="4" t="str">
        <f aca="false">IF(OR(BP260="",BQ260=""),"",IFERROR(IF($K260="%",BQ260-BP260,BQ260/BP260-1),""))</f>
        <v/>
      </c>
      <c r="BS260" s="5" t="str">
        <f aca="false">IF(OR(BP260="",BQ260=""),"",IF($F260="Maior Melhor",IF(BQ260&gt;=BP260,"Sim","Não"),IF(BQ260&lt;=BP260,"Sim","Não")))</f>
        <v/>
      </c>
      <c r="BT260" s="10"/>
      <c r="BU260" s="10"/>
      <c r="BV260" s="4" t="str">
        <f aca="false">IF(OR(BT260="",BU260=""),"",IFERROR(IF($K260="%",BU260-BT260,BU260/BT260-1),""))</f>
        <v/>
      </c>
      <c r="BW260" s="5" t="str">
        <f aca="false">IF(OR(BT260="",BU260=""),"",IF($F260="Maior Melhor",IF(BU260&gt;=BT260,"Sim","Não"),IF(BU260&lt;=BT260,"Sim","Não")))</f>
        <v/>
      </c>
      <c r="BX260" s="10"/>
      <c r="BY260" s="10"/>
      <c r="BZ260" s="4" t="str">
        <f aca="false">IF(OR(BX260="",BY260=""),"",IFERROR(IF($K260="%",BY260-BX260,BY260/BX260-1),""))</f>
        <v/>
      </c>
      <c r="CA260" s="5" t="str">
        <f aca="false">IF(OR(BX260="",BY260=""),"",IF($F260="Maior Melhor",IF(BY260&gt;=BX260,"Sim","Não"),IF(BY260&lt;=BX260,"Sim","Não")))</f>
        <v/>
      </c>
      <c r="CB260" s="10"/>
      <c r="CC260" s="10"/>
      <c r="CD260" s="4" t="str">
        <f aca="false">IF(OR(CB260="",CC260=""),"",IFERROR(IF($K260="%",CC260-CB260,CC260/CB260-1),""))</f>
        <v/>
      </c>
      <c r="CE260" s="5" t="str">
        <f aca="false">IF(OR(CB260="",CC260=""),"",IF($F260="Maior Melhor",IF(CC260&gt;=CB260,"Sim","Não"),IF(CC260&lt;=CB260,"Sim","Não")))</f>
        <v/>
      </c>
      <c r="CF260" s="10"/>
      <c r="CG260" s="10"/>
      <c r="CH260" s="4" t="str">
        <f aca="false">IF(OR(CF260="",CG260=""),"",IFERROR(IF($K260="%",CG260-CF260,CG260/CF260-1),""))</f>
        <v/>
      </c>
      <c r="CI260" s="5" t="str">
        <f aca="false">IF(OR(CF260="",CG260=""),"",IF($F260="Maior Melhor",IF(CG260&gt;=CF260,"Sim","Não"),IF(CG260&lt;=CF260,"Sim","Não")))</f>
        <v/>
      </c>
      <c r="CJ260" s="10"/>
      <c r="CK260" s="10"/>
      <c r="CL260" s="4" t="str">
        <f aca="false">IF(OR(CJ260="",CK260=""),"",IFERROR(IF($K260="%",CK260-CJ260,CK260/CJ260-1),""))</f>
        <v/>
      </c>
      <c r="CM260" s="5" t="str">
        <f aca="false">IF(OR(CJ260="",CK260=""),"",IF($F260="Maior Melhor",IF(CK260&gt;=CJ260,"Sim","Não"),IF(CK260&lt;=CJ260,"Sim","Não")))</f>
        <v/>
      </c>
      <c r="CN260" s="10"/>
      <c r="CO260" s="10"/>
      <c r="CP260" s="4" t="str">
        <f aca="false">IF(OR(CN260="",CO260=""),"",IFERROR(IF($K260="%",CO260-CN260,CO260/CN260-1),""))</f>
        <v/>
      </c>
      <c r="CQ260" s="5" t="str">
        <f aca="false">IF(OR(CN260="",CO260=""),"",IF($F260="Maior Melhor",IF(CO260&gt;=CN260,"Sim","Não"),IF(CO260&lt;=CN260,"Sim","Não")))</f>
        <v/>
      </c>
      <c r="CR260" s="2" t="s">
        <v>105</v>
      </c>
    </row>
    <row r="261" customFormat="false" ht="15" hidden="false" customHeight="false" outlineLevel="0" collapsed="false">
      <c r="A261" s="2" t="s">
        <v>151</v>
      </c>
      <c r="B261" s="2" t="s">
        <v>106</v>
      </c>
      <c r="C261" s="2" t="s">
        <v>111</v>
      </c>
      <c r="D261" s="2" t="s">
        <v>185</v>
      </c>
      <c r="E261" s="2" t="str">
        <f aca="false">C261&amp;D261</f>
        <v>UTD BARREIRASOPEX MSO</v>
      </c>
      <c r="F261" s="2" t="s">
        <v>167</v>
      </c>
      <c r="G261" s="2" t="s">
        <v>186</v>
      </c>
      <c r="H261" s="2" t="s">
        <v>102</v>
      </c>
      <c r="I261" s="2" t="s">
        <v>169</v>
      </c>
      <c r="J261" s="2" t="n">
        <v>3</v>
      </c>
      <c r="K261" s="2" t="s">
        <v>187</v>
      </c>
      <c r="L261" s="9" t="n">
        <v>148062</v>
      </c>
      <c r="M261" s="9" t="n">
        <v>171106.25</v>
      </c>
      <c r="N261" s="4" t="n">
        <f aca="false">IF(OR(L261="",M261=""),"",IFERROR(IF($K261="%",M261-L261,M261/L261-1),""))</f>
        <v>0.155639191689968</v>
      </c>
      <c r="O261" s="5" t="str">
        <f aca="false">IF(OR(L261="",M261=""),"",IF($F261="Maior Melhor",IF(M261&gt;=L261,"Sim","Não"),IF(M261&lt;=L261,"Sim","Não")))</f>
        <v>Não</v>
      </c>
      <c r="P261" s="9" t="n">
        <v>164513</v>
      </c>
      <c r="Q261" s="9" t="n">
        <v>382061.99</v>
      </c>
      <c r="R261" s="4" t="n">
        <f aca="false">IF(OR(P261="",Q261=""),"",IFERROR(IF($K261="%",Q261-P261,Q261/P261-1),""))</f>
        <v>1.32238175706479</v>
      </c>
      <c r="S261" s="5" t="str">
        <f aca="false">IF(OR(P261="",Q261=""),"",IF($F261="Maior Melhor",IF(Q261&gt;=P261,"Sim","Não"),IF(Q261&lt;=P261,"Sim","Não")))</f>
        <v>Não</v>
      </c>
      <c r="T261" s="9" t="n">
        <v>133660</v>
      </c>
      <c r="U261" s="9" t="n">
        <v>119172.37</v>
      </c>
      <c r="V261" s="4" t="n">
        <f aca="false">IF(OR(T261="",U261=""),"",IFERROR(IF($K261="%",U261-T261,U261/T261-1),""))</f>
        <v>-0.108391665419722</v>
      </c>
      <c r="W261" s="5" t="str">
        <f aca="false">IF(OR(T261="",U261=""),"",IF($F261="Maior Melhor",IF(U261&gt;=T261,"Sim","Não"),IF(U261&lt;=T261,"Sim","Não")))</f>
        <v>Sim</v>
      </c>
      <c r="X261" s="9" t="n">
        <v>124616</v>
      </c>
      <c r="Y261" s="9" t="n">
        <v>211753.9</v>
      </c>
      <c r="Z261" s="4" t="n">
        <f aca="false">IF(OR(X261="",Y261=""),"",IFERROR(IF($K261="%",Y261-X261,Y261/X261-1),""))</f>
        <v>0.69925129999358</v>
      </c>
      <c r="AA261" s="5" t="str">
        <f aca="false">IF(OR(X261="",Y261=""),"",IF($F261="Maior Melhor",IF(Y261&gt;=X261,"Sim","Não"),IF(Y261&lt;=X261,"Sim","Não")))</f>
        <v>Não</v>
      </c>
      <c r="AB261" s="9" t="n">
        <v>570851</v>
      </c>
      <c r="AC261" s="9" t="n">
        <v>884094.510000001</v>
      </c>
      <c r="AD261" s="4" t="n">
        <f aca="false">IF(OR(AB261="",AC261=""),"",IFERROR(IF($K261="%",AC261-AB261,AC261/AB261-1),""))</f>
        <v>0.54873077212793</v>
      </c>
      <c r="AE261" s="5" t="str">
        <f aca="false">IF(OR(AB261="",AC261=""),"",IF($F261="Maior Melhor",IF(AC261&gt;=AB261,"Sim","Não"),IF(AC261&lt;=AB261,"Sim","Não")))</f>
        <v>Não</v>
      </c>
      <c r="AF261" s="9" t="n">
        <v>131287</v>
      </c>
      <c r="AG261" s="9" t="n">
        <v>223741.46</v>
      </c>
      <c r="AH261" s="4" t="n">
        <f aca="false">IF(OR(AF261="",AG261=""),"",IFERROR(IF($K261="%",AG261-AF261,AG261/AF261-1),""))</f>
        <v>0.704216411373556</v>
      </c>
      <c r="AI261" s="5" t="str">
        <f aca="false">IF(OR(AF261="",AG261=""),"",IF($F261="Maior Melhor",IF(AG261&gt;=AF261,"Sim","Não"),IF(AG261&lt;=AF261,"Sim","Não")))</f>
        <v>Não</v>
      </c>
      <c r="AJ261" s="9" t="n">
        <v>702138</v>
      </c>
      <c r="AK261" s="9" t="n">
        <v>1107835.97</v>
      </c>
      <c r="AL261" s="4" t="n">
        <f aca="false">IF(OR(AJ261="",AK261=""),"",IFERROR(IF($K261="%",AK261-AJ261,AK261/AJ261-1),""))</f>
        <v>0.577803750829609</v>
      </c>
      <c r="AM261" s="5" t="str">
        <f aca="false">IF(OR(AJ261="",AK261=""),"",IF($F261="Maior Melhor",IF(AK261&gt;=AJ261,"Sim","Não"),IF(AK261&lt;=AJ261,"Sim","Não")))</f>
        <v>Não</v>
      </c>
      <c r="AN261" s="9" t="n">
        <v>144153.28</v>
      </c>
      <c r="AO261" s="9" t="n">
        <v>130486.81</v>
      </c>
      <c r="AP261" s="4" t="n">
        <f aca="false">IF(OR(AN261="",AO261=""),"",IFERROR(IF($K261="%",AO261-AN261,AO261/AN261-1),""))</f>
        <v>-0.0948051268760586</v>
      </c>
      <c r="AQ261" s="5" t="str">
        <f aca="false">IF(OR(AN261="",AO261=""),"",IF($F261="Maior Melhor",IF(AO261&gt;=AN261,"Sim","Não"),IF(AO261&lt;=AN261,"Sim","Não")))</f>
        <v>Sim</v>
      </c>
      <c r="AR261" s="9" t="n">
        <v>846292.41</v>
      </c>
      <c r="AS261" s="9" t="n">
        <v>1238322.78</v>
      </c>
      <c r="AT261" s="4" t="n">
        <f aca="false">IF(OR(AR261="",AS261=""),"",IFERROR(IF($K261="%",AS261-AR261,AS261/AR261-1),""))</f>
        <v>0.463232761357271</v>
      </c>
      <c r="AU261" s="5" t="str">
        <f aca="false">IF(OR(AR261="",AS261=""),"",IF($F261="Maior Melhor",IF(AS261&gt;=AR261,"Sim","Não"),IF(AS261&lt;=AR261,"Sim","Não")))</f>
        <v>Não</v>
      </c>
      <c r="AV261" s="9" t="n">
        <v>130379.97</v>
      </c>
      <c r="AW261" s="9" t="n">
        <v>266011.89</v>
      </c>
      <c r="AX261" s="4" t="n">
        <f aca="false">IF(OR(AV261="",AW261=""),"",IFERROR(IF($K261="%",AW261-AV261,AW261/AV261-1),""))</f>
        <v>1.04028187765345</v>
      </c>
      <c r="AY261" s="5" t="str">
        <f aca="false">IF(OR(AV261="",AW261=""),"",IF($F261="Maior Melhor",IF(AW261&gt;=AV261,"Sim","Não"),IF(AW261&lt;=AV261,"Sim","Não")))</f>
        <v>Não</v>
      </c>
      <c r="AZ261" s="9" t="n">
        <v>976672.38</v>
      </c>
      <c r="BA261" s="9" t="n">
        <v>1504334.67</v>
      </c>
      <c r="BB261" s="4" t="n">
        <f aca="false">IF(OR(AZ261="",BA261=""),"",IFERROR(IF($K261="%",BA261-AZ261,BA261/AZ261-1),""))</f>
        <v>0.540265395853623</v>
      </c>
      <c r="BC261" s="5" t="str">
        <f aca="false">IF(OR(AZ261="",BA261=""),"",IF($F261="Maior Melhor",IF(BA261&gt;=AZ261,"Sim","Não"),IF(BA261&lt;=AZ261,"Sim","Não")))</f>
        <v>Não</v>
      </c>
      <c r="BD261" s="9" t="n">
        <v>159926.61</v>
      </c>
      <c r="BE261" s="9" t="n">
        <v>143964.32</v>
      </c>
      <c r="BF261" s="4" t="n">
        <f aca="false">IF(OR(BD261="",BE261=""),"",IFERROR(IF($K261="%",BE261-BD261,BE261/BD261-1),""))</f>
        <v>-0.0998100941425569</v>
      </c>
      <c r="BG261" s="5" t="str">
        <f aca="false">IF(OR(BD261="",BE261=""),"",IF($F261="Maior Melhor",IF(BE261&gt;=BD261,"Sim","Não"),IF(BE261&lt;=BD261,"Sim","Não")))</f>
        <v>Sim</v>
      </c>
      <c r="BH261" s="9" t="n">
        <v>1136598.99</v>
      </c>
      <c r="BI261" s="9" t="n">
        <v>1648298.99</v>
      </c>
      <c r="BJ261" s="4" t="n">
        <f aca="false">IF(OR(BH261="",BI261=""),"",IFERROR(IF($K261="%",BI261-BH261,BI261/BH261-1),""))</f>
        <v>0.450202757966554</v>
      </c>
      <c r="BK261" s="5" t="str">
        <f aca="false">IF(OR(BH261="",BI261=""),"",IF($F261="Maior Melhor",IF(BI261&gt;=BH261,"Sim","Não"),IF(BI261&lt;=BH261,"Sim","Não")))</f>
        <v>Não</v>
      </c>
      <c r="BL261" s="10"/>
      <c r="BM261" s="10"/>
      <c r="BN261" s="4" t="str">
        <f aca="false">IF(OR(BL261="",BM261=""),"",IFERROR(IF($K261="%",BM261-BL261,BM261/BL261-1),""))</f>
        <v/>
      </c>
      <c r="BO261" s="5" t="str">
        <f aca="false">IF(OR(BL261="",BM261=""),"",IF($F261="Maior Melhor",IF(BM261&gt;=BL261,"Sim","Não"),IF(BM261&lt;=BL261,"Sim","Não")))</f>
        <v/>
      </c>
      <c r="BP261" s="10"/>
      <c r="BQ261" s="10"/>
      <c r="BR261" s="4" t="str">
        <f aca="false">IF(OR(BP261="",BQ261=""),"",IFERROR(IF($K261="%",BQ261-BP261,BQ261/BP261-1),""))</f>
        <v/>
      </c>
      <c r="BS261" s="5" t="str">
        <f aca="false">IF(OR(BP261="",BQ261=""),"",IF($F261="Maior Melhor",IF(BQ261&gt;=BP261,"Sim","Não"),IF(BQ261&lt;=BP261,"Sim","Não")))</f>
        <v/>
      </c>
      <c r="BT261" s="10"/>
      <c r="BU261" s="10"/>
      <c r="BV261" s="4" t="str">
        <f aca="false">IF(OR(BT261="",BU261=""),"",IFERROR(IF($K261="%",BU261-BT261,BU261/BT261-1),""))</f>
        <v/>
      </c>
      <c r="BW261" s="5" t="str">
        <f aca="false">IF(OR(BT261="",BU261=""),"",IF($F261="Maior Melhor",IF(BU261&gt;=BT261,"Sim","Não"),IF(BU261&lt;=BT261,"Sim","Não")))</f>
        <v/>
      </c>
      <c r="BX261" s="10"/>
      <c r="BY261" s="10"/>
      <c r="BZ261" s="4" t="str">
        <f aca="false">IF(OR(BX261="",BY261=""),"",IFERROR(IF($K261="%",BY261-BX261,BY261/BX261-1),""))</f>
        <v/>
      </c>
      <c r="CA261" s="5" t="str">
        <f aca="false">IF(OR(BX261="",BY261=""),"",IF($F261="Maior Melhor",IF(BY261&gt;=BX261,"Sim","Não"),IF(BY261&lt;=BX261,"Sim","Não")))</f>
        <v/>
      </c>
      <c r="CB261" s="10"/>
      <c r="CC261" s="10"/>
      <c r="CD261" s="4" t="str">
        <f aca="false">IF(OR(CB261="",CC261=""),"",IFERROR(IF($K261="%",CC261-CB261,CC261/CB261-1),""))</f>
        <v/>
      </c>
      <c r="CE261" s="5" t="str">
        <f aca="false">IF(OR(CB261="",CC261=""),"",IF($F261="Maior Melhor",IF(CC261&gt;=CB261,"Sim","Não"),IF(CC261&lt;=CB261,"Sim","Não")))</f>
        <v/>
      </c>
      <c r="CF261" s="10"/>
      <c r="CG261" s="10"/>
      <c r="CH261" s="4" t="str">
        <f aca="false">IF(OR(CF261="",CG261=""),"",IFERROR(IF($K261="%",CG261-CF261,CG261/CF261-1),""))</f>
        <v/>
      </c>
      <c r="CI261" s="5" t="str">
        <f aca="false">IF(OR(CF261="",CG261=""),"",IF($F261="Maior Melhor",IF(CG261&gt;=CF261,"Sim","Não"),IF(CG261&lt;=CF261,"Sim","Não")))</f>
        <v/>
      </c>
      <c r="CJ261" s="10"/>
      <c r="CK261" s="10"/>
      <c r="CL261" s="4" t="str">
        <f aca="false">IF(OR(CJ261="",CK261=""),"",IFERROR(IF($K261="%",CK261-CJ261,CK261/CJ261-1),""))</f>
        <v/>
      </c>
      <c r="CM261" s="5" t="str">
        <f aca="false">IF(OR(CJ261="",CK261=""),"",IF($F261="Maior Melhor",IF(CK261&gt;=CJ261,"Sim","Não"),IF(CK261&lt;=CJ261,"Sim","Não")))</f>
        <v/>
      </c>
      <c r="CN261" s="10"/>
      <c r="CO261" s="10"/>
      <c r="CP261" s="4" t="str">
        <f aca="false">IF(OR(CN261="",CO261=""),"",IFERROR(IF($K261="%",CO261-CN261,CO261/CN261-1),""))</f>
        <v/>
      </c>
      <c r="CQ261" s="5" t="str">
        <f aca="false">IF(OR(CN261="",CO261=""),"",IF($F261="Maior Melhor",IF(CO261&gt;=CN261,"Sim","Não"),IF(CO261&lt;=CN261,"Sim","Não")))</f>
        <v/>
      </c>
      <c r="CR261" s="2" t="s">
        <v>148</v>
      </c>
    </row>
    <row r="262" customFormat="false" ht="15" hidden="false" customHeight="false" outlineLevel="0" collapsed="false">
      <c r="A262" s="2" t="s">
        <v>151</v>
      </c>
      <c r="B262" s="2" t="s">
        <v>106</v>
      </c>
      <c r="C262" s="2" t="s">
        <v>113</v>
      </c>
      <c r="D262" s="2" t="s">
        <v>185</v>
      </c>
      <c r="E262" s="2" t="str">
        <f aca="false">C262&amp;D262</f>
        <v>UTD BOM JESUS DA LAPAOPEX MSO</v>
      </c>
      <c r="F262" s="2" t="s">
        <v>167</v>
      </c>
      <c r="G262" s="2" t="s">
        <v>186</v>
      </c>
      <c r="H262" s="2" t="s">
        <v>102</v>
      </c>
      <c r="I262" s="2" t="s">
        <v>169</v>
      </c>
      <c r="J262" s="2" t="n">
        <v>3</v>
      </c>
      <c r="K262" s="2" t="s">
        <v>187</v>
      </c>
      <c r="L262" s="9" t="n">
        <v>164289</v>
      </c>
      <c r="M262" s="9" t="n">
        <v>122572.63</v>
      </c>
      <c r="N262" s="4" t="n">
        <f aca="false">IF(OR(L262="",M262=""),"",IFERROR(IF($K262="%",M262-L262,M262/L262-1),""))</f>
        <v>-0.253920652021742</v>
      </c>
      <c r="O262" s="5" t="str">
        <f aca="false">IF(OR(L262="",M262=""),"",IF($F262="Maior Melhor",IF(M262&gt;=L262,"Sim","Não"),IF(M262&lt;=L262,"Sim","Não")))</f>
        <v>Sim</v>
      </c>
      <c r="P262" s="9" t="n">
        <v>185329</v>
      </c>
      <c r="Q262" s="9" t="n">
        <v>200068.51</v>
      </c>
      <c r="R262" s="4" t="n">
        <f aca="false">IF(OR(P262="",Q262=""),"",IFERROR(IF($K262="%",Q262-P262,Q262/P262-1),""))</f>
        <v>0.0795315897673861</v>
      </c>
      <c r="S262" s="5" t="str">
        <f aca="false">IF(OR(P262="",Q262=""),"",IF($F262="Maior Melhor",IF(Q262&gt;=P262,"Sim","Não"),IF(Q262&lt;=P262,"Sim","Não")))</f>
        <v>Não</v>
      </c>
      <c r="T262" s="9" t="n">
        <v>139090</v>
      </c>
      <c r="U262" s="9" t="n">
        <v>166100.64</v>
      </c>
      <c r="V262" s="4" t="n">
        <f aca="false">IF(OR(T262="",U262=""),"",IFERROR(IF($K262="%",U262-T262,U262/T262-1),""))</f>
        <v>0.194195413041915</v>
      </c>
      <c r="W262" s="5" t="str">
        <f aca="false">IF(OR(T262="",U262=""),"",IF($F262="Maior Melhor",IF(U262&gt;=T262,"Sim","Não"),IF(U262&lt;=T262,"Sim","Não")))</f>
        <v>Não</v>
      </c>
      <c r="X262" s="9" t="n">
        <v>125726</v>
      </c>
      <c r="Y262" s="9" t="n">
        <v>190107.87</v>
      </c>
      <c r="Z262" s="4" t="n">
        <f aca="false">IF(OR(X262="",Y262=""),"",IFERROR(IF($K262="%",Y262-X262,Y262/X262-1),""))</f>
        <v>0.512080794744126</v>
      </c>
      <c r="AA262" s="5" t="str">
        <f aca="false">IF(OR(X262="",Y262=""),"",IF($F262="Maior Melhor",IF(Y262&gt;=X262,"Sim","Não"),IF(Y262&lt;=X262,"Sim","Não")))</f>
        <v>Não</v>
      </c>
      <c r="AB262" s="9" t="n">
        <v>614434</v>
      </c>
      <c r="AC262" s="9" t="n">
        <v>678849.650000001</v>
      </c>
      <c r="AD262" s="4" t="n">
        <f aca="false">IF(OR(AB262="",AC262=""),"",IFERROR(IF($K262="%",AC262-AB262,AC262/AB262-1),""))</f>
        <v>0.104837378790888</v>
      </c>
      <c r="AE262" s="5" t="str">
        <f aca="false">IF(OR(AB262="",AC262=""),"",IF($F262="Maior Melhor",IF(AC262&gt;=AB262,"Sim","Não"),IF(AC262&lt;=AB262,"Sim","Não")))</f>
        <v>Não</v>
      </c>
      <c r="AF262" s="9" t="n">
        <v>126820</v>
      </c>
      <c r="AG262" s="9" t="n">
        <v>250125.14</v>
      </c>
      <c r="AH262" s="4" t="n">
        <f aca="false">IF(OR(AF262="",AG262=""),"",IFERROR(IF($K262="%",AG262-AF262,AG262/AF262-1),""))</f>
        <v>0.972284655417127</v>
      </c>
      <c r="AI262" s="5" t="str">
        <f aca="false">IF(OR(AF262="",AG262=""),"",IF($F262="Maior Melhor",IF(AG262&gt;=AF262,"Sim","Não"),IF(AG262&lt;=AF262,"Sim","Não")))</f>
        <v>Não</v>
      </c>
      <c r="AJ262" s="9" t="n">
        <v>741254</v>
      </c>
      <c r="AK262" s="9" t="n">
        <v>928974.79</v>
      </c>
      <c r="AL262" s="4" t="n">
        <f aca="false">IF(OR(AJ262="",AK262=""),"",IFERROR(IF($K262="%",AK262-AJ262,AK262/AJ262-1),""))</f>
        <v>0.253247591244027</v>
      </c>
      <c r="AM262" s="5" t="str">
        <f aca="false">IF(OR(AJ262="",AK262=""),"",IF($F262="Maior Melhor",IF(AK262&gt;=AJ262,"Sim","Não"),IF(AK262&lt;=AJ262,"Sim","Não")))</f>
        <v>Não</v>
      </c>
      <c r="AN262" s="9" t="n">
        <v>142537.81</v>
      </c>
      <c r="AO262" s="9" t="n">
        <v>161912.05</v>
      </c>
      <c r="AP262" s="4" t="n">
        <f aca="false">IF(OR(AN262="",AO262=""),"",IFERROR(IF($K262="%",AO262-AN262,AO262/AN262-1),""))</f>
        <v>0.135923513908345</v>
      </c>
      <c r="AQ262" s="5" t="str">
        <f aca="false">IF(OR(AN262="",AO262=""),"",IF($F262="Maior Melhor",IF(AO262&gt;=AN262,"Sim","Não"),IF(AO262&lt;=AN262,"Sim","Não")))</f>
        <v>Não</v>
      </c>
      <c r="AR262" s="9" t="n">
        <v>883795.76</v>
      </c>
      <c r="AS262" s="9" t="n">
        <v>1090886.84</v>
      </c>
      <c r="AT262" s="4" t="n">
        <f aca="false">IF(OR(AR262="",AS262=""),"",IFERROR(IF($K262="%",AS262-AR262,AS262/AR262-1),""))</f>
        <v>0.234320065079289</v>
      </c>
      <c r="AU262" s="5" t="str">
        <f aca="false">IF(OR(AR262="",AS262=""),"",IF($F262="Maior Melhor",IF(AS262&gt;=AR262,"Sim","Não"),IF(AS262&lt;=AR262,"Sim","Não")))</f>
        <v>Não</v>
      </c>
      <c r="AV262" s="9" t="n">
        <v>127348.13</v>
      </c>
      <c r="AW262" s="9" t="n">
        <v>113356.16</v>
      </c>
      <c r="AX262" s="4" t="n">
        <f aca="false">IF(OR(AV262="",AW262=""),"",IFERROR(IF($K262="%",AW262-AV262,AW262/AV262-1),""))</f>
        <v>-0.109871813586898</v>
      </c>
      <c r="AY262" s="5" t="str">
        <f aca="false">IF(OR(AV262="",AW262=""),"",IF($F262="Maior Melhor",IF(AW262&gt;=AV262,"Sim","Não"),IF(AW262&lt;=AV262,"Sim","Não")))</f>
        <v>Sim</v>
      </c>
      <c r="AZ262" s="9" t="n">
        <v>1011143.89</v>
      </c>
      <c r="BA262" s="9" t="n">
        <v>1204243</v>
      </c>
      <c r="BB262" s="4" t="n">
        <f aca="false">IF(OR(AZ262="",BA262=""),"",IFERROR(IF($K262="%",BA262-AZ262,BA262/AZ262-1),""))</f>
        <v>0.190970950731849</v>
      </c>
      <c r="BC262" s="5" t="str">
        <f aca="false">IF(OR(AZ262="",BA262=""),"",IF($F262="Maior Melhor",IF(BA262&gt;=AZ262,"Sim","Não"),IF(BA262&lt;=AZ262,"Sim","Não")))</f>
        <v>Não</v>
      </c>
      <c r="BD262" s="9" t="n">
        <v>159959.04</v>
      </c>
      <c r="BE262" s="9" t="n">
        <v>64466.14</v>
      </c>
      <c r="BF262" s="4" t="n">
        <f aca="false">IF(OR(BD262="",BE262=""),"",IFERROR(IF($K262="%",BE262-BD262,BE262/BD262-1),""))</f>
        <v>-0.596983452763908</v>
      </c>
      <c r="BG262" s="5" t="str">
        <f aca="false">IF(OR(BD262="",BE262=""),"",IF($F262="Maior Melhor",IF(BE262&gt;=BD262,"Sim","Não"),IF(BE262&lt;=BD262,"Sim","Não")))</f>
        <v>Sim</v>
      </c>
      <c r="BH262" s="9" t="n">
        <v>1171102.93</v>
      </c>
      <c r="BI262" s="9" t="n">
        <v>1268709.14</v>
      </c>
      <c r="BJ262" s="4" t="n">
        <f aca="false">IF(OR(BH262="",BI262=""),"",IFERROR(IF($K262="%",BI262-BH262,BI262/BH262-1),""))</f>
        <v>0.0833455433332406</v>
      </c>
      <c r="BK262" s="5" t="str">
        <f aca="false">IF(OR(BH262="",BI262=""),"",IF($F262="Maior Melhor",IF(BI262&gt;=BH262,"Sim","Não"),IF(BI262&lt;=BH262,"Sim","Não")))</f>
        <v>Não</v>
      </c>
      <c r="BL262" s="10"/>
      <c r="BM262" s="10"/>
      <c r="BN262" s="4" t="str">
        <f aca="false">IF(OR(BL262="",BM262=""),"",IFERROR(IF($K262="%",BM262-BL262,BM262/BL262-1),""))</f>
        <v/>
      </c>
      <c r="BO262" s="5" t="str">
        <f aca="false">IF(OR(BL262="",BM262=""),"",IF($F262="Maior Melhor",IF(BM262&gt;=BL262,"Sim","Não"),IF(BM262&lt;=BL262,"Sim","Não")))</f>
        <v/>
      </c>
      <c r="BP262" s="10"/>
      <c r="BQ262" s="10"/>
      <c r="BR262" s="4" t="str">
        <f aca="false">IF(OR(BP262="",BQ262=""),"",IFERROR(IF($K262="%",BQ262-BP262,BQ262/BP262-1),""))</f>
        <v/>
      </c>
      <c r="BS262" s="5" t="str">
        <f aca="false">IF(OR(BP262="",BQ262=""),"",IF($F262="Maior Melhor",IF(BQ262&gt;=BP262,"Sim","Não"),IF(BQ262&lt;=BP262,"Sim","Não")))</f>
        <v/>
      </c>
      <c r="BT262" s="10"/>
      <c r="BU262" s="10"/>
      <c r="BV262" s="4" t="str">
        <f aca="false">IF(OR(BT262="",BU262=""),"",IFERROR(IF($K262="%",BU262-BT262,BU262/BT262-1),""))</f>
        <v/>
      </c>
      <c r="BW262" s="5" t="str">
        <f aca="false">IF(OR(BT262="",BU262=""),"",IF($F262="Maior Melhor",IF(BU262&gt;=BT262,"Sim","Não"),IF(BU262&lt;=BT262,"Sim","Não")))</f>
        <v/>
      </c>
      <c r="BX262" s="10"/>
      <c r="BY262" s="10"/>
      <c r="BZ262" s="4" t="str">
        <f aca="false">IF(OR(BX262="",BY262=""),"",IFERROR(IF($K262="%",BY262-BX262,BY262/BX262-1),""))</f>
        <v/>
      </c>
      <c r="CA262" s="5" t="str">
        <f aca="false">IF(OR(BX262="",BY262=""),"",IF($F262="Maior Melhor",IF(BY262&gt;=BX262,"Sim","Não"),IF(BY262&lt;=BX262,"Sim","Não")))</f>
        <v/>
      </c>
      <c r="CB262" s="10"/>
      <c r="CC262" s="10"/>
      <c r="CD262" s="4" t="str">
        <f aca="false">IF(OR(CB262="",CC262=""),"",IFERROR(IF($K262="%",CC262-CB262,CC262/CB262-1),""))</f>
        <v/>
      </c>
      <c r="CE262" s="5" t="str">
        <f aca="false">IF(OR(CB262="",CC262=""),"",IF($F262="Maior Melhor",IF(CC262&gt;=CB262,"Sim","Não"),IF(CC262&lt;=CB262,"Sim","Não")))</f>
        <v/>
      </c>
      <c r="CF262" s="10"/>
      <c r="CG262" s="10"/>
      <c r="CH262" s="4" t="str">
        <f aca="false">IF(OR(CF262="",CG262=""),"",IFERROR(IF($K262="%",CG262-CF262,CG262/CF262-1),""))</f>
        <v/>
      </c>
      <c r="CI262" s="5" t="str">
        <f aca="false">IF(OR(CF262="",CG262=""),"",IF($F262="Maior Melhor",IF(CG262&gt;=CF262,"Sim","Não"),IF(CG262&lt;=CF262,"Sim","Não")))</f>
        <v/>
      </c>
      <c r="CJ262" s="10"/>
      <c r="CK262" s="10"/>
      <c r="CL262" s="4" t="str">
        <f aca="false">IF(OR(CJ262="",CK262=""),"",IFERROR(IF($K262="%",CK262-CJ262,CK262/CJ262-1),""))</f>
        <v/>
      </c>
      <c r="CM262" s="5" t="str">
        <f aca="false">IF(OR(CJ262="",CK262=""),"",IF($F262="Maior Melhor",IF(CK262&gt;=CJ262,"Sim","Não"),IF(CK262&lt;=CJ262,"Sim","Não")))</f>
        <v/>
      </c>
      <c r="CN262" s="10"/>
      <c r="CO262" s="10"/>
      <c r="CP262" s="4" t="str">
        <f aca="false">IF(OR(CN262="",CO262=""),"",IFERROR(IF($K262="%",CO262-CN262,CO262/CN262-1),""))</f>
        <v/>
      </c>
      <c r="CQ262" s="5" t="str">
        <f aca="false">IF(OR(CN262="",CO262=""),"",IF($F262="Maior Melhor",IF(CO262&gt;=CN262,"Sim","Não"),IF(CO262&lt;=CN262,"Sim","Não")))</f>
        <v/>
      </c>
      <c r="CR262" s="2" t="s">
        <v>158</v>
      </c>
    </row>
    <row r="263" customFormat="false" ht="15" hidden="false" customHeight="false" outlineLevel="0" collapsed="false">
      <c r="A263" s="2" t="s">
        <v>151</v>
      </c>
      <c r="B263" s="2" t="s">
        <v>106</v>
      </c>
      <c r="C263" s="2" t="s">
        <v>118</v>
      </c>
      <c r="D263" s="2" t="s">
        <v>185</v>
      </c>
      <c r="E263" s="2" t="str">
        <f aca="false">C263&amp;D263</f>
        <v>UTD IBOTIRAMAOPEX MSO</v>
      </c>
      <c r="F263" s="2" t="s">
        <v>167</v>
      </c>
      <c r="G263" s="2" t="s">
        <v>186</v>
      </c>
      <c r="H263" s="2" t="s">
        <v>119</v>
      </c>
      <c r="I263" s="2" t="s">
        <v>169</v>
      </c>
      <c r="J263" s="2" t="n">
        <v>3</v>
      </c>
      <c r="K263" s="2" t="s">
        <v>187</v>
      </c>
      <c r="L263" s="9" t="n">
        <v>95146</v>
      </c>
      <c r="M263" s="9" t="n">
        <v>90619.92</v>
      </c>
      <c r="N263" s="4" t="n">
        <f aca="false">IF(OR(L263="",M263=""),"",IFERROR(IF($K263="%",M263-L263,M263/L263-1),""))</f>
        <v>-0.0475698400353141</v>
      </c>
      <c r="O263" s="5" t="str">
        <f aca="false">IF(OR(L263="",M263=""),"",IF($F263="Maior Melhor",IF(M263&gt;=L263,"Sim","Não"),IF(M263&lt;=L263,"Sim","Não")))</f>
        <v>Sim</v>
      </c>
      <c r="P263" s="9" t="n">
        <v>119302</v>
      </c>
      <c r="Q263" s="9" t="n">
        <v>199682.68</v>
      </c>
      <c r="R263" s="4" t="n">
        <f aca="false">IF(OR(P263="",Q263=""),"",IFERROR(IF($K263="%",Q263-P263,Q263/P263-1),""))</f>
        <v>0.673758025850363</v>
      </c>
      <c r="S263" s="5" t="str">
        <f aca="false">IF(OR(P263="",Q263=""),"",IF($F263="Maior Melhor",IF(Q263&gt;=P263,"Sim","Não"),IF(Q263&lt;=P263,"Sim","Não")))</f>
        <v>Não</v>
      </c>
      <c r="T263" s="9" t="n">
        <v>91647</v>
      </c>
      <c r="U263" s="9" t="n">
        <v>110412.19</v>
      </c>
      <c r="V263" s="4" t="n">
        <f aca="false">IF(OR(T263="",U263=""),"",IFERROR(IF($K263="%",U263-T263,U263/T263-1),""))</f>
        <v>0.204755092910843</v>
      </c>
      <c r="W263" s="5" t="str">
        <f aca="false">IF(OR(T263="",U263=""),"",IF($F263="Maior Melhor",IF(U263&gt;=T263,"Sim","Não"),IF(U263&lt;=T263,"Sim","Não")))</f>
        <v>Não</v>
      </c>
      <c r="X263" s="9" t="n">
        <v>89564</v>
      </c>
      <c r="Y263" s="9" t="n">
        <v>177634.36</v>
      </c>
      <c r="Z263" s="4" t="n">
        <f aca="false">IF(OR(X263="",Y263=""),"",IFERROR(IF($K263="%",Y263-X263,Y263/X263-1),""))</f>
        <v>0.983323210218391</v>
      </c>
      <c r="AA263" s="5" t="str">
        <f aca="false">IF(OR(X263="",Y263=""),"",IF($F263="Maior Melhor",IF(Y263&gt;=X263,"Sim","Não"),IF(Y263&lt;=X263,"Sim","Não")))</f>
        <v>Não</v>
      </c>
      <c r="AB263" s="9" t="n">
        <v>395659</v>
      </c>
      <c r="AC263" s="9" t="n">
        <v>578349.15</v>
      </c>
      <c r="AD263" s="4" t="n">
        <f aca="false">IF(OR(AB263="",AC263=""),"",IFERROR(IF($K263="%",AC263-AB263,AC263/AB263-1),""))</f>
        <v>0.461736368943965</v>
      </c>
      <c r="AE263" s="5" t="str">
        <f aca="false">IF(OR(AB263="",AC263=""),"",IF($F263="Maior Melhor",IF(AC263&gt;=AB263,"Sim","Não"),IF(AC263&lt;=AB263,"Sim","Não")))</f>
        <v>Não</v>
      </c>
      <c r="AF263" s="9" t="n">
        <v>95815</v>
      </c>
      <c r="AG263" s="9" t="n">
        <v>231644.08</v>
      </c>
      <c r="AH263" s="4" t="n">
        <f aca="false">IF(OR(AF263="",AG263=""),"",IFERROR(IF($K263="%",AG263-AF263,AG263/AF263-1),""))</f>
        <v>1.41761811824871</v>
      </c>
      <c r="AI263" s="5" t="str">
        <f aca="false">IF(OR(AF263="",AG263=""),"",IF($F263="Maior Melhor",IF(AG263&gt;=AF263,"Sim","Não"),IF(AG263&lt;=AF263,"Sim","Não")))</f>
        <v>Não</v>
      </c>
      <c r="AJ263" s="9" t="n">
        <v>491474</v>
      </c>
      <c r="AK263" s="9" t="n">
        <v>809993.23</v>
      </c>
      <c r="AL263" s="4" t="n">
        <f aca="false">IF(OR(AJ263="",AK263=""),"",IFERROR(IF($K263="%",AK263-AJ263,AK263/AJ263-1),""))</f>
        <v>0.648089685313974</v>
      </c>
      <c r="AM263" s="5" t="str">
        <f aca="false">IF(OR(AJ263="",AK263=""),"",IF($F263="Maior Melhor",IF(AK263&gt;=AJ263,"Sim","Não"),IF(AK263&lt;=AJ263,"Sim","Não")))</f>
        <v>Não</v>
      </c>
      <c r="AN263" s="9" t="n">
        <v>112040.2</v>
      </c>
      <c r="AO263" s="9" t="n">
        <v>133911.99</v>
      </c>
      <c r="AP263" s="4" t="n">
        <f aca="false">IF(OR(AN263="",AO263=""),"",IFERROR(IF($K263="%",AO263-AN263,AO263/AN263-1),""))</f>
        <v>0.195213771485592</v>
      </c>
      <c r="AQ263" s="5" t="str">
        <f aca="false">IF(OR(AN263="",AO263=""),"",IF($F263="Maior Melhor",IF(AO263&gt;=AN263,"Sim","Não"),IF(AO263&lt;=AN263,"Sim","Não")))</f>
        <v>Não</v>
      </c>
      <c r="AR263" s="9" t="n">
        <v>603511.18</v>
      </c>
      <c r="AS263" s="9" t="n">
        <v>943905.22</v>
      </c>
      <c r="AT263" s="4" t="n">
        <f aca="false">IF(OR(AR263="",AS263=""),"",IFERROR(IF($K263="%",AS263-AR263,AS263/AR263-1),""))</f>
        <v>0.564022757623148</v>
      </c>
      <c r="AU263" s="5" t="str">
        <f aca="false">IF(OR(AR263="",AS263=""),"",IF($F263="Maior Melhor",IF(AS263&gt;=AR263,"Sim","Não"),IF(AS263&lt;=AR263,"Sim","Não")))</f>
        <v>Não</v>
      </c>
      <c r="AV263" s="9" t="n">
        <v>93533.78</v>
      </c>
      <c r="AW263" s="9" t="n">
        <v>157265.13</v>
      </c>
      <c r="AX263" s="4" t="n">
        <f aca="false">IF(OR(AV263="",AW263=""),"",IFERROR(IF($K263="%",AW263-AV263,AW263/AV263-1),""))</f>
        <v>0.681372547971439</v>
      </c>
      <c r="AY263" s="5" t="str">
        <f aca="false">IF(OR(AV263="",AW263=""),"",IF($F263="Maior Melhor",IF(AW263&gt;=AV263,"Sim","Não"),IF(AW263&lt;=AV263,"Sim","Não")))</f>
        <v>Não</v>
      </c>
      <c r="AZ263" s="9" t="n">
        <v>697044.96</v>
      </c>
      <c r="BA263" s="9" t="n">
        <v>1101170.35</v>
      </c>
      <c r="BB263" s="4" t="n">
        <f aca="false">IF(OR(AZ263="",BA263=""),"",IFERROR(IF($K263="%",BA263-AZ263,BA263/AZ263-1),""))</f>
        <v>0.579769474267485</v>
      </c>
      <c r="BC263" s="5" t="str">
        <f aca="false">IF(OR(AZ263="",BA263=""),"",IF($F263="Maior Melhor",IF(BA263&gt;=AZ263,"Sim","Não"),IF(BA263&lt;=AZ263,"Sim","Não")))</f>
        <v>Não</v>
      </c>
      <c r="BD263" s="9" t="n">
        <v>118602.06</v>
      </c>
      <c r="BE263" s="9" t="n">
        <v>46339.12</v>
      </c>
      <c r="BF263" s="4" t="n">
        <f aca="false">IF(OR(BD263="",BE263=""),"",IFERROR(IF($K263="%",BE263-BD263,BE263/BD263-1),""))</f>
        <v>-0.609289079801818</v>
      </c>
      <c r="BG263" s="5" t="str">
        <f aca="false">IF(OR(BD263="",BE263=""),"",IF($F263="Maior Melhor",IF(BE263&gt;=BD263,"Sim","Não"),IF(BE263&lt;=BD263,"Sim","Não")))</f>
        <v>Sim</v>
      </c>
      <c r="BH263" s="9" t="n">
        <v>815647.02</v>
      </c>
      <c r="BI263" s="9" t="n">
        <v>1147509.47</v>
      </c>
      <c r="BJ263" s="4" t="n">
        <f aca="false">IF(OR(BH263="",BI263=""),"",IFERROR(IF($K263="%",BI263-BH263,BI263/BH263-1),""))</f>
        <v>0.406870180191426</v>
      </c>
      <c r="BK263" s="5" t="str">
        <f aca="false">IF(OR(BH263="",BI263=""),"",IF($F263="Maior Melhor",IF(BI263&gt;=BH263,"Sim","Não"),IF(BI263&lt;=BH263,"Sim","Não")))</f>
        <v>Não</v>
      </c>
      <c r="BL263" s="10"/>
      <c r="BM263" s="10"/>
      <c r="BN263" s="4" t="str">
        <f aca="false">IF(OR(BL263="",BM263=""),"",IFERROR(IF($K263="%",BM263-BL263,BM263/BL263-1),""))</f>
        <v/>
      </c>
      <c r="BO263" s="5" t="str">
        <f aca="false">IF(OR(BL263="",BM263=""),"",IF($F263="Maior Melhor",IF(BM263&gt;=BL263,"Sim","Não"),IF(BM263&lt;=BL263,"Sim","Não")))</f>
        <v/>
      </c>
      <c r="BP263" s="10"/>
      <c r="BQ263" s="10"/>
      <c r="BR263" s="4" t="str">
        <f aca="false">IF(OR(BP263="",BQ263=""),"",IFERROR(IF($K263="%",BQ263-BP263,BQ263/BP263-1),""))</f>
        <v/>
      </c>
      <c r="BS263" s="5" t="str">
        <f aca="false">IF(OR(BP263="",BQ263=""),"",IF($F263="Maior Melhor",IF(BQ263&gt;=BP263,"Sim","Não"),IF(BQ263&lt;=BP263,"Sim","Não")))</f>
        <v/>
      </c>
      <c r="BT263" s="10"/>
      <c r="BU263" s="10"/>
      <c r="BV263" s="4" t="str">
        <f aca="false">IF(OR(BT263="",BU263=""),"",IFERROR(IF($K263="%",BU263-BT263,BU263/BT263-1),""))</f>
        <v/>
      </c>
      <c r="BW263" s="5" t="str">
        <f aca="false">IF(OR(BT263="",BU263=""),"",IF($F263="Maior Melhor",IF(BU263&gt;=BT263,"Sim","Não"),IF(BU263&lt;=BT263,"Sim","Não")))</f>
        <v/>
      </c>
      <c r="BX263" s="10"/>
      <c r="BY263" s="10"/>
      <c r="BZ263" s="4" t="str">
        <f aca="false">IF(OR(BX263="",BY263=""),"",IFERROR(IF($K263="%",BY263-BX263,BY263/BX263-1),""))</f>
        <v/>
      </c>
      <c r="CA263" s="5" t="str">
        <f aca="false">IF(OR(BX263="",BY263=""),"",IF($F263="Maior Melhor",IF(BY263&gt;=BX263,"Sim","Não"),IF(BY263&lt;=BX263,"Sim","Não")))</f>
        <v/>
      </c>
      <c r="CB263" s="10"/>
      <c r="CC263" s="10"/>
      <c r="CD263" s="4" t="str">
        <f aca="false">IF(OR(CB263="",CC263=""),"",IFERROR(IF($K263="%",CC263-CB263,CC263/CB263-1),""))</f>
        <v/>
      </c>
      <c r="CE263" s="5" t="str">
        <f aca="false">IF(OR(CB263="",CC263=""),"",IF($F263="Maior Melhor",IF(CC263&gt;=CB263,"Sim","Não"),IF(CC263&lt;=CB263,"Sim","Não")))</f>
        <v/>
      </c>
      <c r="CF263" s="10"/>
      <c r="CG263" s="10"/>
      <c r="CH263" s="4" t="str">
        <f aca="false">IF(OR(CF263="",CG263=""),"",IFERROR(IF($K263="%",CG263-CF263,CG263/CF263-1),""))</f>
        <v/>
      </c>
      <c r="CI263" s="5" t="str">
        <f aca="false">IF(OR(CF263="",CG263=""),"",IF($F263="Maior Melhor",IF(CG263&gt;=CF263,"Sim","Não"),IF(CG263&lt;=CF263,"Sim","Não")))</f>
        <v/>
      </c>
      <c r="CJ263" s="10"/>
      <c r="CK263" s="10"/>
      <c r="CL263" s="4" t="str">
        <f aca="false">IF(OR(CJ263="",CK263=""),"",IFERROR(IF($K263="%",CK263-CJ263,CK263/CJ263-1),""))</f>
        <v/>
      </c>
      <c r="CM263" s="5" t="str">
        <f aca="false">IF(OR(CJ263="",CK263=""),"",IF($F263="Maior Melhor",IF(CK263&gt;=CJ263,"Sim","Não"),IF(CK263&lt;=CJ263,"Sim","Não")))</f>
        <v/>
      </c>
      <c r="CN263" s="10"/>
      <c r="CO263" s="10"/>
      <c r="CP263" s="4" t="str">
        <f aca="false">IF(OR(CN263="",CO263=""),"",IFERROR(IF($K263="%",CO263-CN263,CO263/CN263-1),""))</f>
        <v/>
      </c>
      <c r="CQ263" s="5" t="str">
        <f aca="false">IF(OR(CN263="",CO263=""),"",IF($F263="Maior Melhor",IF(CO263&gt;=CN263,"Sim","Não"),IF(CO263&lt;=CN263,"Sim","Não")))</f>
        <v/>
      </c>
      <c r="CR263" s="2" t="s">
        <v>150</v>
      </c>
    </row>
    <row r="264" customFormat="false" ht="15" hidden="false" customHeight="false" outlineLevel="0" collapsed="false">
      <c r="A264" s="2" t="s">
        <v>151</v>
      </c>
      <c r="B264" s="2" t="s">
        <v>106</v>
      </c>
      <c r="C264" s="2" t="s">
        <v>127</v>
      </c>
      <c r="D264" s="2" t="s">
        <v>185</v>
      </c>
      <c r="E264" s="2" t="str">
        <f aca="false">C264&amp;D264</f>
        <v>UTD LUIS EDUARDO MAGALHAESOPEX MSO</v>
      </c>
      <c r="F264" s="2" t="s">
        <v>167</v>
      </c>
      <c r="G264" s="2" t="s">
        <v>186</v>
      </c>
      <c r="H264" s="2" t="s">
        <v>102</v>
      </c>
      <c r="I264" s="2" t="s">
        <v>169</v>
      </c>
      <c r="J264" s="2" t="n">
        <v>3</v>
      </c>
      <c r="K264" s="2" t="s">
        <v>187</v>
      </c>
      <c r="L264" s="9" t="n">
        <v>146368</v>
      </c>
      <c r="M264" s="9" t="n">
        <v>215609.82</v>
      </c>
      <c r="N264" s="4" t="n">
        <f aca="false">IF(OR(L264="",M264=""),"",IFERROR(IF($K264="%",M264-L264,M264/L264-1),""))</f>
        <v>0.473066653913423</v>
      </c>
      <c r="O264" s="5" t="str">
        <f aca="false">IF(OR(L264="",M264=""),"",IF($F264="Maior Melhor",IF(M264&gt;=L264,"Sim","Não"),IF(M264&lt;=L264,"Sim","Não")))</f>
        <v>Não</v>
      </c>
      <c r="P264" s="9" t="n">
        <v>167799</v>
      </c>
      <c r="Q264" s="9" t="n">
        <v>206082.84</v>
      </c>
      <c r="R264" s="4" t="n">
        <f aca="false">IF(OR(P264="",Q264=""),"",IFERROR(IF($K264="%",Q264-P264,Q264/P264-1),""))</f>
        <v>0.228152968730445</v>
      </c>
      <c r="S264" s="5" t="str">
        <f aca="false">IF(OR(P264="",Q264=""),"",IF($F264="Maior Melhor",IF(Q264&gt;=P264,"Sim","Não"),IF(Q264&lt;=P264,"Sim","Não")))</f>
        <v>Não</v>
      </c>
      <c r="T264" s="9" t="n">
        <v>139123</v>
      </c>
      <c r="U264" s="9" t="n">
        <v>177564.45</v>
      </c>
      <c r="V264" s="4" t="n">
        <f aca="false">IF(OR(T264="",U264=""),"",IFERROR(IF($K264="%",U264-T264,U264/T264-1),""))</f>
        <v>0.276312687334229</v>
      </c>
      <c r="W264" s="5" t="str">
        <f aca="false">IF(OR(T264="",U264=""),"",IF($F264="Maior Melhor",IF(U264&gt;=T264,"Sim","Não"),IF(U264&lt;=T264,"Sim","Não")))</f>
        <v>Não</v>
      </c>
      <c r="X264" s="9" t="n">
        <v>118558</v>
      </c>
      <c r="Y264" s="9" t="n">
        <v>281893.59</v>
      </c>
      <c r="Z264" s="4" t="n">
        <f aca="false">IF(OR(X264="",Y264=""),"",IFERROR(IF($K264="%",Y264-X264,Y264/X264-1),""))</f>
        <v>1.3776850992763</v>
      </c>
      <c r="AA264" s="5" t="str">
        <f aca="false">IF(OR(X264="",Y264=""),"",IF($F264="Maior Melhor",IF(Y264&gt;=X264,"Sim","Não"),IF(Y264&lt;=X264,"Sim","Não")))</f>
        <v>Não</v>
      </c>
      <c r="AB264" s="9" t="n">
        <v>571848</v>
      </c>
      <c r="AC264" s="9" t="n">
        <v>881150.700000001</v>
      </c>
      <c r="AD264" s="4" t="n">
        <f aca="false">IF(OR(AB264="",AC264=""),"",IFERROR(IF($K264="%",AC264-AB264,AC264/AB264-1),""))</f>
        <v>0.540882717085661</v>
      </c>
      <c r="AE264" s="5" t="str">
        <f aca="false">IF(OR(AB264="",AC264=""),"",IF($F264="Maior Melhor",IF(AC264&gt;=AB264,"Sim","Não"),IF(AC264&lt;=AB264,"Sim","Não")))</f>
        <v>Não</v>
      </c>
      <c r="AF264" s="9" t="n">
        <v>125269</v>
      </c>
      <c r="AG264" s="9" t="n">
        <v>281410.37</v>
      </c>
      <c r="AH264" s="4" t="n">
        <f aca="false">IF(OR(AF264="",AG264=""),"",IFERROR(IF($K264="%",AG264-AF264,AG264/AF264-1),""))</f>
        <v>1.24644860260719</v>
      </c>
      <c r="AI264" s="5" t="str">
        <f aca="false">IF(OR(AF264="",AG264=""),"",IF($F264="Maior Melhor",IF(AG264&gt;=AF264,"Sim","Não"),IF(AG264&lt;=AF264,"Sim","Não")))</f>
        <v>Não</v>
      </c>
      <c r="AJ264" s="9" t="n">
        <v>697117</v>
      </c>
      <c r="AK264" s="9" t="n">
        <v>1162561.07</v>
      </c>
      <c r="AL264" s="4" t="n">
        <f aca="false">IF(OR(AJ264="",AK264=""),"",IFERROR(IF($K264="%",AK264-AJ264,AK264/AJ264-1),""))</f>
        <v>0.667669946364814</v>
      </c>
      <c r="AM264" s="5" t="str">
        <f aca="false">IF(OR(AJ264="",AK264=""),"",IF($F264="Maior Melhor",IF(AK264&gt;=AJ264,"Sim","Não"),IF(AK264&lt;=AJ264,"Sim","Não")))</f>
        <v>Não</v>
      </c>
      <c r="AN264" s="9" t="n">
        <v>149145.62</v>
      </c>
      <c r="AO264" s="9" t="n">
        <v>103700.59</v>
      </c>
      <c r="AP264" s="4" t="n">
        <f aca="false">IF(OR(AN264="",AO264=""),"",IFERROR(IF($K264="%",AO264-AN264,AO264/AN264-1),""))</f>
        <v>-0.304702410972578</v>
      </c>
      <c r="AQ264" s="5" t="str">
        <f aca="false">IF(OR(AN264="",AO264=""),"",IF($F264="Maior Melhor",IF(AO264&gt;=AN264,"Sim","Não"),IF(AO264&lt;=AN264,"Sim","Não")))</f>
        <v>Sim</v>
      </c>
      <c r="AR264" s="9" t="n">
        <v>846264.69</v>
      </c>
      <c r="AS264" s="9" t="n">
        <v>1266261.66</v>
      </c>
      <c r="AT264" s="4" t="n">
        <f aca="false">IF(OR(AR264="",AS264=""),"",IFERROR(IF($K264="%",AS264-AR264,AS264/AR264-1),""))</f>
        <v>0.496295042157555</v>
      </c>
      <c r="AU264" s="5" t="str">
        <f aca="false">IF(OR(AR264="",AS264=""),"",IF($F264="Maior Melhor",IF(AS264&gt;=AR264,"Sim","Não"),IF(AS264&lt;=AR264,"Sim","Não")))</f>
        <v>Não</v>
      </c>
      <c r="AV264" s="9" t="n">
        <v>121318.8</v>
      </c>
      <c r="AW264" s="9" t="n">
        <v>201527.7</v>
      </c>
      <c r="AX264" s="4" t="n">
        <f aca="false">IF(OR(AV264="",AW264=""),"",IFERROR(IF($K264="%",AW264-AV264,AW264/AV264-1),""))</f>
        <v>0.661141554318045</v>
      </c>
      <c r="AY264" s="5" t="str">
        <f aca="false">IF(OR(AV264="",AW264=""),"",IF($F264="Maior Melhor",IF(AW264&gt;=AV264,"Sim","Não"),IF(AW264&lt;=AV264,"Sim","Não")))</f>
        <v>Não</v>
      </c>
      <c r="AZ264" s="9" t="n">
        <v>967583.49</v>
      </c>
      <c r="BA264" s="9" t="n">
        <v>1467789.36</v>
      </c>
      <c r="BB264" s="4" t="n">
        <f aca="false">IF(OR(AZ264="",BA264=""),"",IFERROR(IF($K264="%",BA264-AZ264,BA264/AZ264-1),""))</f>
        <v>0.516964039971372</v>
      </c>
      <c r="BC264" s="5" t="str">
        <f aca="false">IF(OR(AZ264="",BA264=""),"",IF($F264="Maior Melhor",IF(BA264&gt;=AZ264,"Sim","Não"),IF(BA264&lt;=AZ264,"Sim","Não")))</f>
        <v>Não</v>
      </c>
      <c r="BD264" s="9" t="n">
        <v>151027.58</v>
      </c>
      <c r="BE264" s="9" t="n">
        <v>224713.7</v>
      </c>
      <c r="BF264" s="4" t="n">
        <f aca="false">IF(OR(BD264="",BE264=""),"",IFERROR(IF($K264="%",BE264-BD264,BE264/BD264-1),""))</f>
        <v>0.487898435504297</v>
      </c>
      <c r="BG264" s="5" t="str">
        <f aca="false">IF(OR(BD264="",BE264=""),"",IF($F264="Maior Melhor",IF(BE264&gt;=BD264,"Sim","Não"),IF(BE264&lt;=BD264,"Sim","Não")))</f>
        <v>Não</v>
      </c>
      <c r="BH264" s="9" t="n">
        <v>1118611.07</v>
      </c>
      <c r="BI264" s="9" t="n">
        <v>1692503.06</v>
      </c>
      <c r="BJ264" s="4" t="n">
        <f aca="false">IF(OR(BH264="",BI264=""),"",IFERROR(IF($K264="%",BI264-BH264,BI264/BH264-1),""))</f>
        <v>0.513039791390586</v>
      </c>
      <c r="BK264" s="5" t="str">
        <f aca="false">IF(OR(BH264="",BI264=""),"",IF($F264="Maior Melhor",IF(BI264&gt;=BH264,"Sim","Não"),IF(BI264&lt;=BH264,"Sim","Não")))</f>
        <v>Não</v>
      </c>
      <c r="BL264" s="10"/>
      <c r="BM264" s="10"/>
      <c r="BN264" s="4" t="str">
        <f aca="false">IF(OR(BL264="",BM264=""),"",IFERROR(IF($K264="%",BM264-BL264,BM264/BL264-1),""))</f>
        <v/>
      </c>
      <c r="BO264" s="5" t="str">
        <f aca="false">IF(OR(BL264="",BM264=""),"",IF($F264="Maior Melhor",IF(BM264&gt;=BL264,"Sim","Não"),IF(BM264&lt;=BL264,"Sim","Não")))</f>
        <v/>
      </c>
      <c r="BP264" s="10"/>
      <c r="BQ264" s="10"/>
      <c r="BR264" s="4" t="str">
        <f aca="false">IF(OR(BP264="",BQ264=""),"",IFERROR(IF($K264="%",BQ264-BP264,BQ264/BP264-1),""))</f>
        <v/>
      </c>
      <c r="BS264" s="5" t="str">
        <f aca="false">IF(OR(BP264="",BQ264=""),"",IF($F264="Maior Melhor",IF(BQ264&gt;=BP264,"Sim","Não"),IF(BQ264&lt;=BP264,"Sim","Não")))</f>
        <v/>
      </c>
      <c r="BT264" s="10"/>
      <c r="BU264" s="10"/>
      <c r="BV264" s="4" t="str">
        <f aca="false">IF(OR(BT264="",BU264=""),"",IFERROR(IF($K264="%",BU264-BT264,BU264/BT264-1),""))</f>
        <v/>
      </c>
      <c r="BW264" s="5" t="str">
        <f aca="false">IF(OR(BT264="",BU264=""),"",IF($F264="Maior Melhor",IF(BU264&gt;=BT264,"Sim","Não"),IF(BU264&lt;=BT264,"Sim","Não")))</f>
        <v/>
      </c>
      <c r="BX264" s="10"/>
      <c r="BY264" s="10"/>
      <c r="BZ264" s="4" t="str">
        <f aca="false">IF(OR(BX264="",BY264=""),"",IFERROR(IF($K264="%",BY264-BX264,BY264/BX264-1),""))</f>
        <v/>
      </c>
      <c r="CA264" s="5" t="str">
        <f aca="false">IF(OR(BX264="",BY264=""),"",IF($F264="Maior Melhor",IF(BY264&gt;=BX264,"Sim","Não"),IF(BY264&lt;=BX264,"Sim","Não")))</f>
        <v/>
      </c>
      <c r="CB264" s="10"/>
      <c r="CC264" s="10"/>
      <c r="CD264" s="4" t="str">
        <f aca="false">IF(OR(CB264="",CC264=""),"",IFERROR(IF($K264="%",CC264-CB264,CC264/CB264-1),""))</f>
        <v/>
      </c>
      <c r="CE264" s="5" t="str">
        <f aca="false">IF(OR(CB264="",CC264=""),"",IF($F264="Maior Melhor",IF(CC264&gt;=CB264,"Sim","Não"),IF(CC264&lt;=CB264,"Sim","Não")))</f>
        <v/>
      </c>
      <c r="CF264" s="10"/>
      <c r="CG264" s="10"/>
      <c r="CH264" s="4" t="str">
        <f aca="false">IF(OR(CF264="",CG264=""),"",IFERROR(IF($K264="%",CG264-CF264,CG264/CF264-1),""))</f>
        <v/>
      </c>
      <c r="CI264" s="5" t="str">
        <f aca="false">IF(OR(CF264="",CG264=""),"",IF($F264="Maior Melhor",IF(CG264&gt;=CF264,"Sim","Não"),IF(CG264&lt;=CF264,"Sim","Não")))</f>
        <v/>
      </c>
      <c r="CJ264" s="10"/>
      <c r="CK264" s="10"/>
      <c r="CL264" s="4" t="str">
        <f aca="false">IF(OR(CJ264="",CK264=""),"",IFERROR(IF($K264="%",CK264-CJ264,CK264/CJ264-1),""))</f>
        <v/>
      </c>
      <c r="CM264" s="5" t="str">
        <f aca="false">IF(OR(CJ264="",CK264=""),"",IF($F264="Maior Melhor",IF(CK264&gt;=CJ264,"Sim","Não"),IF(CK264&lt;=CJ264,"Sim","Não")))</f>
        <v/>
      </c>
      <c r="CN264" s="10"/>
      <c r="CO264" s="10"/>
      <c r="CP264" s="4" t="str">
        <f aca="false">IF(OR(CN264="",CO264=""),"",IFERROR(IF($K264="%",CO264-CN264,CO264/CN264-1),""))</f>
        <v/>
      </c>
      <c r="CQ264" s="5" t="str">
        <f aca="false">IF(OR(CN264="",CO264=""),"",IF($F264="Maior Melhor",IF(CO264&gt;=CN264,"Sim","Não"),IF(CO264&lt;=CN264,"Sim","Não")))</f>
        <v/>
      </c>
      <c r="CR264" s="2" t="s">
        <v>105</v>
      </c>
    </row>
    <row r="265" customFormat="false" ht="15" hidden="false" customHeight="false" outlineLevel="0" collapsed="false">
      <c r="A265" s="2" t="s">
        <v>151</v>
      </c>
      <c r="B265" s="2" t="s">
        <v>106</v>
      </c>
      <c r="C265" s="2" t="s">
        <v>128</v>
      </c>
      <c r="D265" s="2" t="s">
        <v>185</v>
      </c>
      <c r="E265" s="2" t="str">
        <f aca="false">C265&amp;D265</f>
        <v>UTD SANTA MARIA DA VITORIAOPEX MSO</v>
      </c>
      <c r="F265" s="2" t="s">
        <v>167</v>
      </c>
      <c r="G265" s="2" t="s">
        <v>186</v>
      </c>
      <c r="H265" s="2" t="s">
        <v>102</v>
      </c>
      <c r="I265" s="2" t="s">
        <v>169</v>
      </c>
      <c r="J265" s="2" t="n">
        <v>3</v>
      </c>
      <c r="K265" s="2" t="s">
        <v>187</v>
      </c>
      <c r="L265" s="9" t="n">
        <v>113860</v>
      </c>
      <c r="M265" s="9" t="n">
        <v>256052.54</v>
      </c>
      <c r="N265" s="4" t="n">
        <f aca="false">IF(OR(L265="",M265=""),"",IFERROR(IF($K265="%",M265-L265,M265/L265-1),""))</f>
        <v>1.24883664148955</v>
      </c>
      <c r="O265" s="5" t="str">
        <f aca="false">IF(OR(L265="",M265=""),"",IF($F265="Maior Melhor",IF(M265&gt;=L265,"Sim","Não"),IF(M265&lt;=L265,"Sim","Não")))</f>
        <v>Não</v>
      </c>
      <c r="P265" s="9" t="n">
        <v>131723</v>
      </c>
      <c r="Q265" s="9" t="n">
        <v>171955.36</v>
      </c>
      <c r="R265" s="4" t="n">
        <f aca="false">IF(OR(P265="",Q265=""),"",IFERROR(IF($K265="%",Q265-P265,Q265/P265-1),""))</f>
        <v>0.305431549539564</v>
      </c>
      <c r="S265" s="5" t="str">
        <f aca="false">IF(OR(P265="",Q265=""),"",IF($F265="Maior Melhor",IF(Q265&gt;=P265,"Sim","Não"),IF(Q265&lt;=P265,"Sim","Não")))</f>
        <v>Não</v>
      </c>
      <c r="T265" s="9" t="n">
        <v>79046</v>
      </c>
      <c r="U265" s="9" t="n">
        <v>195817.83</v>
      </c>
      <c r="V265" s="4" t="n">
        <f aca="false">IF(OR(T265="",U265=""),"",IFERROR(IF($K265="%",U265-T265,U265/T265-1),""))</f>
        <v>1.47726425119551</v>
      </c>
      <c r="W265" s="5" t="str">
        <f aca="false">IF(OR(T265="",U265=""),"",IF($F265="Maior Melhor",IF(U265&gt;=T265,"Sim","Não"),IF(U265&lt;=T265,"Sim","Não")))</f>
        <v>Não</v>
      </c>
      <c r="X265" s="9" t="n">
        <v>73619</v>
      </c>
      <c r="Y265" s="9" t="n">
        <v>243156.11</v>
      </c>
      <c r="Z265" s="4" t="n">
        <f aca="false">IF(OR(X265="",Y265=""),"",IFERROR(IF($K265="%",Y265-X265,Y265/X265-1),""))</f>
        <v>2.30289884404841</v>
      </c>
      <c r="AA265" s="5" t="str">
        <f aca="false">IF(OR(X265="",Y265=""),"",IF($F265="Maior Melhor",IF(Y265&gt;=X265,"Sim","Não"),IF(Y265&lt;=X265,"Sim","Não")))</f>
        <v>Não</v>
      </c>
      <c r="AB265" s="9" t="n">
        <v>398248</v>
      </c>
      <c r="AC265" s="9" t="n">
        <v>866981.84</v>
      </c>
      <c r="AD265" s="4" t="n">
        <f aca="false">IF(OR(AB265="",AC265=""),"",IFERROR(IF($K265="%",AC265-AB265,AC265/AB265-1),""))</f>
        <v>1.17698981539142</v>
      </c>
      <c r="AE265" s="5" t="str">
        <f aca="false">IF(OR(AB265="",AC265=""),"",IF($F265="Maior Melhor",IF(AC265&gt;=AB265,"Sim","Não"),IF(AC265&lt;=AB265,"Sim","Não")))</f>
        <v>Não</v>
      </c>
      <c r="AF265" s="9" t="n">
        <v>80422</v>
      </c>
      <c r="AG265" s="9" t="n">
        <v>152107.98</v>
      </c>
      <c r="AH265" s="4" t="n">
        <f aca="false">IF(OR(AF265="",AG265=""),"",IFERROR(IF($K265="%",AG265-AF265,AG265/AF265-1),""))</f>
        <v>0.891372758697869</v>
      </c>
      <c r="AI265" s="5" t="str">
        <f aca="false">IF(OR(AF265="",AG265=""),"",IF($F265="Maior Melhor",IF(AG265&gt;=AF265,"Sim","Não"),IF(AG265&lt;=AF265,"Sim","Não")))</f>
        <v>Não</v>
      </c>
      <c r="AJ265" s="9" t="n">
        <v>478670</v>
      </c>
      <c r="AK265" s="9" t="n">
        <v>1019089.82</v>
      </c>
      <c r="AL265" s="4" t="n">
        <f aca="false">IF(OR(AJ265="",AK265=""),"",IFERROR(IF($K265="%",AK265-AJ265,AK265/AJ265-1),""))</f>
        <v>1.1290029038795</v>
      </c>
      <c r="AM265" s="5" t="str">
        <f aca="false">IF(OR(AJ265="",AK265=""),"",IF($F265="Maior Melhor",IF(AK265&gt;=AJ265,"Sim","Não"),IF(AK265&lt;=AJ265,"Sim","Não")))</f>
        <v>Não</v>
      </c>
      <c r="AN265" s="9" t="n">
        <v>96775.84</v>
      </c>
      <c r="AO265" s="9" t="n">
        <v>115244.63</v>
      </c>
      <c r="AP265" s="4" t="n">
        <f aca="false">IF(OR(AN265="",AO265=""),"",IFERROR(IF($K265="%",AO265-AN265,AO265/AN265-1),""))</f>
        <v>0.190840916493207</v>
      </c>
      <c r="AQ265" s="5" t="str">
        <f aca="false">IF(OR(AN265="",AO265=""),"",IF($F265="Maior Melhor",IF(AO265&gt;=AN265,"Sim","Não"),IF(AO265&lt;=AN265,"Sim","Não")))</f>
        <v>Não</v>
      </c>
      <c r="AR265" s="9" t="n">
        <v>575447.59</v>
      </c>
      <c r="AS265" s="9" t="n">
        <v>1134334.45</v>
      </c>
      <c r="AT265" s="4" t="n">
        <f aca="false">IF(OR(AR265="",AS265=""),"",IFERROR(IF($K265="%",AS265-AR265,AS265/AR265-1),""))</f>
        <v>0.97122113240582</v>
      </c>
      <c r="AU265" s="5" t="str">
        <f aca="false">IF(OR(AR265="",AS265=""),"",IF($F265="Maior Melhor",IF(AS265&gt;=AR265,"Sim","Não"),IF(AS265&lt;=AR265,"Sim","Não")))</f>
        <v>Não</v>
      </c>
      <c r="AV265" s="9" t="n">
        <v>79152.88</v>
      </c>
      <c r="AW265" s="9" t="n">
        <v>83149.97</v>
      </c>
      <c r="AX265" s="4" t="n">
        <f aca="false">IF(OR(AV265="",AW265=""),"",IFERROR(IF($K265="%",AW265-AV265,AW265/AV265-1),""))</f>
        <v>0.0504983520498559</v>
      </c>
      <c r="AY265" s="5" t="str">
        <f aca="false">IF(OR(AV265="",AW265=""),"",IF($F265="Maior Melhor",IF(AW265&gt;=AV265,"Sim","Não"),IF(AW265&lt;=AV265,"Sim","Não")))</f>
        <v>Não</v>
      </c>
      <c r="AZ265" s="9" t="n">
        <v>654600.47</v>
      </c>
      <c r="BA265" s="9" t="n">
        <v>1217484.42</v>
      </c>
      <c r="BB265" s="4" t="n">
        <f aca="false">IF(OR(AZ265="",BA265=""),"",IFERROR(IF($K265="%",BA265-AZ265,BA265/AZ265-1),""))</f>
        <v>0.859889315386529</v>
      </c>
      <c r="BC265" s="5" t="str">
        <f aca="false">IF(OR(AZ265="",BA265=""),"",IF($F265="Maior Melhor",IF(BA265&gt;=AZ265,"Sim","Não"),IF(BA265&lt;=AZ265,"Sim","Não")))</f>
        <v>Não</v>
      </c>
      <c r="BD265" s="9" t="n">
        <v>99040.34</v>
      </c>
      <c r="BE265" s="9" t="n">
        <v>65134.13</v>
      </c>
      <c r="BF265" s="4" t="n">
        <f aca="false">IF(OR(BD265="",BE265=""),"",IFERROR(IF($K265="%",BE265-BD265,BE265/BD265-1),""))</f>
        <v>-0.342347471747371</v>
      </c>
      <c r="BG265" s="5" t="str">
        <f aca="false">IF(OR(BD265="",BE265=""),"",IF($F265="Maior Melhor",IF(BE265&gt;=BD265,"Sim","Não"),IF(BE265&lt;=BD265,"Sim","Não")))</f>
        <v>Sim</v>
      </c>
      <c r="BH265" s="9" t="n">
        <v>753640.81</v>
      </c>
      <c r="BI265" s="9" t="n">
        <v>1282618.55</v>
      </c>
      <c r="BJ265" s="4" t="n">
        <f aca="false">IF(OR(BH265="",BI265=""),"",IFERROR(IF($K265="%",BI265-BH265,BI265/BH265-1),""))</f>
        <v>0.701896358293018</v>
      </c>
      <c r="BK265" s="5" t="str">
        <f aca="false">IF(OR(BH265="",BI265=""),"",IF($F265="Maior Melhor",IF(BI265&gt;=BH265,"Sim","Não"),IF(BI265&lt;=BH265,"Sim","Não")))</f>
        <v>Não</v>
      </c>
      <c r="BL265" s="10"/>
      <c r="BM265" s="10"/>
      <c r="BN265" s="4" t="str">
        <f aca="false">IF(OR(BL265="",BM265=""),"",IFERROR(IF($K265="%",BM265-BL265,BM265/BL265-1),""))</f>
        <v/>
      </c>
      <c r="BO265" s="5" t="str">
        <f aca="false">IF(OR(BL265="",BM265=""),"",IF($F265="Maior Melhor",IF(BM265&gt;=BL265,"Sim","Não"),IF(BM265&lt;=BL265,"Sim","Não")))</f>
        <v/>
      </c>
      <c r="BP265" s="10"/>
      <c r="BQ265" s="10"/>
      <c r="BR265" s="4" t="str">
        <f aca="false">IF(OR(BP265="",BQ265=""),"",IFERROR(IF($K265="%",BQ265-BP265,BQ265/BP265-1),""))</f>
        <v/>
      </c>
      <c r="BS265" s="5" t="str">
        <f aca="false">IF(OR(BP265="",BQ265=""),"",IF($F265="Maior Melhor",IF(BQ265&gt;=BP265,"Sim","Não"),IF(BQ265&lt;=BP265,"Sim","Não")))</f>
        <v/>
      </c>
      <c r="BT265" s="10"/>
      <c r="BU265" s="10"/>
      <c r="BV265" s="4" t="str">
        <f aca="false">IF(OR(BT265="",BU265=""),"",IFERROR(IF($K265="%",BU265-BT265,BU265/BT265-1),""))</f>
        <v/>
      </c>
      <c r="BW265" s="5" t="str">
        <f aca="false">IF(OR(BT265="",BU265=""),"",IF($F265="Maior Melhor",IF(BU265&gt;=BT265,"Sim","Não"),IF(BU265&lt;=BT265,"Sim","Não")))</f>
        <v/>
      </c>
      <c r="BX265" s="10"/>
      <c r="BY265" s="10"/>
      <c r="BZ265" s="4" t="str">
        <f aca="false">IF(OR(BX265="",BY265=""),"",IFERROR(IF($K265="%",BY265-BX265,BY265/BX265-1),""))</f>
        <v/>
      </c>
      <c r="CA265" s="5" t="str">
        <f aca="false">IF(OR(BX265="",BY265=""),"",IF($F265="Maior Melhor",IF(BY265&gt;=BX265,"Sim","Não"),IF(BY265&lt;=BX265,"Sim","Não")))</f>
        <v/>
      </c>
      <c r="CB265" s="10"/>
      <c r="CC265" s="10"/>
      <c r="CD265" s="4" t="str">
        <f aca="false">IF(OR(CB265="",CC265=""),"",IFERROR(IF($K265="%",CC265-CB265,CC265/CB265-1),""))</f>
        <v/>
      </c>
      <c r="CE265" s="5" t="str">
        <f aca="false">IF(OR(CB265="",CC265=""),"",IF($F265="Maior Melhor",IF(CC265&gt;=CB265,"Sim","Não"),IF(CC265&lt;=CB265,"Sim","Não")))</f>
        <v/>
      </c>
      <c r="CF265" s="10"/>
      <c r="CG265" s="10"/>
      <c r="CH265" s="4" t="str">
        <f aca="false">IF(OR(CF265="",CG265=""),"",IFERROR(IF($K265="%",CG265-CF265,CG265/CF265-1),""))</f>
        <v/>
      </c>
      <c r="CI265" s="5" t="str">
        <f aca="false">IF(OR(CF265="",CG265=""),"",IF($F265="Maior Melhor",IF(CG265&gt;=CF265,"Sim","Não"),IF(CG265&lt;=CF265,"Sim","Não")))</f>
        <v/>
      </c>
      <c r="CJ265" s="10"/>
      <c r="CK265" s="10"/>
      <c r="CL265" s="4" t="str">
        <f aca="false">IF(OR(CJ265="",CK265=""),"",IFERROR(IF($K265="%",CK265-CJ265,CK265/CJ265-1),""))</f>
        <v/>
      </c>
      <c r="CM265" s="5" t="str">
        <f aca="false">IF(OR(CJ265="",CK265=""),"",IF($F265="Maior Melhor",IF(CK265&gt;=CJ265,"Sim","Não"),IF(CK265&lt;=CJ265,"Sim","Não")))</f>
        <v/>
      </c>
      <c r="CN265" s="10"/>
      <c r="CO265" s="10"/>
      <c r="CP265" s="4" t="str">
        <f aca="false">IF(OR(CN265="",CO265=""),"",IFERROR(IF($K265="%",CO265-CN265,CO265/CN265-1),""))</f>
        <v/>
      </c>
      <c r="CQ265" s="5" t="str">
        <f aca="false">IF(OR(CN265="",CO265=""),"",IF($F265="Maior Melhor",IF(CO265&gt;=CN265,"Sim","Não"),IF(CO265&lt;=CN265,"Sim","Não")))</f>
        <v/>
      </c>
      <c r="CR265" s="2" t="s">
        <v>160</v>
      </c>
    </row>
    <row r="266" customFormat="false" ht="15" hidden="false" customHeight="false" outlineLevel="0" collapsed="false">
      <c r="A266" s="2" t="s">
        <v>151</v>
      </c>
      <c r="B266" s="2" t="s">
        <v>108</v>
      </c>
      <c r="C266" s="2" t="s">
        <v>109</v>
      </c>
      <c r="D266" s="2" t="s">
        <v>185</v>
      </c>
      <c r="E266" s="2" t="str">
        <f aca="false">C266&amp;D266</f>
        <v>Gerência SudoesteOPEX MSO</v>
      </c>
      <c r="F266" s="2" t="s">
        <v>167</v>
      </c>
      <c r="G266" s="2" t="s">
        <v>186</v>
      </c>
      <c r="H266" s="2" t="s">
        <v>102</v>
      </c>
      <c r="I266" s="2" t="s">
        <v>169</v>
      </c>
      <c r="J266" s="2" t="n">
        <v>3</v>
      </c>
      <c r="K266" s="2" t="s">
        <v>187</v>
      </c>
      <c r="L266" s="9" t="n">
        <v>609549</v>
      </c>
      <c r="M266" s="9" t="n">
        <v>509914.71</v>
      </c>
      <c r="N266" s="4" t="n">
        <f aca="false">IF(OR(L266="",M266=""),"",IFERROR(IF($K266="%",M266-L266,M266/L266-1),""))</f>
        <v>-0.163455751711511</v>
      </c>
      <c r="O266" s="5" t="str">
        <f aca="false">IF(OR(L266="",M266=""),"",IF($F266="Maior Melhor",IF(M266&gt;=L266,"Sim","Não"),IF(M266&lt;=L266,"Sim","Não")))</f>
        <v>Sim</v>
      </c>
      <c r="P266" s="9" t="n">
        <v>662113</v>
      </c>
      <c r="Q266" s="9" t="n">
        <v>636184.18</v>
      </c>
      <c r="R266" s="4" t="n">
        <f aca="false">IF(OR(P266="",Q266=""),"",IFERROR(IF($K266="%",Q266-P266,Q266/P266-1),""))</f>
        <v>-0.0391607172793768</v>
      </c>
      <c r="S266" s="5" t="str">
        <f aca="false">IF(OR(P266="",Q266=""),"",IF($F266="Maior Melhor",IF(Q266&gt;=P266,"Sim","Não"),IF(Q266&lt;=P266,"Sim","Não")))</f>
        <v>Sim</v>
      </c>
      <c r="T266" s="9" t="n">
        <v>532076.4</v>
      </c>
      <c r="U266" s="9" t="n">
        <v>554563.21</v>
      </c>
      <c r="V266" s="4" t="n">
        <f aca="false">IF(OR(T266="",U266=""),"",IFERROR(IF($K266="%",U266-T266,U266/T266-1),""))</f>
        <v>0.0422623705918923</v>
      </c>
      <c r="W266" s="5" t="str">
        <f aca="false">IF(OR(T266="",U266=""),"",IF($F266="Maior Melhor",IF(U266&gt;=T266,"Sim","Não"),IF(U266&lt;=T266,"Sim","Não")))</f>
        <v>Não</v>
      </c>
      <c r="X266" s="9" t="n">
        <v>500661</v>
      </c>
      <c r="Y266" s="9" t="n">
        <v>619606.96</v>
      </c>
      <c r="Z266" s="4" t="n">
        <f aca="false">IF(OR(X266="",Y266=""),"",IFERROR(IF($K266="%",Y266-X266,Y266/X266-1),""))</f>
        <v>0.237577842092753</v>
      </c>
      <c r="AA266" s="5" t="str">
        <f aca="false">IF(OR(X266="",Y266=""),"",IF($F266="Maior Melhor",IF(Y266&gt;=X266,"Sim","Não"),IF(Y266&lt;=X266,"Sim","Não")))</f>
        <v>Não</v>
      </c>
      <c r="AB266" s="9" t="n">
        <v>2306370</v>
      </c>
      <c r="AC266" s="9" t="n">
        <v>2330788.71</v>
      </c>
      <c r="AD266" s="4" t="n">
        <f aca="false">IF(OR(AB266="",AC266=""),"",IFERROR(IF($K266="%",AC266-AB266,AC266/AB266-1),""))</f>
        <v>0.0105875076418791</v>
      </c>
      <c r="AE266" s="5" t="str">
        <f aca="false">IF(OR(AB266="",AC266=""),"",IF($F266="Maior Melhor",IF(AC266&gt;=AB266,"Sim","Não"),IF(AC266&lt;=AB266,"Sim","Não")))</f>
        <v>Não</v>
      </c>
      <c r="AF266" s="9" t="n">
        <v>496342</v>
      </c>
      <c r="AG266" s="9" t="n">
        <v>637483.15</v>
      </c>
      <c r="AH266" s="4" t="n">
        <f aca="false">IF(OR(AF266="",AG266=""),"",IFERROR(IF($K266="%",AG266-AF266,AG266/AF266-1),""))</f>
        <v>0.284362697494873</v>
      </c>
      <c r="AI266" s="5" t="str">
        <f aca="false">IF(OR(AF266="",AG266=""),"",IF($F266="Maior Melhor",IF(AG266&gt;=AF266,"Sim","Não"),IF(AG266&lt;=AF266,"Sim","Não")))</f>
        <v>Não</v>
      </c>
      <c r="AJ266" s="9" t="n">
        <v>2802712</v>
      </c>
      <c r="AK266" s="9" t="n">
        <v>2968271.86</v>
      </c>
      <c r="AL266" s="4" t="n">
        <f aca="false">IF(OR(AJ266="",AK266=""),"",IFERROR(IF($K266="%",AK266-AJ266,AK266/AJ266-1),""))</f>
        <v>0.059071306648703</v>
      </c>
      <c r="AM266" s="5" t="str">
        <f aca="false">IF(OR(AJ266="",AK266=""),"",IF($F266="Maior Melhor",IF(AK266&gt;=AJ266,"Sim","Não"),IF(AK266&lt;=AJ266,"Sim","Não")))</f>
        <v>Não</v>
      </c>
      <c r="AN266" s="9" t="n">
        <v>489491.05</v>
      </c>
      <c r="AO266" s="9" t="n">
        <v>431571.3</v>
      </c>
      <c r="AP266" s="4" t="n">
        <f aca="false">IF(OR(AN266="",AO266=""),"",IFERROR(IF($K266="%",AO266-AN266,AO266/AN266-1),""))</f>
        <v>-0.118326473997839</v>
      </c>
      <c r="AQ266" s="5" t="str">
        <f aca="false">IF(OR(AN266="",AO266=""),"",IF($F266="Maior Melhor",IF(AO266&gt;=AN266,"Sim","Não"),IF(AO266&lt;=AN266,"Sim","Não")))</f>
        <v>Sim</v>
      </c>
      <c r="AR266" s="9" t="n">
        <v>3275468.56</v>
      </c>
      <c r="AS266" s="9" t="n">
        <v>3375634.64</v>
      </c>
      <c r="AT266" s="4" t="n">
        <f aca="false">IF(OR(AR266="",AS266=""),"",IFERROR(IF($K266="%",AS266-AR266,AS266/AR266-1),""))</f>
        <v>0.0305806873627876</v>
      </c>
      <c r="AU266" s="5" t="str">
        <f aca="false">IF(OR(AR266="",AS266=""),"",IF($F266="Maior Melhor",IF(AS266&gt;=AR266,"Sim","Não"),IF(AS266&lt;=AR266,"Sim","Não")))</f>
        <v>Não</v>
      </c>
      <c r="AV266" s="9" t="n">
        <v>505768.01</v>
      </c>
      <c r="AW266" s="9" t="n">
        <v>493201.71</v>
      </c>
      <c r="AX266" s="4" t="n">
        <f aca="false">IF(OR(AV266="",AW266=""),"",IFERROR(IF($K266="%",AW266-AV266,AW266/AV266-1),""))</f>
        <v>-0.0248459763202501</v>
      </c>
      <c r="AY266" s="5" t="str">
        <f aca="false">IF(OR(AV266="",AW266=""),"",IF($F266="Maior Melhor",IF(AW266&gt;=AV266,"Sim","Não"),IF(AW266&lt;=AV266,"Sim","Não")))</f>
        <v>Sim</v>
      </c>
      <c r="AZ266" s="9" t="n">
        <v>3781236.57</v>
      </c>
      <c r="BA266" s="9" t="n">
        <v>3868836.35</v>
      </c>
      <c r="BB266" s="4" t="n">
        <f aca="false">IF(OR(AZ266="",BA266=""),"",IFERROR(IF($K266="%",BA266-AZ266,BA266/AZ266-1),""))</f>
        <v>0.0231669662498795</v>
      </c>
      <c r="BC266" s="5" t="str">
        <f aca="false">IF(OR(AZ266="",BA266=""),"",IF($F266="Maior Melhor",IF(BA266&gt;=AZ266,"Sim","Não"),IF(BA266&lt;=AZ266,"Sim","Não")))</f>
        <v>Não</v>
      </c>
      <c r="BD266" s="9" t="n">
        <v>587545.38</v>
      </c>
      <c r="BE266" s="9" t="n">
        <v>536632.29</v>
      </c>
      <c r="BF266" s="4" t="n">
        <f aca="false">IF(OR(BD266="",BE266=""),"",IFERROR(IF($K266="%",BE266-BD266,BE266/BD266-1),""))</f>
        <v>-0.0866538853560553</v>
      </c>
      <c r="BG266" s="5" t="str">
        <f aca="false">IF(OR(BD266="",BE266=""),"",IF($F266="Maior Melhor",IF(BE266&gt;=BD266,"Sim","Não"),IF(BE266&lt;=BD266,"Sim","Não")))</f>
        <v>Sim</v>
      </c>
      <c r="BH266" s="9" t="n">
        <v>4368781.95</v>
      </c>
      <c r="BI266" s="9" t="n">
        <v>4405468.64</v>
      </c>
      <c r="BJ266" s="4" t="n">
        <f aca="false">IF(OR(BH266="",BI266=""),"",IFERROR(IF($K266="%",BI266-BH266,BI266/BH266-1),""))</f>
        <v>0.00839746419479681</v>
      </c>
      <c r="BK266" s="5" t="str">
        <f aca="false">IF(OR(BH266="",BI266=""),"",IF($F266="Maior Melhor",IF(BI266&gt;=BH266,"Sim","Não"),IF(BI266&lt;=BH266,"Sim","Não")))</f>
        <v>Não</v>
      </c>
      <c r="BL266" s="10"/>
      <c r="BM266" s="10"/>
      <c r="BN266" s="4" t="str">
        <f aca="false">IF(OR(BL266="",BM266=""),"",IFERROR(IF($K266="%",BM266-BL266,BM266/BL266-1),""))</f>
        <v/>
      </c>
      <c r="BO266" s="5" t="str">
        <f aca="false">IF(OR(BL266="",BM266=""),"",IF($F266="Maior Melhor",IF(BM266&gt;=BL266,"Sim","Não"),IF(BM266&lt;=BL266,"Sim","Não")))</f>
        <v/>
      </c>
      <c r="BP266" s="10"/>
      <c r="BQ266" s="10"/>
      <c r="BR266" s="4" t="str">
        <f aca="false">IF(OR(BP266="",BQ266=""),"",IFERROR(IF($K266="%",BQ266-BP266,BQ266/BP266-1),""))</f>
        <v/>
      </c>
      <c r="BS266" s="5" t="str">
        <f aca="false">IF(OR(BP266="",BQ266=""),"",IF($F266="Maior Melhor",IF(BQ266&gt;=BP266,"Sim","Não"),IF(BQ266&lt;=BP266,"Sim","Não")))</f>
        <v/>
      </c>
      <c r="BT266" s="10"/>
      <c r="BU266" s="10"/>
      <c r="BV266" s="4" t="str">
        <f aca="false">IF(OR(BT266="",BU266=""),"",IFERROR(IF($K266="%",BU266-BT266,BU266/BT266-1),""))</f>
        <v/>
      </c>
      <c r="BW266" s="5" t="str">
        <f aca="false">IF(OR(BT266="",BU266=""),"",IF($F266="Maior Melhor",IF(BU266&gt;=BT266,"Sim","Não"),IF(BU266&lt;=BT266,"Sim","Não")))</f>
        <v/>
      </c>
      <c r="BX266" s="10"/>
      <c r="BY266" s="10"/>
      <c r="BZ266" s="4" t="str">
        <f aca="false">IF(OR(BX266="",BY266=""),"",IFERROR(IF($K266="%",BY266-BX266,BY266/BX266-1),""))</f>
        <v/>
      </c>
      <c r="CA266" s="5" t="str">
        <f aca="false">IF(OR(BX266="",BY266=""),"",IF($F266="Maior Melhor",IF(BY266&gt;=BX266,"Sim","Não"),IF(BY266&lt;=BX266,"Sim","Não")))</f>
        <v/>
      </c>
      <c r="CB266" s="10"/>
      <c r="CC266" s="10"/>
      <c r="CD266" s="4" t="str">
        <f aca="false">IF(OR(CB266="",CC266=""),"",IFERROR(IF($K266="%",CC266-CB266,CC266/CB266-1),""))</f>
        <v/>
      </c>
      <c r="CE266" s="5" t="str">
        <f aca="false">IF(OR(CB266="",CC266=""),"",IF($F266="Maior Melhor",IF(CC266&gt;=CB266,"Sim","Não"),IF(CC266&lt;=CB266,"Sim","Não")))</f>
        <v/>
      </c>
      <c r="CF266" s="10"/>
      <c r="CG266" s="10"/>
      <c r="CH266" s="4" t="str">
        <f aca="false">IF(OR(CF266="",CG266=""),"",IFERROR(IF($K266="%",CG266-CF266,CG266/CF266-1),""))</f>
        <v/>
      </c>
      <c r="CI266" s="5" t="str">
        <f aca="false">IF(OR(CF266="",CG266=""),"",IF($F266="Maior Melhor",IF(CG266&gt;=CF266,"Sim","Não"),IF(CG266&lt;=CF266,"Sim","Não")))</f>
        <v/>
      </c>
      <c r="CJ266" s="10"/>
      <c r="CK266" s="10"/>
      <c r="CL266" s="4" t="str">
        <f aca="false">IF(OR(CJ266="",CK266=""),"",IFERROR(IF($K266="%",CK266-CJ266,CK266/CJ266-1),""))</f>
        <v/>
      </c>
      <c r="CM266" s="5" t="str">
        <f aca="false">IF(OR(CJ266="",CK266=""),"",IF($F266="Maior Melhor",IF(CK266&gt;=CJ266,"Sim","Não"),IF(CK266&lt;=CJ266,"Sim","Não")))</f>
        <v/>
      </c>
      <c r="CN266" s="10"/>
      <c r="CO266" s="10"/>
      <c r="CP266" s="4" t="str">
        <f aca="false">IF(OR(CN266="",CO266=""),"",IFERROR(IF($K266="%",CO266-CN266,CO266/CN266-1),""))</f>
        <v/>
      </c>
      <c r="CQ266" s="5" t="str">
        <f aca="false">IF(OR(CN266="",CO266=""),"",IF($F266="Maior Melhor",IF(CO266&gt;=CN266,"Sim","Não"),IF(CO266&lt;=CN266,"Sim","Não")))</f>
        <v/>
      </c>
      <c r="CR266" s="2" t="s">
        <v>105</v>
      </c>
    </row>
    <row r="267" customFormat="false" ht="15" hidden="false" customHeight="false" outlineLevel="0" collapsed="false">
      <c r="A267" s="2" t="s">
        <v>151</v>
      </c>
      <c r="B267" s="2" t="s">
        <v>108</v>
      </c>
      <c r="C267" s="2" t="s">
        <v>115</v>
      </c>
      <c r="D267" s="2" t="s">
        <v>185</v>
      </c>
      <c r="E267" s="2" t="str">
        <f aca="false">C267&amp;D267</f>
        <v>UTD BRUMADOOPEX MSO</v>
      </c>
      <c r="F267" s="2" t="s">
        <v>167</v>
      </c>
      <c r="G267" s="2" t="s">
        <v>186</v>
      </c>
      <c r="H267" s="2" t="s">
        <v>102</v>
      </c>
      <c r="I267" s="2" t="s">
        <v>169</v>
      </c>
      <c r="J267" s="2" t="n">
        <v>3</v>
      </c>
      <c r="K267" s="2" t="s">
        <v>187</v>
      </c>
      <c r="L267" s="9" t="n">
        <v>90740</v>
      </c>
      <c r="M267" s="9" t="n">
        <v>119114.45</v>
      </c>
      <c r="N267" s="4" t="n">
        <f aca="false">IF(OR(L267="",M267=""),"",IFERROR(IF($K267="%",M267-L267,M267/L267-1),""))</f>
        <v>0.312700573065903</v>
      </c>
      <c r="O267" s="5" t="str">
        <f aca="false">IF(OR(L267="",M267=""),"",IF($F267="Maior Melhor",IF(M267&gt;=L267,"Sim","Não"),IF(M267&lt;=L267,"Sim","Não")))</f>
        <v>Não</v>
      </c>
      <c r="P267" s="9" t="n">
        <v>91905</v>
      </c>
      <c r="Q267" s="9" t="n">
        <v>99051.98</v>
      </c>
      <c r="R267" s="4" t="n">
        <f aca="false">IF(OR(P267="",Q267=""),"",IFERROR(IF($K267="%",Q267-P267,Q267/P267-1),""))</f>
        <v>0.0777648658941301</v>
      </c>
      <c r="S267" s="5" t="str">
        <f aca="false">IF(OR(P267="",Q267=""),"",IF($F267="Maior Melhor",IF(Q267&gt;=P267,"Sim","Não"),IF(Q267&lt;=P267,"Sim","Não")))</f>
        <v>Não</v>
      </c>
      <c r="T267" s="9" t="n">
        <v>92320</v>
      </c>
      <c r="U267" s="9" t="n">
        <v>83278.4400000001</v>
      </c>
      <c r="V267" s="4" t="n">
        <f aca="false">IF(OR(T267="",U267=""),"",IFERROR(IF($K267="%",U267-T267,U267/T267-1),""))</f>
        <v>-0.0979371750433271</v>
      </c>
      <c r="W267" s="5" t="str">
        <f aca="false">IF(OR(T267="",U267=""),"",IF($F267="Maior Melhor",IF(U267&gt;=T267,"Sim","Não"),IF(U267&lt;=T267,"Sim","Não")))</f>
        <v>Sim</v>
      </c>
      <c r="X267" s="9" t="n">
        <v>84755</v>
      </c>
      <c r="Y267" s="9" t="n">
        <v>77554.1200000001</v>
      </c>
      <c r="Z267" s="4" t="n">
        <f aca="false">IF(OR(X267="",Y267=""),"",IFERROR(IF($K267="%",Y267-X267,Y267/X267-1),""))</f>
        <v>-0.0849611232375664</v>
      </c>
      <c r="AA267" s="5" t="str">
        <f aca="false">IF(OR(X267="",Y267=""),"",IF($F267="Maior Melhor",IF(Y267&gt;=X267,"Sim","Não"),IF(Y267&lt;=X267,"Sim","Não")))</f>
        <v>Sim</v>
      </c>
      <c r="AB267" s="9" t="n">
        <v>359720</v>
      </c>
      <c r="AC267" s="9" t="n">
        <v>378998.99</v>
      </c>
      <c r="AD267" s="4" t="n">
        <f aca="false">IF(OR(AB267="",AC267=""),"",IFERROR(IF($K267="%",AC267-AB267,AC267/AB267-1),""))</f>
        <v>0.0535944345602131</v>
      </c>
      <c r="AE267" s="5" t="str">
        <f aca="false">IF(OR(AB267="",AC267=""),"",IF($F267="Maior Melhor",IF(AC267&gt;=AB267,"Sim","Não"),IF(AC267&lt;=AB267,"Sim","Não")))</f>
        <v>Não</v>
      </c>
      <c r="AF267" s="9" t="n">
        <v>111777</v>
      </c>
      <c r="AG267" s="9" t="n">
        <v>98093.18</v>
      </c>
      <c r="AH267" s="4" t="n">
        <f aca="false">IF(OR(AF267="",AG267=""),"",IFERROR(IF($K267="%",AG267-AF267,AG267/AF267-1),""))</f>
        <v>-0.122420712668975</v>
      </c>
      <c r="AI267" s="5" t="str">
        <f aca="false">IF(OR(AF267="",AG267=""),"",IF($F267="Maior Melhor",IF(AG267&gt;=AF267,"Sim","Não"),IF(AG267&lt;=AF267,"Sim","Não")))</f>
        <v>Sim</v>
      </c>
      <c r="AJ267" s="9" t="n">
        <v>471497</v>
      </c>
      <c r="AK267" s="9" t="n">
        <v>477092.17</v>
      </c>
      <c r="AL267" s="4" t="n">
        <f aca="false">IF(OR(AJ267="",AK267=""),"",IFERROR(IF($K267="%",AK267-AJ267,AK267/AJ267-1),""))</f>
        <v>0.0118668199373484</v>
      </c>
      <c r="AM267" s="5" t="str">
        <f aca="false">IF(OR(AJ267="",AK267=""),"",IF($F267="Maior Melhor",IF(AK267&gt;=AJ267,"Sim","Não"),IF(AK267&lt;=AJ267,"Sim","Não")))</f>
        <v>Não</v>
      </c>
      <c r="AN267" s="9" t="n">
        <v>88705.78</v>
      </c>
      <c r="AO267" s="9" t="n">
        <v>116684.11</v>
      </c>
      <c r="AP267" s="4" t="n">
        <f aca="false">IF(OR(AN267="",AO267=""),"",IFERROR(IF($K267="%",AO267-AN267,AO267/AN267-1),""))</f>
        <v>0.315405940853009</v>
      </c>
      <c r="AQ267" s="5" t="str">
        <f aca="false">IF(OR(AN267="",AO267=""),"",IF($F267="Maior Melhor",IF(AO267&gt;=AN267,"Sim","Não"),IF(AO267&lt;=AN267,"Sim","Não")))</f>
        <v>Não</v>
      </c>
      <c r="AR267" s="9" t="n">
        <v>560204.96</v>
      </c>
      <c r="AS267" s="9" t="n">
        <v>593776.28</v>
      </c>
      <c r="AT267" s="4" t="n">
        <f aca="false">IF(OR(AR267="",AS267=""),"",IFERROR(IF($K267="%",AS267-AR267,AS267/AR267-1),""))</f>
        <v>0.0599268524862759</v>
      </c>
      <c r="AU267" s="5" t="str">
        <f aca="false">IF(OR(AR267="",AS267=""),"",IF($F267="Maior Melhor",IF(AS267&gt;=AR267,"Sim","Não"),IF(AS267&lt;=AR267,"Sim","Não")))</f>
        <v>Não</v>
      </c>
      <c r="AV267" s="9" t="n">
        <v>85700.7</v>
      </c>
      <c r="AW267" s="9" t="n">
        <v>74702.65</v>
      </c>
      <c r="AX267" s="4" t="n">
        <f aca="false">IF(OR(AV267="",AW267=""),"",IFERROR(IF($K267="%",AW267-AV267,AW267/AV267-1),""))</f>
        <v>-0.128330923784753</v>
      </c>
      <c r="AY267" s="5" t="str">
        <f aca="false">IF(OR(AV267="",AW267=""),"",IF($F267="Maior Melhor",IF(AW267&gt;=AV267,"Sim","Não"),IF(AW267&lt;=AV267,"Sim","Não")))</f>
        <v>Sim</v>
      </c>
      <c r="AZ267" s="9" t="n">
        <v>645905.66</v>
      </c>
      <c r="BA267" s="9" t="n">
        <v>668478.93</v>
      </c>
      <c r="BB267" s="4" t="n">
        <f aca="false">IF(OR(AZ267="",BA267=""),"",IFERROR(IF($K267="%",BA267-AZ267,BA267/AZ267-1),""))</f>
        <v>0.0349482461571866</v>
      </c>
      <c r="BC267" s="5" t="str">
        <f aca="false">IF(OR(AZ267="",BA267=""),"",IF($F267="Maior Melhor",IF(BA267&gt;=AZ267,"Sim","Não"),IF(BA267&lt;=AZ267,"Sim","Não")))</f>
        <v>Não</v>
      </c>
      <c r="BD267" s="9" t="n">
        <v>91399.22</v>
      </c>
      <c r="BE267" s="9" t="n">
        <v>109389.92</v>
      </c>
      <c r="BF267" s="4" t="n">
        <f aca="false">IF(OR(BD267="",BE267=""),"",IFERROR(IF($K267="%",BE267-BD267,BE267/BD267-1),""))</f>
        <v>0.196836471908622</v>
      </c>
      <c r="BG267" s="5" t="str">
        <f aca="false">IF(OR(BD267="",BE267=""),"",IF($F267="Maior Melhor",IF(BE267&gt;=BD267,"Sim","Não"),IF(BE267&lt;=BD267,"Sim","Não")))</f>
        <v>Não</v>
      </c>
      <c r="BH267" s="9" t="n">
        <v>737304.88</v>
      </c>
      <c r="BI267" s="9" t="n">
        <v>777868.85</v>
      </c>
      <c r="BJ267" s="4" t="n">
        <f aca="false">IF(OR(BH267="",BI267=""),"",IFERROR(IF($K267="%",BI267-BH267,BI267/BH267-1),""))</f>
        <v>0.0550165489207124</v>
      </c>
      <c r="BK267" s="5" t="str">
        <f aca="false">IF(OR(BH267="",BI267=""),"",IF($F267="Maior Melhor",IF(BI267&gt;=BH267,"Sim","Não"),IF(BI267&lt;=BH267,"Sim","Não")))</f>
        <v>Não</v>
      </c>
      <c r="BL267" s="10"/>
      <c r="BM267" s="10"/>
      <c r="BN267" s="4" t="str">
        <f aca="false">IF(OR(BL267="",BM267=""),"",IFERROR(IF($K267="%",BM267-BL267,BM267/BL267-1),""))</f>
        <v/>
      </c>
      <c r="BO267" s="5" t="str">
        <f aca="false">IF(OR(BL267="",BM267=""),"",IF($F267="Maior Melhor",IF(BM267&gt;=BL267,"Sim","Não"),IF(BM267&lt;=BL267,"Sim","Não")))</f>
        <v/>
      </c>
      <c r="BP267" s="10"/>
      <c r="BQ267" s="10"/>
      <c r="BR267" s="4" t="str">
        <f aca="false">IF(OR(BP267="",BQ267=""),"",IFERROR(IF($K267="%",BQ267-BP267,BQ267/BP267-1),""))</f>
        <v/>
      </c>
      <c r="BS267" s="5" t="str">
        <f aca="false">IF(OR(BP267="",BQ267=""),"",IF($F267="Maior Melhor",IF(BQ267&gt;=BP267,"Sim","Não"),IF(BQ267&lt;=BP267,"Sim","Não")))</f>
        <v/>
      </c>
      <c r="BT267" s="10"/>
      <c r="BU267" s="10"/>
      <c r="BV267" s="4" t="str">
        <f aca="false">IF(OR(BT267="",BU267=""),"",IFERROR(IF($K267="%",BU267-BT267,BU267/BT267-1),""))</f>
        <v/>
      </c>
      <c r="BW267" s="5" t="str">
        <f aca="false">IF(OR(BT267="",BU267=""),"",IF($F267="Maior Melhor",IF(BU267&gt;=BT267,"Sim","Não"),IF(BU267&lt;=BT267,"Sim","Não")))</f>
        <v/>
      </c>
      <c r="BX267" s="10"/>
      <c r="BY267" s="10"/>
      <c r="BZ267" s="4" t="str">
        <f aca="false">IF(OR(BX267="",BY267=""),"",IFERROR(IF($K267="%",BY267-BX267,BY267/BX267-1),""))</f>
        <v/>
      </c>
      <c r="CA267" s="5" t="str">
        <f aca="false">IF(OR(BX267="",BY267=""),"",IF($F267="Maior Melhor",IF(BY267&gt;=BX267,"Sim","Não"),IF(BY267&lt;=BX267,"Sim","Não")))</f>
        <v/>
      </c>
      <c r="CB267" s="10"/>
      <c r="CC267" s="10"/>
      <c r="CD267" s="4" t="str">
        <f aca="false">IF(OR(CB267="",CC267=""),"",IFERROR(IF($K267="%",CC267-CB267,CC267/CB267-1),""))</f>
        <v/>
      </c>
      <c r="CE267" s="5" t="str">
        <f aca="false">IF(OR(CB267="",CC267=""),"",IF($F267="Maior Melhor",IF(CC267&gt;=CB267,"Sim","Não"),IF(CC267&lt;=CB267,"Sim","Não")))</f>
        <v/>
      </c>
      <c r="CF267" s="10"/>
      <c r="CG267" s="10"/>
      <c r="CH267" s="4" t="str">
        <f aca="false">IF(OR(CF267="",CG267=""),"",IFERROR(IF($K267="%",CG267-CF267,CG267/CF267-1),""))</f>
        <v/>
      </c>
      <c r="CI267" s="5" t="str">
        <f aca="false">IF(OR(CF267="",CG267=""),"",IF($F267="Maior Melhor",IF(CG267&gt;=CF267,"Sim","Não"),IF(CG267&lt;=CF267,"Sim","Não")))</f>
        <v/>
      </c>
      <c r="CJ267" s="10"/>
      <c r="CK267" s="10"/>
      <c r="CL267" s="4" t="str">
        <f aca="false">IF(OR(CJ267="",CK267=""),"",IFERROR(IF($K267="%",CK267-CJ267,CK267/CJ267-1),""))</f>
        <v/>
      </c>
      <c r="CM267" s="5" t="str">
        <f aca="false">IF(OR(CJ267="",CK267=""),"",IF($F267="Maior Melhor",IF(CK267&gt;=CJ267,"Sim","Não"),IF(CK267&lt;=CJ267,"Sim","Não")))</f>
        <v/>
      </c>
      <c r="CN267" s="10"/>
      <c r="CO267" s="10"/>
      <c r="CP267" s="4" t="str">
        <f aca="false">IF(OR(CN267="",CO267=""),"",IFERROR(IF($K267="%",CO267-CN267,CO267/CN267-1),""))</f>
        <v/>
      </c>
      <c r="CQ267" s="5" t="str">
        <f aca="false">IF(OR(CN267="",CO267=""),"",IF($F267="Maior Melhor",IF(CO267&gt;=CN267,"Sim","Não"),IF(CO267&lt;=CN267,"Sim","Não")))</f>
        <v/>
      </c>
      <c r="CR267" s="2" t="s">
        <v>105</v>
      </c>
    </row>
    <row r="268" customFormat="false" ht="15" hidden="false" customHeight="false" outlineLevel="0" collapsed="false">
      <c r="A268" s="2" t="s">
        <v>151</v>
      </c>
      <c r="B268" s="2" t="s">
        <v>108</v>
      </c>
      <c r="C268" s="2" t="s">
        <v>117</v>
      </c>
      <c r="D268" s="2" t="s">
        <v>185</v>
      </c>
      <c r="E268" s="2" t="str">
        <f aca="false">C268&amp;D268</f>
        <v>UTD GUANAMBIOPEX MSO</v>
      </c>
      <c r="F268" s="2" t="s">
        <v>167</v>
      </c>
      <c r="G268" s="2" t="s">
        <v>186</v>
      </c>
      <c r="H268" s="2" t="s">
        <v>102</v>
      </c>
      <c r="I268" s="2" t="s">
        <v>169</v>
      </c>
      <c r="J268" s="2" t="n">
        <v>3</v>
      </c>
      <c r="K268" s="2" t="s">
        <v>187</v>
      </c>
      <c r="L268" s="9" t="n">
        <v>138402</v>
      </c>
      <c r="M268" s="9" t="n">
        <v>78870.77</v>
      </c>
      <c r="N268" s="4" t="n">
        <f aca="false">IF(OR(L268="",M268=""),"",IFERROR(IF($K268="%",M268-L268,M268/L268-1),""))</f>
        <v>-0.430132729295819</v>
      </c>
      <c r="O268" s="5" t="str">
        <f aca="false">IF(OR(L268="",M268=""),"",IF($F268="Maior Melhor",IF(M268&gt;=L268,"Sim","Não"),IF(M268&lt;=L268,"Sim","Não")))</f>
        <v>Sim</v>
      </c>
      <c r="P268" s="9" t="n">
        <v>169486</v>
      </c>
      <c r="Q268" s="9" t="n">
        <v>272226.54</v>
      </c>
      <c r="R268" s="4" t="n">
        <f aca="false">IF(OR(P268="",Q268=""),"",IFERROR(IF($K268="%",Q268-P268,Q268/P268-1),""))</f>
        <v>0.606188947759697</v>
      </c>
      <c r="S268" s="5" t="str">
        <f aca="false">IF(OR(P268="",Q268=""),"",IF($F268="Maior Melhor",IF(Q268&gt;=P268,"Sim","Não"),IF(Q268&lt;=P268,"Sim","Não")))</f>
        <v>Não</v>
      </c>
      <c r="T268" s="9" t="n">
        <v>119285</v>
      </c>
      <c r="U268" s="9" t="n">
        <v>207916.62</v>
      </c>
      <c r="V268" s="4" t="n">
        <f aca="false">IF(OR(T268="",U268=""),"",IFERROR(IF($K268="%",U268-T268,U268/T268-1),""))</f>
        <v>0.743024018107894</v>
      </c>
      <c r="W268" s="5" t="str">
        <f aca="false">IF(OR(T268="",U268=""),"",IF($F268="Maior Melhor",IF(U268&gt;=T268,"Sim","Não"),IF(U268&lt;=T268,"Sim","Não")))</f>
        <v>Não</v>
      </c>
      <c r="X268" s="9" t="n">
        <v>116964</v>
      </c>
      <c r="Y268" s="9" t="n">
        <v>148367.58</v>
      </c>
      <c r="Z268" s="4" t="n">
        <f aca="false">IF(OR(X268="",Y268=""),"",IFERROR(IF($K268="%",Y268-X268,Y268/X268-1),""))</f>
        <v>0.268489278752436</v>
      </c>
      <c r="AA268" s="5" t="str">
        <f aca="false">IF(OR(X268="",Y268=""),"",IF($F268="Maior Melhor",IF(Y268&gt;=X268,"Sim","Não"),IF(Y268&lt;=X268,"Sim","Não")))</f>
        <v>Não</v>
      </c>
      <c r="AB268" s="9" t="n">
        <v>544137</v>
      </c>
      <c r="AC268" s="9" t="n">
        <v>707381.51</v>
      </c>
      <c r="AD268" s="4" t="n">
        <f aca="false">IF(OR(AB268="",AC268=""),"",IFERROR(IF($K268="%",AC268-AB268,AC268/AB268-1),""))</f>
        <v>0.300006266804131</v>
      </c>
      <c r="AE268" s="5" t="str">
        <f aca="false">IF(OR(AB268="",AC268=""),"",IF($F268="Maior Melhor",IF(AC268&gt;=AB268,"Sim","Não"),IF(AC268&lt;=AB268,"Sim","Não")))</f>
        <v>Não</v>
      </c>
      <c r="AF268" s="9" t="n">
        <v>109315</v>
      </c>
      <c r="AG268" s="9" t="n">
        <v>121748.04</v>
      </c>
      <c r="AH268" s="4" t="n">
        <f aca="false">IF(OR(AF268="",AG268=""),"",IFERROR(IF($K268="%",AG268-AF268,AG268/AF268-1),""))</f>
        <v>0.11373590083703</v>
      </c>
      <c r="AI268" s="5" t="str">
        <f aca="false">IF(OR(AF268="",AG268=""),"",IF($F268="Maior Melhor",IF(AG268&gt;=AF268,"Sim","Não"),IF(AG268&lt;=AF268,"Sim","Não")))</f>
        <v>Não</v>
      </c>
      <c r="AJ268" s="9" t="n">
        <v>653452</v>
      </c>
      <c r="AK268" s="9" t="n">
        <v>829129.55</v>
      </c>
      <c r="AL268" s="4" t="n">
        <f aca="false">IF(OR(AJ268="",AK268=""),"",IFERROR(IF($K268="%",AK268-AJ268,AK268/AJ268-1),""))</f>
        <v>0.268845378084389</v>
      </c>
      <c r="AM268" s="5" t="str">
        <f aca="false">IF(OR(AJ268="",AK268=""),"",IF($F268="Maior Melhor",IF(AK268&gt;=AJ268,"Sim","Não"),IF(AK268&lt;=AJ268,"Sim","Não")))</f>
        <v>Não</v>
      </c>
      <c r="AN268" s="9" t="n">
        <v>115395.35</v>
      </c>
      <c r="AO268" s="9" t="n">
        <v>59145.95</v>
      </c>
      <c r="AP268" s="4" t="n">
        <f aca="false">IF(OR(AN268="",AO268=""),"",IFERROR(IF($K268="%",AO268-AN268,AO268/AN268-1),""))</f>
        <v>-0.487449450952746</v>
      </c>
      <c r="AQ268" s="5" t="str">
        <f aca="false">IF(OR(AN268="",AO268=""),"",IF($F268="Maior Melhor",IF(AO268&gt;=AN268,"Sim","Não"),IF(AO268&lt;=AN268,"Sim","Não")))</f>
        <v>Sim</v>
      </c>
      <c r="AR268" s="9" t="n">
        <v>768846.49</v>
      </c>
      <c r="AS268" s="9" t="n">
        <v>888275.5</v>
      </c>
      <c r="AT268" s="4" t="n">
        <f aca="false">IF(OR(AR268="",AS268=""),"",IFERROR(IF($K268="%",AS268-AR268,AS268/AR268-1),""))</f>
        <v>0.155335312774856</v>
      </c>
      <c r="AU268" s="5" t="str">
        <f aca="false">IF(OR(AR268="",AS268=""),"",IF($F268="Maior Melhor",IF(AS268&gt;=AR268,"Sim","Não"),IF(AS268&lt;=AR268,"Sim","Não")))</f>
        <v>Não</v>
      </c>
      <c r="AV268" s="9" t="n">
        <v>113448.33</v>
      </c>
      <c r="AW268" s="9" t="n">
        <v>89771.07</v>
      </c>
      <c r="AX268" s="4" t="n">
        <f aca="false">IF(OR(AV268="",AW268=""),"",IFERROR(IF($K268="%",AW268-AV268,AW268/AV268-1),""))</f>
        <v>-0.208705231712093</v>
      </c>
      <c r="AY268" s="5" t="str">
        <f aca="false">IF(OR(AV268="",AW268=""),"",IF($F268="Maior Melhor",IF(AW268&gt;=AV268,"Sim","Não"),IF(AW268&lt;=AV268,"Sim","Não")))</f>
        <v>Sim</v>
      </c>
      <c r="AZ268" s="9" t="n">
        <v>882294.82</v>
      </c>
      <c r="BA268" s="9" t="n">
        <v>978046.57</v>
      </c>
      <c r="BB268" s="4" t="n">
        <f aca="false">IF(OR(AZ268="",BA268=""),"",IFERROR(IF($K268="%",BA268-AZ268,BA268/AZ268-1),""))</f>
        <v>0.108525798666709</v>
      </c>
      <c r="BC268" s="5" t="str">
        <f aca="false">IF(OR(AZ268="",BA268=""),"",IF($F268="Maior Melhor",IF(BA268&gt;=AZ268,"Sim","Não"),IF(BA268&lt;=AZ268,"Sim","Não")))</f>
        <v>Não</v>
      </c>
      <c r="BD268" s="9" t="n">
        <v>151288.83</v>
      </c>
      <c r="BE268" s="9" t="n">
        <v>115234</v>
      </c>
      <c r="BF268" s="4" t="n">
        <f aca="false">IF(OR(BD268="",BE268=""),"",IFERROR(IF($K268="%",BE268-BD268,BE268/BD268-1),""))</f>
        <v>-0.238317858628426</v>
      </c>
      <c r="BG268" s="5" t="str">
        <f aca="false">IF(OR(BD268="",BE268=""),"",IF($F268="Maior Melhor",IF(BE268&gt;=BD268,"Sim","Não"),IF(BE268&lt;=BD268,"Sim","Não")))</f>
        <v>Sim</v>
      </c>
      <c r="BH268" s="9" t="n">
        <v>1033583.65</v>
      </c>
      <c r="BI268" s="9" t="n">
        <v>1093280.57</v>
      </c>
      <c r="BJ268" s="4" t="n">
        <f aca="false">IF(OR(BH268="",BI268=""),"",IFERROR(IF($K268="%",BI268-BH268,BI268/BH268-1),""))</f>
        <v>0.0577572216820574</v>
      </c>
      <c r="BK268" s="5" t="str">
        <f aca="false">IF(OR(BH268="",BI268=""),"",IF($F268="Maior Melhor",IF(BI268&gt;=BH268,"Sim","Não"),IF(BI268&lt;=BH268,"Sim","Não")))</f>
        <v>Não</v>
      </c>
      <c r="BL268" s="10"/>
      <c r="BM268" s="10"/>
      <c r="BN268" s="4" t="str">
        <f aca="false">IF(OR(BL268="",BM268=""),"",IFERROR(IF($K268="%",BM268-BL268,BM268/BL268-1),""))</f>
        <v/>
      </c>
      <c r="BO268" s="5" t="str">
        <f aca="false">IF(OR(BL268="",BM268=""),"",IF($F268="Maior Melhor",IF(BM268&gt;=BL268,"Sim","Não"),IF(BM268&lt;=BL268,"Sim","Não")))</f>
        <v/>
      </c>
      <c r="BP268" s="10"/>
      <c r="BQ268" s="10"/>
      <c r="BR268" s="4" t="str">
        <f aca="false">IF(OR(BP268="",BQ268=""),"",IFERROR(IF($K268="%",BQ268-BP268,BQ268/BP268-1),""))</f>
        <v/>
      </c>
      <c r="BS268" s="5" t="str">
        <f aca="false">IF(OR(BP268="",BQ268=""),"",IF($F268="Maior Melhor",IF(BQ268&gt;=BP268,"Sim","Não"),IF(BQ268&lt;=BP268,"Sim","Não")))</f>
        <v/>
      </c>
      <c r="BT268" s="10"/>
      <c r="BU268" s="10"/>
      <c r="BV268" s="4" t="str">
        <f aca="false">IF(OR(BT268="",BU268=""),"",IFERROR(IF($K268="%",BU268-BT268,BU268/BT268-1),""))</f>
        <v/>
      </c>
      <c r="BW268" s="5" t="str">
        <f aca="false">IF(OR(BT268="",BU268=""),"",IF($F268="Maior Melhor",IF(BU268&gt;=BT268,"Sim","Não"),IF(BU268&lt;=BT268,"Sim","Não")))</f>
        <v/>
      </c>
      <c r="BX268" s="10"/>
      <c r="BY268" s="10"/>
      <c r="BZ268" s="4" t="str">
        <f aca="false">IF(OR(BX268="",BY268=""),"",IFERROR(IF($K268="%",BY268-BX268,BY268/BX268-1),""))</f>
        <v/>
      </c>
      <c r="CA268" s="5" t="str">
        <f aca="false">IF(OR(BX268="",BY268=""),"",IF($F268="Maior Melhor",IF(BY268&gt;=BX268,"Sim","Não"),IF(BY268&lt;=BX268,"Sim","Não")))</f>
        <v/>
      </c>
      <c r="CB268" s="10"/>
      <c r="CC268" s="10"/>
      <c r="CD268" s="4" t="str">
        <f aca="false">IF(OR(CB268="",CC268=""),"",IFERROR(IF($K268="%",CC268-CB268,CC268/CB268-1),""))</f>
        <v/>
      </c>
      <c r="CE268" s="5" t="str">
        <f aca="false">IF(OR(CB268="",CC268=""),"",IF($F268="Maior Melhor",IF(CC268&gt;=CB268,"Sim","Não"),IF(CC268&lt;=CB268,"Sim","Não")))</f>
        <v/>
      </c>
      <c r="CF268" s="10"/>
      <c r="CG268" s="10"/>
      <c r="CH268" s="4" t="str">
        <f aca="false">IF(OR(CF268="",CG268=""),"",IFERROR(IF($K268="%",CG268-CF268,CG268/CF268-1),""))</f>
        <v/>
      </c>
      <c r="CI268" s="5" t="str">
        <f aca="false">IF(OR(CF268="",CG268=""),"",IF($F268="Maior Melhor",IF(CG268&gt;=CF268,"Sim","Não"),IF(CG268&lt;=CF268,"Sim","Não")))</f>
        <v/>
      </c>
      <c r="CJ268" s="10"/>
      <c r="CK268" s="10"/>
      <c r="CL268" s="4" t="str">
        <f aca="false">IF(OR(CJ268="",CK268=""),"",IFERROR(IF($K268="%",CK268-CJ268,CK268/CJ268-1),""))</f>
        <v/>
      </c>
      <c r="CM268" s="5" t="str">
        <f aca="false">IF(OR(CJ268="",CK268=""),"",IF($F268="Maior Melhor",IF(CK268&gt;=CJ268,"Sim","Não"),IF(CK268&lt;=CJ268,"Sim","Não")))</f>
        <v/>
      </c>
      <c r="CN268" s="10"/>
      <c r="CO268" s="10"/>
      <c r="CP268" s="4" t="str">
        <f aca="false">IF(OR(CN268="",CO268=""),"",IFERROR(IF($K268="%",CO268-CN268,CO268/CN268-1),""))</f>
        <v/>
      </c>
      <c r="CQ268" s="5" t="str">
        <f aca="false">IF(OR(CN268="",CO268=""),"",IF($F268="Maior Melhor",IF(CO268&gt;=CN268,"Sim","Não"),IF(CO268&lt;=CN268,"Sim","Não")))</f>
        <v/>
      </c>
      <c r="CR268" s="2" t="s">
        <v>105</v>
      </c>
    </row>
    <row r="269" customFormat="false" ht="15" hidden="false" customHeight="false" outlineLevel="0" collapsed="false">
      <c r="A269" s="2" t="s">
        <v>151</v>
      </c>
      <c r="B269" s="2" t="s">
        <v>108</v>
      </c>
      <c r="C269" s="2" t="s">
        <v>124</v>
      </c>
      <c r="D269" s="2" t="s">
        <v>185</v>
      </c>
      <c r="E269" s="2" t="str">
        <f aca="false">C269&amp;D269</f>
        <v>UTD ITAPETINGAOPEX MSO</v>
      </c>
      <c r="F269" s="2" t="s">
        <v>167</v>
      </c>
      <c r="G269" s="2" t="s">
        <v>186</v>
      </c>
      <c r="H269" s="2" t="s">
        <v>102</v>
      </c>
      <c r="I269" s="2" t="s">
        <v>169</v>
      </c>
      <c r="J269" s="2" t="n">
        <v>3</v>
      </c>
      <c r="K269" s="2" t="s">
        <v>187</v>
      </c>
      <c r="L269" s="9" t="n">
        <v>118259</v>
      </c>
      <c r="M269" s="9" t="n">
        <v>93500.23</v>
      </c>
      <c r="N269" s="4" t="n">
        <f aca="false">IF(OR(L269="",M269=""),"",IFERROR(IF($K269="%",M269-L269,M269/L269-1),""))</f>
        <v>-0.209360556067614</v>
      </c>
      <c r="O269" s="5" t="str">
        <f aca="false">IF(OR(L269="",M269=""),"",IF($F269="Maior Melhor",IF(M269&gt;=L269,"Sim","Não"),IF(M269&lt;=L269,"Sim","Não")))</f>
        <v>Sim</v>
      </c>
      <c r="P269" s="9" t="n">
        <v>92428</v>
      </c>
      <c r="Q269" s="9" t="n">
        <v>73697.55</v>
      </c>
      <c r="R269" s="4" t="n">
        <f aca="false">IF(OR(P269="",Q269=""),"",IFERROR(IF($K269="%",Q269-P269,Q269/P269-1),""))</f>
        <v>-0.202649089020643</v>
      </c>
      <c r="S269" s="5" t="str">
        <f aca="false">IF(OR(P269="",Q269=""),"",IF($F269="Maior Melhor",IF(Q269&gt;=P269,"Sim","Não"),IF(Q269&lt;=P269,"Sim","Não")))</f>
        <v>Sim</v>
      </c>
      <c r="T269" s="9" t="n">
        <v>97278</v>
      </c>
      <c r="U269" s="9" t="n">
        <v>103210.86</v>
      </c>
      <c r="V269" s="4" t="n">
        <f aca="false">IF(OR(T269="",U269=""),"",IFERROR(IF($K269="%",U269-T269,U269/T269-1),""))</f>
        <v>0.0609887127613633</v>
      </c>
      <c r="W269" s="5" t="str">
        <f aca="false">IF(OR(T269="",U269=""),"",IF($F269="Maior Melhor",IF(U269&gt;=T269,"Sim","Não"),IF(U269&lt;=T269,"Sim","Não")))</f>
        <v>Não</v>
      </c>
      <c r="X269" s="9" t="n">
        <v>95611</v>
      </c>
      <c r="Y269" s="9" t="n">
        <v>117656.74</v>
      </c>
      <c r="Z269" s="4" t="n">
        <f aca="false">IF(OR(X269="",Y269=""),"",IFERROR(IF($K269="%",Y269-X269,Y269/X269-1),""))</f>
        <v>0.230577444017947</v>
      </c>
      <c r="AA269" s="5" t="str">
        <f aca="false">IF(OR(X269="",Y269=""),"",IF($F269="Maior Melhor",IF(Y269&gt;=X269,"Sim","Não"),IF(Y269&lt;=X269,"Sim","Não")))</f>
        <v>Não</v>
      </c>
      <c r="AB269" s="9" t="n">
        <v>403576</v>
      </c>
      <c r="AC269" s="9" t="n">
        <v>388065.380000001</v>
      </c>
      <c r="AD269" s="4" t="n">
        <f aca="false">IF(OR(AB269="",AC269=""),"",IFERROR(IF($K269="%",AC269-AB269,AC269/AB269-1),""))</f>
        <v>-0.038432959343468</v>
      </c>
      <c r="AE269" s="5" t="str">
        <f aca="false">IF(OR(AB269="",AC269=""),"",IF($F269="Maior Melhor",IF(AC269&gt;=AB269,"Sim","Não"),IF(AC269&lt;=AB269,"Sim","Não")))</f>
        <v>Sim</v>
      </c>
      <c r="AF269" s="9" t="n">
        <v>92180</v>
      </c>
      <c r="AG269" s="9" t="n">
        <v>104783.66</v>
      </c>
      <c r="AH269" s="4" t="n">
        <f aca="false">IF(OR(AF269="",AG269=""),"",IFERROR(IF($K269="%",AG269-AF269,AG269/AF269-1),""))</f>
        <v>0.136728791494901</v>
      </c>
      <c r="AI269" s="5" t="str">
        <f aca="false">IF(OR(AF269="",AG269=""),"",IF($F269="Maior Melhor",IF(AG269&gt;=AF269,"Sim","Não"),IF(AG269&lt;=AF269,"Sim","Não")))</f>
        <v>Não</v>
      </c>
      <c r="AJ269" s="9" t="n">
        <v>495756</v>
      </c>
      <c r="AK269" s="9" t="n">
        <v>492849.04</v>
      </c>
      <c r="AL269" s="4" t="n">
        <f aca="false">IF(OR(AJ269="",AK269=""),"",IFERROR(IF($K269="%",AK269-AJ269,AK269/AJ269-1),""))</f>
        <v>-0.00586369100928685</v>
      </c>
      <c r="AM269" s="5" t="str">
        <f aca="false">IF(OR(AJ269="",AK269=""),"",IF($F269="Maior Melhor",IF(AK269&gt;=AJ269,"Sim","Não"),IF(AK269&lt;=AJ269,"Sim","Não")))</f>
        <v>Sim</v>
      </c>
      <c r="AN269" s="9" t="n">
        <v>97158.53</v>
      </c>
      <c r="AO269" s="9" t="n">
        <v>68416.05</v>
      </c>
      <c r="AP269" s="4" t="n">
        <f aca="false">IF(OR(AN269="",AO269=""),"",IFERROR(IF($K269="%",AO269-AN269,AO269/AN269-1),""))</f>
        <v>-0.295830741778411</v>
      </c>
      <c r="AQ269" s="5" t="str">
        <f aca="false">IF(OR(AN269="",AO269=""),"",IF($F269="Maior Melhor",IF(AO269&gt;=AN269,"Sim","Não"),IF(AO269&lt;=AN269,"Sim","Não")))</f>
        <v>Sim</v>
      </c>
      <c r="AR269" s="9" t="n">
        <v>592913.52</v>
      </c>
      <c r="AS269" s="9" t="n">
        <v>561265.09</v>
      </c>
      <c r="AT269" s="4" t="n">
        <f aca="false">IF(OR(AR269="",AS269=""),"",IFERROR(IF($K269="%",AS269-AR269,AS269/AR269-1),""))</f>
        <v>-0.0533778180669586</v>
      </c>
      <c r="AU269" s="5" t="str">
        <f aca="false">IF(OR(AR269="",AS269=""),"",IF($F269="Maior Melhor",IF(AS269&gt;=AR269,"Sim","Não"),IF(AS269&lt;=AR269,"Sim","Não")))</f>
        <v>Sim</v>
      </c>
      <c r="AV269" s="9" t="n">
        <v>117334.97</v>
      </c>
      <c r="AW269" s="9" t="n">
        <v>140748.9</v>
      </c>
      <c r="AX269" s="4" t="n">
        <f aca="false">IF(OR(AV269="",AW269=""),"",IFERROR(IF($K269="%",AW269-AV269,AW269/AV269-1),""))</f>
        <v>0.199547756308285</v>
      </c>
      <c r="AY269" s="5" t="str">
        <f aca="false">IF(OR(AV269="",AW269=""),"",IF($F269="Maior Melhor",IF(AW269&gt;=AV269,"Sim","Não"),IF(AW269&lt;=AV269,"Sim","Não")))</f>
        <v>Não</v>
      </c>
      <c r="AZ269" s="9" t="n">
        <v>710248.49</v>
      </c>
      <c r="BA269" s="9" t="n">
        <v>702013.99</v>
      </c>
      <c r="BB269" s="4" t="n">
        <f aca="false">IF(OR(AZ269="",BA269=""),"",IFERROR(IF($K269="%",BA269-AZ269,BA269/AZ269-1),""))</f>
        <v>-0.0115938296468606</v>
      </c>
      <c r="BC269" s="5" t="str">
        <f aca="false">IF(OR(AZ269="",BA269=""),"",IF($F269="Maior Melhor",IF(BA269&gt;=AZ269,"Sim","Não"),IF(BA269&lt;=AZ269,"Sim","Não")))</f>
        <v>Sim</v>
      </c>
      <c r="BD269" s="9" t="n">
        <v>96705.99</v>
      </c>
      <c r="BE269" s="9" t="n">
        <v>88364.48</v>
      </c>
      <c r="BF269" s="4" t="n">
        <f aca="false">IF(OR(BD269="",BE269=""),"",IFERROR(IF($K269="%",BE269-BD269,BE269/BD269-1),""))</f>
        <v>-0.0862563942523106</v>
      </c>
      <c r="BG269" s="5" t="str">
        <f aca="false">IF(OR(BD269="",BE269=""),"",IF($F269="Maior Melhor",IF(BE269&gt;=BD269,"Sim","Não"),IF(BE269&lt;=BD269,"Sim","Não")))</f>
        <v>Sim</v>
      </c>
      <c r="BH269" s="9" t="n">
        <v>806954.48</v>
      </c>
      <c r="BI269" s="9" t="n">
        <v>790378.47</v>
      </c>
      <c r="BJ269" s="4" t="n">
        <f aca="false">IF(OR(BH269="",BI269=""),"",IFERROR(IF($K269="%",BI269-BH269,BI269/BH269-1),""))</f>
        <v>-0.0205414436759803</v>
      </c>
      <c r="BK269" s="5" t="str">
        <f aca="false">IF(OR(BH269="",BI269=""),"",IF($F269="Maior Melhor",IF(BI269&gt;=BH269,"Sim","Não"),IF(BI269&lt;=BH269,"Sim","Não")))</f>
        <v>Sim</v>
      </c>
      <c r="BL269" s="10"/>
      <c r="BM269" s="10"/>
      <c r="BN269" s="4" t="str">
        <f aca="false">IF(OR(BL269="",BM269=""),"",IFERROR(IF($K269="%",BM269-BL269,BM269/BL269-1),""))</f>
        <v/>
      </c>
      <c r="BO269" s="5" t="str">
        <f aca="false">IF(OR(BL269="",BM269=""),"",IF($F269="Maior Melhor",IF(BM269&gt;=BL269,"Sim","Não"),IF(BM269&lt;=BL269,"Sim","Não")))</f>
        <v/>
      </c>
      <c r="BP269" s="10"/>
      <c r="BQ269" s="10"/>
      <c r="BR269" s="4" t="str">
        <f aca="false">IF(OR(BP269="",BQ269=""),"",IFERROR(IF($K269="%",BQ269-BP269,BQ269/BP269-1),""))</f>
        <v/>
      </c>
      <c r="BS269" s="5" t="str">
        <f aca="false">IF(OR(BP269="",BQ269=""),"",IF($F269="Maior Melhor",IF(BQ269&gt;=BP269,"Sim","Não"),IF(BQ269&lt;=BP269,"Sim","Não")))</f>
        <v/>
      </c>
      <c r="BT269" s="10"/>
      <c r="BU269" s="10"/>
      <c r="BV269" s="4" t="str">
        <f aca="false">IF(OR(BT269="",BU269=""),"",IFERROR(IF($K269="%",BU269-BT269,BU269/BT269-1),""))</f>
        <v/>
      </c>
      <c r="BW269" s="5" t="str">
        <f aca="false">IF(OR(BT269="",BU269=""),"",IF($F269="Maior Melhor",IF(BU269&gt;=BT269,"Sim","Não"),IF(BU269&lt;=BT269,"Sim","Não")))</f>
        <v/>
      </c>
      <c r="BX269" s="10"/>
      <c r="BY269" s="10"/>
      <c r="BZ269" s="4" t="str">
        <f aca="false">IF(OR(BX269="",BY269=""),"",IFERROR(IF($K269="%",BY269-BX269,BY269/BX269-1),""))</f>
        <v/>
      </c>
      <c r="CA269" s="5" t="str">
        <f aca="false">IF(OR(BX269="",BY269=""),"",IF($F269="Maior Melhor",IF(BY269&gt;=BX269,"Sim","Não"),IF(BY269&lt;=BX269,"Sim","Não")))</f>
        <v/>
      </c>
      <c r="CB269" s="10"/>
      <c r="CC269" s="10"/>
      <c r="CD269" s="4" t="str">
        <f aca="false">IF(OR(CB269="",CC269=""),"",IFERROR(IF($K269="%",CC269-CB269,CC269/CB269-1),""))</f>
        <v/>
      </c>
      <c r="CE269" s="5" t="str">
        <f aca="false">IF(OR(CB269="",CC269=""),"",IF($F269="Maior Melhor",IF(CC269&gt;=CB269,"Sim","Não"),IF(CC269&lt;=CB269,"Sim","Não")))</f>
        <v/>
      </c>
      <c r="CF269" s="10"/>
      <c r="CG269" s="10"/>
      <c r="CH269" s="4" t="str">
        <f aca="false">IF(OR(CF269="",CG269=""),"",IFERROR(IF($K269="%",CG269-CF269,CG269/CF269-1),""))</f>
        <v/>
      </c>
      <c r="CI269" s="5" t="str">
        <f aca="false">IF(OR(CF269="",CG269=""),"",IF($F269="Maior Melhor",IF(CG269&gt;=CF269,"Sim","Não"),IF(CG269&lt;=CF269,"Sim","Não")))</f>
        <v/>
      </c>
      <c r="CJ269" s="10"/>
      <c r="CK269" s="10"/>
      <c r="CL269" s="4" t="str">
        <f aca="false">IF(OR(CJ269="",CK269=""),"",IFERROR(IF($K269="%",CK269-CJ269,CK269/CJ269-1),""))</f>
        <v/>
      </c>
      <c r="CM269" s="5" t="str">
        <f aca="false">IF(OR(CJ269="",CK269=""),"",IF($F269="Maior Melhor",IF(CK269&gt;=CJ269,"Sim","Não"),IF(CK269&lt;=CJ269,"Sim","Não")))</f>
        <v/>
      </c>
      <c r="CN269" s="10"/>
      <c r="CO269" s="10"/>
      <c r="CP269" s="4" t="str">
        <f aca="false">IF(OR(CN269="",CO269=""),"",IFERROR(IF($K269="%",CO269-CN269,CO269/CN269-1),""))</f>
        <v/>
      </c>
      <c r="CQ269" s="5" t="str">
        <f aca="false">IF(OR(CN269="",CO269=""),"",IF($F269="Maior Melhor",IF(CO269&gt;=CN269,"Sim","Não"),IF(CO269&lt;=CN269,"Sim","Não")))</f>
        <v/>
      </c>
      <c r="CR269" s="2" t="s">
        <v>105</v>
      </c>
    </row>
    <row r="270" customFormat="false" ht="15" hidden="false" customHeight="false" outlineLevel="0" collapsed="false">
      <c r="A270" s="2" t="s">
        <v>151</v>
      </c>
      <c r="B270" s="2" t="s">
        <v>108</v>
      </c>
      <c r="C270" s="2" t="s">
        <v>131</v>
      </c>
      <c r="D270" s="2" t="s">
        <v>185</v>
      </c>
      <c r="E270" s="2" t="str">
        <f aca="false">C270&amp;D270</f>
        <v>UTD VITORIA DA CONQUISTAOPEX MSO</v>
      </c>
      <c r="F270" s="2" t="s">
        <v>167</v>
      </c>
      <c r="G270" s="2" t="s">
        <v>186</v>
      </c>
      <c r="H270" s="2" t="s">
        <v>102</v>
      </c>
      <c r="I270" s="2" t="s">
        <v>169</v>
      </c>
      <c r="J270" s="2" t="n">
        <v>3</v>
      </c>
      <c r="K270" s="2" t="s">
        <v>187</v>
      </c>
      <c r="L270" s="9" t="n">
        <v>259034</v>
      </c>
      <c r="M270" s="9" t="n">
        <v>218429.26</v>
      </c>
      <c r="N270" s="4" t="n">
        <f aca="false">IF(OR(L270="",M270=""),"",IFERROR(IF($K270="%",M270-L270,M270/L270-1),""))</f>
        <v>-0.156754480106859</v>
      </c>
      <c r="O270" s="5" t="str">
        <f aca="false">IF(OR(L270="",M270=""),"",IF($F270="Maior Melhor",IF(M270&gt;=L270,"Sim","Não"),IF(M270&lt;=L270,"Sim","Não")))</f>
        <v>Sim</v>
      </c>
      <c r="P270" s="9" t="n">
        <v>303995</v>
      </c>
      <c r="Q270" s="9" t="n">
        <v>191208.11</v>
      </c>
      <c r="R270" s="4" t="n">
        <f aca="false">IF(OR(P270="",Q270=""),"",IFERROR(IF($K270="%",Q270-P270,Q270/P270-1),""))</f>
        <v>-0.371015608809355</v>
      </c>
      <c r="S270" s="5" t="str">
        <f aca="false">IF(OR(P270="",Q270=""),"",IF($F270="Maior Melhor",IF(Q270&gt;=P270,"Sim","Não"),IF(Q270&lt;=P270,"Sim","Não")))</f>
        <v>Sim</v>
      </c>
      <c r="T270" s="9" t="n">
        <v>223195</v>
      </c>
      <c r="U270" s="9" t="n">
        <v>160198.94</v>
      </c>
      <c r="V270" s="4" t="n">
        <f aca="false">IF(OR(T270="",U270=""),"",IFERROR(IF($K270="%",U270-T270,U270/T270-1),""))</f>
        <v>-0.282246734917897</v>
      </c>
      <c r="W270" s="5" t="str">
        <f aca="false">IF(OR(T270="",U270=""),"",IF($F270="Maior Melhor",IF(U270&gt;=T270,"Sim","Não"),IF(U270&lt;=T270,"Sim","Não")))</f>
        <v>Sim</v>
      </c>
      <c r="X270" s="9" t="n">
        <v>197949</v>
      </c>
      <c r="Y270" s="9" t="n">
        <v>264977.32</v>
      </c>
      <c r="Z270" s="4" t="n">
        <f aca="false">IF(OR(X270="",Y270=""),"",IFERROR(IF($K270="%",Y270-X270,Y270/X270-1),""))</f>
        <v>0.338614087466973</v>
      </c>
      <c r="AA270" s="5" t="str">
        <f aca="false">IF(OR(X270="",Y270=""),"",IF($F270="Maior Melhor",IF(Y270&gt;=X270,"Sim","Não"),IF(Y270&lt;=X270,"Sim","Não")))</f>
        <v>Não</v>
      </c>
      <c r="AB270" s="9" t="n">
        <v>984173</v>
      </c>
      <c r="AC270" s="9" t="n">
        <v>834813.630000001</v>
      </c>
      <c r="AD270" s="4" t="n">
        <f aca="false">IF(OR(AB270="",AC270=""),"",IFERROR(IF($K270="%",AC270-AB270,AC270/AB270-1),""))</f>
        <v>-0.151761296032302</v>
      </c>
      <c r="AE270" s="5" t="str">
        <f aca="false">IF(OR(AB270="",AC270=""),"",IF($F270="Maior Melhor",IF(AC270&gt;=AB270,"Sim","Não"),IF(AC270&lt;=AB270,"Sim","Não")))</f>
        <v>Sim</v>
      </c>
      <c r="AF270" s="9" t="n">
        <v>181101</v>
      </c>
      <c r="AG270" s="9" t="n">
        <v>310605.86</v>
      </c>
      <c r="AH270" s="4" t="n">
        <f aca="false">IF(OR(AF270="",AG270=""),"",IFERROR(IF($K270="%",AG270-AF270,AG270/AF270-1),""))</f>
        <v>0.715097431819813</v>
      </c>
      <c r="AI270" s="5" t="str">
        <f aca="false">IF(OR(AF270="",AG270=""),"",IF($F270="Maior Melhor",IF(AG270&gt;=AF270,"Sim","Não"),IF(AG270&lt;=AF270,"Sim","Não")))</f>
        <v>Não</v>
      </c>
      <c r="AJ270" s="9" t="n">
        <v>1165274</v>
      </c>
      <c r="AK270" s="9" t="n">
        <v>1145419.49</v>
      </c>
      <c r="AL270" s="4" t="n">
        <f aca="false">IF(OR(AJ270="",AK270=""),"",IFERROR(IF($K270="%",AK270-AJ270,AK270/AJ270-1),""))</f>
        <v>-0.0170384905181099</v>
      </c>
      <c r="AM270" s="5" t="str">
        <f aca="false">IF(OR(AJ270="",AK270=""),"",IF($F270="Maior Melhor",IF(AK270&gt;=AJ270,"Sim","Não"),IF(AK270&lt;=AJ270,"Sim","Não")))</f>
        <v>Sim</v>
      </c>
      <c r="AN270" s="9" t="n">
        <v>188231.39</v>
      </c>
      <c r="AO270" s="9" t="n">
        <v>187325.19</v>
      </c>
      <c r="AP270" s="4" t="n">
        <f aca="false">IF(OR(AN270="",AO270=""),"",IFERROR(IF($K270="%",AO270-AN270,AO270/AN270-1),""))</f>
        <v>-0.00481428735132861</v>
      </c>
      <c r="AQ270" s="5" t="str">
        <f aca="false">IF(OR(AN270="",AO270=""),"",IF($F270="Maior Melhor",IF(AO270&gt;=AN270,"Sim","Não"),IF(AO270&lt;=AN270,"Sim","Não")))</f>
        <v>Sim</v>
      </c>
      <c r="AR270" s="9" t="n">
        <v>1353503.59</v>
      </c>
      <c r="AS270" s="9" t="n">
        <v>1332317.77</v>
      </c>
      <c r="AT270" s="4" t="n">
        <f aca="false">IF(OR(AR270="",AS270=""),"",IFERROR(IF($K270="%",AS270-AR270,AS270/AR270-1),""))</f>
        <v>-0.0156525776189482</v>
      </c>
      <c r="AU270" s="5" t="str">
        <f aca="false">IF(OR(AR270="",AS270=""),"",IF($F270="Maior Melhor",IF(AS270&gt;=AR270,"Sim","Não"),IF(AS270&lt;=AR270,"Sim","Não")))</f>
        <v>Sim</v>
      </c>
      <c r="AV270" s="9" t="n">
        <v>189284.01</v>
      </c>
      <c r="AW270" s="9" t="n">
        <v>187979.09</v>
      </c>
      <c r="AX270" s="4" t="n">
        <f aca="false">IF(OR(AV270="",AW270=""),"",IFERROR(IF($K270="%",AW270-AV270,AW270/AV270-1),""))</f>
        <v>-0.00689397905295863</v>
      </c>
      <c r="AY270" s="5" t="str">
        <f aca="false">IF(OR(AV270="",AW270=""),"",IF($F270="Maior Melhor",IF(AW270&gt;=AV270,"Sim","Não"),IF(AW270&lt;=AV270,"Sim","Não")))</f>
        <v>Sim</v>
      </c>
      <c r="AZ270" s="9" t="n">
        <v>1542787.6</v>
      </c>
      <c r="BA270" s="9" t="n">
        <v>1520296.86</v>
      </c>
      <c r="BB270" s="4" t="n">
        <f aca="false">IF(OR(AZ270="",BA270=""),"",IFERROR(IF($K270="%",BA270-AZ270,BA270/AZ270-1),""))</f>
        <v>-0.0145779885708182</v>
      </c>
      <c r="BC270" s="5" t="str">
        <f aca="false">IF(OR(AZ270="",BA270=""),"",IF($F270="Maior Melhor",IF(BA270&gt;=AZ270,"Sim","Não"),IF(BA270&lt;=AZ270,"Sim","Não")))</f>
        <v>Sim</v>
      </c>
      <c r="BD270" s="9" t="n">
        <v>248151.34</v>
      </c>
      <c r="BE270" s="9" t="n">
        <v>223643.89</v>
      </c>
      <c r="BF270" s="4" t="n">
        <f aca="false">IF(OR(BD270="",BE270=""),"",IFERROR(IF($K270="%",BE270-BD270,BE270/BD270-1),""))</f>
        <v>-0.0987600953514899</v>
      </c>
      <c r="BG270" s="5" t="str">
        <f aca="false">IF(OR(BD270="",BE270=""),"",IF($F270="Maior Melhor",IF(BE270&gt;=BD270,"Sim","Não"),IF(BE270&lt;=BD270,"Sim","Não")))</f>
        <v>Sim</v>
      </c>
      <c r="BH270" s="9" t="n">
        <v>1790938.94</v>
      </c>
      <c r="BI270" s="9" t="n">
        <v>1743940.75</v>
      </c>
      <c r="BJ270" s="4" t="n">
        <f aca="false">IF(OR(BH270="",BI270=""),"",IFERROR(IF($K270="%",BI270-BH270,BI270/BH270-1),""))</f>
        <v>-0.0262422067834428</v>
      </c>
      <c r="BK270" s="5" t="str">
        <f aca="false">IF(OR(BH270="",BI270=""),"",IF($F270="Maior Melhor",IF(BI270&gt;=BH270,"Sim","Não"),IF(BI270&lt;=BH270,"Sim","Não")))</f>
        <v>Sim</v>
      </c>
      <c r="BL270" s="10"/>
      <c r="BM270" s="10"/>
      <c r="BN270" s="4" t="str">
        <f aca="false">IF(OR(BL270="",BM270=""),"",IFERROR(IF($K270="%",BM270-BL270,BM270/BL270-1),""))</f>
        <v/>
      </c>
      <c r="BO270" s="5" t="str">
        <f aca="false">IF(OR(BL270="",BM270=""),"",IF($F270="Maior Melhor",IF(BM270&gt;=BL270,"Sim","Não"),IF(BM270&lt;=BL270,"Sim","Não")))</f>
        <v/>
      </c>
      <c r="BP270" s="10"/>
      <c r="BQ270" s="10"/>
      <c r="BR270" s="4" t="str">
        <f aca="false">IF(OR(BP270="",BQ270=""),"",IFERROR(IF($K270="%",BQ270-BP270,BQ270/BP270-1),""))</f>
        <v/>
      </c>
      <c r="BS270" s="5" t="str">
        <f aca="false">IF(OR(BP270="",BQ270=""),"",IF($F270="Maior Melhor",IF(BQ270&gt;=BP270,"Sim","Não"),IF(BQ270&lt;=BP270,"Sim","Não")))</f>
        <v/>
      </c>
      <c r="BT270" s="10"/>
      <c r="BU270" s="10"/>
      <c r="BV270" s="4" t="str">
        <f aca="false">IF(OR(BT270="",BU270=""),"",IFERROR(IF($K270="%",BU270-BT270,BU270/BT270-1),""))</f>
        <v/>
      </c>
      <c r="BW270" s="5" t="str">
        <f aca="false">IF(OR(BT270="",BU270=""),"",IF($F270="Maior Melhor",IF(BU270&gt;=BT270,"Sim","Não"),IF(BU270&lt;=BT270,"Sim","Não")))</f>
        <v/>
      </c>
      <c r="BX270" s="10"/>
      <c r="BY270" s="10"/>
      <c r="BZ270" s="4" t="str">
        <f aca="false">IF(OR(BX270="",BY270=""),"",IFERROR(IF($K270="%",BY270-BX270,BY270/BX270-1),""))</f>
        <v/>
      </c>
      <c r="CA270" s="5" t="str">
        <f aca="false">IF(OR(BX270="",BY270=""),"",IF($F270="Maior Melhor",IF(BY270&gt;=BX270,"Sim","Não"),IF(BY270&lt;=BX270,"Sim","Não")))</f>
        <v/>
      </c>
      <c r="CB270" s="10"/>
      <c r="CC270" s="10"/>
      <c r="CD270" s="4" t="str">
        <f aca="false">IF(OR(CB270="",CC270=""),"",IFERROR(IF($K270="%",CC270-CB270,CC270/CB270-1),""))</f>
        <v/>
      </c>
      <c r="CE270" s="5" t="str">
        <f aca="false">IF(OR(CB270="",CC270=""),"",IF($F270="Maior Melhor",IF(CC270&gt;=CB270,"Sim","Não"),IF(CC270&lt;=CB270,"Sim","Não")))</f>
        <v/>
      </c>
      <c r="CF270" s="10"/>
      <c r="CG270" s="10"/>
      <c r="CH270" s="4" t="str">
        <f aca="false">IF(OR(CF270="",CG270=""),"",IFERROR(IF($K270="%",CG270-CF270,CG270/CF270-1),""))</f>
        <v/>
      </c>
      <c r="CI270" s="5" t="str">
        <f aca="false">IF(OR(CF270="",CG270=""),"",IF($F270="Maior Melhor",IF(CG270&gt;=CF270,"Sim","Não"),IF(CG270&lt;=CF270,"Sim","Não")))</f>
        <v/>
      </c>
      <c r="CJ270" s="10"/>
      <c r="CK270" s="10"/>
      <c r="CL270" s="4" t="str">
        <f aca="false">IF(OR(CJ270="",CK270=""),"",IFERROR(IF($K270="%",CK270-CJ270,CK270/CJ270-1),""))</f>
        <v/>
      </c>
      <c r="CM270" s="5" t="str">
        <f aca="false">IF(OR(CJ270="",CK270=""),"",IF($F270="Maior Melhor",IF(CK270&gt;=CJ270,"Sim","Não"),IF(CK270&lt;=CJ270,"Sim","Não")))</f>
        <v/>
      </c>
      <c r="CN270" s="10"/>
      <c r="CO270" s="10"/>
      <c r="CP270" s="4" t="str">
        <f aca="false">IF(OR(CN270="",CO270=""),"",IFERROR(IF($K270="%",CO270-CN270,CO270/CN270-1),""))</f>
        <v/>
      </c>
      <c r="CQ270" s="5" t="str">
        <f aca="false">IF(OR(CN270="",CO270=""),"",IF($F270="Maior Melhor",IF(CO270&gt;=CN270,"Sim","Não"),IF(CO270&lt;=CN270,"Sim","Não")))</f>
        <v/>
      </c>
      <c r="CR270" s="2" t="s">
        <v>105</v>
      </c>
    </row>
    <row r="271" customFormat="false" ht="15" hidden="false" customHeight="false" outlineLevel="0" collapsed="false">
      <c r="A271" s="2" t="s">
        <v>151</v>
      </c>
      <c r="B271" s="2" t="s">
        <v>110</v>
      </c>
      <c r="C271" s="2" t="s">
        <v>110</v>
      </c>
      <c r="D271" s="2" t="s">
        <v>185</v>
      </c>
      <c r="E271" s="2" t="str">
        <f aca="false">C271&amp;D271</f>
        <v>Sup OesteOPEX MSO</v>
      </c>
      <c r="F271" s="2" t="s">
        <v>167</v>
      </c>
      <c r="G271" s="2" t="s">
        <v>186</v>
      </c>
      <c r="H271" s="2" t="s">
        <v>102</v>
      </c>
      <c r="I271" s="2" t="s">
        <v>169</v>
      </c>
      <c r="J271" s="2" t="n">
        <v>3</v>
      </c>
      <c r="K271" s="2" t="s">
        <v>187</v>
      </c>
      <c r="L271" s="9" t="n">
        <v>1807598</v>
      </c>
      <c r="M271" s="9" t="n">
        <v>1833407.46</v>
      </c>
      <c r="N271" s="4" t="n">
        <f aca="false">IF(OR(L271="",M271=""),"",IFERROR(IF($K271="%",M271-L271,M271/L271-1),""))</f>
        <v>0.0142783185199364</v>
      </c>
      <c r="O271" s="5" t="str">
        <f aca="false">IF(OR(L271="",M271=""),"",IF($F271="Maior Melhor",IF(M271&gt;=L271,"Sim","Não"),IF(M271&lt;=L271,"Sim","Não")))</f>
        <v>Não</v>
      </c>
      <c r="P271" s="9" t="n">
        <v>1971875</v>
      </c>
      <c r="Q271" s="9" t="n">
        <v>2378301.54</v>
      </c>
      <c r="R271" s="4" t="n">
        <f aca="false">IF(OR(P271="",Q271=""),"",IFERROR(IF($K271="%",Q271-P271,Q271/P271-1),""))</f>
        <v>0.206111716006339</v>
      </c>
      <c r="S271" s="5" t="str">
        <f aca="false">IF(OR(P271="",Q271=""),"",IF($F271="Maior Melhor",IF(Q271&gt;=P271,"Sim","Não"),IF(Q271&lt;=P271,"Sim","Não")))</f>
        <v>Não</v>
      </c>
      <c r="T271" s="9" t="n">
        <v>1596262.49</v>
      </c>
      <c r="U271" s="9" t="n">
        <v>1838631.15</v>
      </c>
      <c r="V271" s="4" t="n">
        <f aca="false">IF(OR(T271="",U271=""),"",IFERROR(IF($K271="%",U271-T271,U271/T271-1),""))</f>
        <v>0.151835090731224</v>
      </c>
      <c r="W271" s="5" t="str">
        <f aca="false">IF(OR(T271="",U271=""),"",IF($F271="Maior Melhor",IF(U271&gt;=T271,"Sim","Não"),IF(U271&lt;=T271,"Sim","Não")))</f>
        <v>Não</v>
      </c>
      <c r="X271" s="9" t="n">
        <v>1544228</v>
      </c>
      <c r="Y271" s="9" t="n">
        <v>2594584.96</v>
      </c>
      <c r="Z271" s="4" t="n">
        <f aca="false">IF(OR(X271="",Y271=""),"",IFERROR(IF($K271="%",Y271-X271,Y271/X271-1),""))</f>
        <v>0.680182563714684</v>
      </c>
      <c r="AA271" s="5" t="str">
        <f aca="false">IF(OR(X271="",Y271=""),"",IF($F271="Maior Melhor",IF(Y271&gt;=X271,"Sim","Não"),IF(Y271&lt;=X271,"Sim","Não")))</f>
        <v>Não</v>
      </c>
      <c r="AB271" s="9" t="n">
        <v>6919959</v>
      </c>
      <c r="AC271" s="9" t="n">
        <v>8645182.48</v>
      </c>
      <c r="AD271" s="4" t="n">
        <f aca="false">IF(OR(AB271="",AC271=""),"",IFERROR(IF($K271="%",AC271-AB271,AC271/AB271-1),""))</f>
        <v>0.249311228578089</v>
      </c>
      <c r="AE271" s="5" t="str">
        <f aca="false">IF(OR(AB271="",AC271=""),"",IF($F271="Maior Melhor",IF(AC271&gt;=AB271,"Sim","Não"),IF(AC271&lt;=AB271,"Sim","Não")))</f>
        <v>Não</v>
      </c>
      <c r="AF271" s="9" t="n">
        <v>1618744</v>
      </c>
      <c r="AG271" s="9" t="n">
        <v>2466768.16</v>
      </c>
      <c r="AH271" s="4" t="n">
        <f aca="false">IF(OR(AF271="",AG271=""),"",IFERROR(IF($K271="%",AG271-AF271,AG271/AF271-1),""))</f>
        <v>0.523877870744232</v>
      </c>
      <c r="AI271" s="5" t="str">
        <f aca="false">IF(OR(AF271="",AG271=""),"",IF($F271="Maior Melhor",IF(AG271&gt;=AF271,"Sim","Não"),IF(AG271&lt;=AF271,"Sim","Não")))</f>
        <v>Não</v>
      </c>
      <c r="AJ271" s="9" t="n">
        <v>8538703</v>
      </c>
      <c r="AK271" s="9" t="n">
        <v>11111950.64</v>
      </c>
      <c r="AL271" s="4" t="n">
        <f aca="false">IF(OR(AJ271="",AK271=""),"",IFERROR(IF($K271="%",AK271-AJ271,AK271/AJ271-1),""))</f>
        <v>0.301362822901792</v>
      </c>
      <c r="AM271" s="5" t="str">
        <f aca="false">IF(OR(AJ271="",AK271=""),"",IF($F271="Maior Melhor",IF(AK271&gt;=AJ271,"Sim","Não"),IF(AK271&lt;=AJ271,"Sim","Não")))</f>
        <v>Não</v>
      </c>
      <c r="AN271" s="9" t="n">
        <v>1611614.24</v>
      </c>
      <c r="AO271" s="9" t="n">
        <v>1572949.95</v>
      </c>
      <c r="AP271" s="4" t="n">
        <f aca="false">IF(OR(AN271="",AO271=""),"",IFERROR(IF($K271="%",AO271-AN271,AO271/AN271-1),""))</f>
        <v>-0.023991032742426</v>
      </c>
      <c r="AQ271" s="5" t="str">
        <f aca="false">IF(OR(AN271="",AO271=""),"",IF($F271="Maior Melhor",IF(AO271&gt;=AN271,"Sim","Não"),IF(AO271&lt;=AN271,"Sim","Não")))</f>
        <v>Sim</v>
      </c>
      <c r="AR271" s="9" t="n">
        <v>10150326.69</v>
      </c>
      <c r="AS271" s="9" t="n">
        <v>12685868.64</v>
      </c>
      <c r="AT271" s="4" t="n">
        <f aca="false">IF(OR(AR271="",AS271=""),"",IFERROR(IF($K271="%",AS271-AR271,AS271/AR271-1),""))</f>
        <v>0.249799048586091</v>
      </c>
      <c r="AU271" s="5" t="str">
        <f aca="false">IF(OR(AR271="",AS271=""),"",IF($F271="Maior Melhor",IF(AS271&gt;=AR271,"Sim","Não"),IF(AS271&lt;=AR271,"Sim","Não")))</f>
        <v>Não</v>
      </c>
      <c r="AV271" s="9" t="n">
        <v>1578246.66</v>
      </c>
      <c r="AW271" s="9" t="n">
        <v>1813104.93</v>
      </c>
      <c r="AX271" s="4" t="n">
        <f aca="false">IF(OR(AV271="",AW271=""),"",IFERROR(IF($K271="%",AW271-AV271,AW271/AV271-1),""))</f>
        <v>0.148809610026357</v>
      </c>
      <c r="AY271" s="5" t="str">
        <f aca="false">IF(OR(AV271="",AW271=""),"",IF($F271="Maior Melhor",IF(AW271&gt;=AV271,"Sim","Não"),IF(AW271&lt;=AV271,"Sim","Não")))</f>
        <v>Não</v>
      </c>
      <c r="AZ271" s="9" t="n">
        <v>11728573.35</v>
      </c>
      <c r="BA271" s="9" t="n">
        <v>14498973.57</v>
      </c>
      <c r="BB271" s="4" t="n">
        <f aca="false">IF(OR(AZ271="",BA271=""),"",IFERROR(IF($K271="%",BA271-AZ271,BA271/AZ271-1),""))</f>
        <v>0.236209480669702</v>
      </c>
      <c r="BC271" s="5" t="str">
        <f aca="false">IF(OR(AZ271="",BA271=""),"",IF($F271="Maior Melhor",IF(BA271&gt;=AZ271,"Sim","Não"),IF(BA271&lt;=AZ271,"Sim","Não")))</f>
        <v>Não</v>
      </c>
      <c r="BD271" s="9" t="n">
        <v>1824728.03</v>
      </c>
      <c r="BE271" s="9" t="n">
        <v>1633477.86</v>
      </c>
      <c r="BF271" s="4" t="n">
        <f aca="false">IF(OR(BD271="",BE271=""),"",IFERROR(IF($K271="%",BE271-BD271,BE271/BD271-1),""))</f>
        <v>-0.10481023300771</v>
      </c>
      <c r="BG271" s="5" t="str">
        <f aca="false">IF(OR(BD271="",BE271=""),"",IF($F271="Maior Melhor",IF(BE271&gt;=BD271,"Sim","Não"),IF(BE271&lt;=BD271,"Sim","Não")))</f>
        <v>Sim</v>
      </c>
      <c r="BH271" s="9" t="n">
        <v>13553301.38</v>
      </c>
      <c r="BI271" s="9" t="n">
        <v>16132451.43</v>
      </c>
      <c r="BJ271" s="4" t="n">
        <f aca="false">IF(OR(BH271="",BI271=""),"",IFERROR(IF($K271="%",BI271-BH271,BI271/BH271-1),""))</f>
        <v>0.190296812391845</v>
      </c>
      <c r="BK271" s="5" t="str">
        <f aca="false">IF(OR(BH271="",BI271=""),"",IF($F271="Maior Melhor",IF(BI271&gt;=BH271,"Sim","Não"),IF(BI271&lt;=BH271,"Sim","Não")))</f>
        <v>Não</v>
      </c>
      <c r="BL271" s="10"/>
      <c r="BM271" s="10"/>
      <c r="BN271" s="4" t="str">
        <f aca="false">IF(OR(BL271="",BM271=""),"",IFERROR(IF($K271="%",BM271-BL271,BM271/BL271-1),""))</f>
        <v/>
      </c>
      <c r="BO271" s="5" t="str">
        <f aca="false">IF(OR(BL271="",BM271=""),"",IF($F271="Maior Melhor",IF(BM271&gt;=BL271,"Sim","Não"),IF(BM271&lt;=BL271,"Sim","Não")))</f>
        <v/>
      </c>
      <c r="BP271" s="10"/>
      <c r="BQ271" s="10"/>
      <c r="BR271" s="4" t="str">
        <f aca="false">IF(OR(BP271="",BQ271=""),"",IFERROR(IF($K271="%",BQ271-BP271,BQ271/BP271-1),""))</f>
        <v/>
      </c>
      <c r="BS271" s="5" t="str">
        <f aca="false">IF(OR(BP271="",BQ271=""),"",IF($F271="Maior Melhor",IF(BQ271&gt;=BP271,"Sim","Não"),IF(BQ271&lt;=BP271,"Sim","Não")))</f>
        <v/>
      </c>
      <c r="BT271" s="10"/>
      <c r="BU271" s="10"/>
      <c r="BV271" s="4" t="str">
        <f aca="false">IF(OR(BT271="",BU271=""),"",IFERROR(IF($K271="%",BU271-BT271,BU271/BT271-1),""))</f>
        <v/>
      </c>
      <c r="BW271" s="5" t="str">
        <f aca="false">IF(OR(BT271="",BU271=""),"",IF($F271="Maior Melhor",IF(BU271&gt;=BT271,"Sim","Não"),IF(BU271&lt;=BT271,"Sim","Não")))</f>
        <v/>
      </c>
      <c r="BX271" s="10"/>
      <c r="BY271" s="10"/>
      <c r="BZ271" s="4" t="str">
        <f aca="false">IF(OR(BX271="",BY271=""),"",IFERROR(IF($K271="%",BY271-BX271,BY271/BX271-1),""))</f>
        <v/>
      </c>
      <c r="CA271" s="5" t="str">
        <f aca="false">IF(OR(BX271="",BY271=""),"",IF($F271="Maior Melhor",IF(BY271&gt;=BX271,"Sim","Não"),IF(BY271&lt;=BX271,"Sim","Não")))</f>
        <v/>
      </c>
      <c r="CB271" s="10"/>
      <c r="CC271" s="10"/>
      <c r="CD271" s="4" t="str">
        <f aca="false">IF(OR(CB271="",CC271=""),"",IFERROR(IF($K271="%",CC271-CB271,CC271/CB271-1),""))</f>
        <v/>
      </c>
      <c r="CE271" s="5" t="str">
        <f aca="false">IF(OR(CB271="",CC271=""),"",IF($F271="Maior Melhor",IF(CC271&gt;=CB271,"Sim","Não"),IF(CC271&lt;=CB271,"Sim","Não")))</f>
        <v/>
      </c>
      <c r="CF271" s="10"/>
      <c r="CG271" s="10"/>
      <c r="CH271" s="4" t="str">
        <f aca="false">IF(OR(CF271="",CG271=""),"",IFERROR(IF($K271="%",CG271-CF271,CG271/CF271-1),""))</f>
        <v/>
      </c>
      <c r="CI271" s="5" t="str">
        <f aca="false">IF(OR(CF271="",CG271=""),"",IF($F271="Maior Melhor",IF(CG271&gt;=CF271,"Sim","Não"),IF(CG271&lt;=CF271,"Sim","Não")))</f>
        <v/>
      </c>
      <c r="CJ271" s="10"/>
      <c r="CK271" s="10"/>
      <c r="CL271" s="4" t="str">
        <f aca="false">IF(OR(CJ271="",CK271=""),"",IFERROR(IF($K271="%",CK271-CJ271,CK271/CJ271-1),""))</f>
        <v/>
      </c>
      <c r="CM271" s="5" t="str">
        <f aca="false">IF(OR(CJ271="",CK271=""),"",IF($F271="Maior Melhor",IF(CK271&gt;=CJ271,"Sim","Não"),IF(CK271&lt;=CJ271,"Sim","Não")))</f>
        <v/>
      </c>
      <c r="CN271" s="10"/>
      <c r="CO271" s="10"/>
      <c r="CP271" s="4" t="str">
        <f aca="false">IF(OR(CN271="",CO271=""),"",IFERROR(IF($K271="%",CO271-CN271,CO271/CN271-1),""))</f>
        <v/>
      </c>
      <c r="CQ271" s="5" t="str">
        <f aca="false">IF(OR(CN271="",CO271=""),"",IF($F271="Maior Melhor",IF(CO271&gt;=CN271,"Sim","Não"),IF(CO271&lt;=CN271,"Sim","Não")))</f>
        <v/>
      </c>
      <c r="CR271" s="2" t="s">
        <v>188</v>
      </c>
    </row>
    <row r="272" customFormat="false" ht="15" hidden="false" customHeight="false" outlineLevel="0" collapsed="false">
      <c r="A272" s="2" t="s">
        <v>96</v>
      </c>
      <c r="B272" s="2" t="s">
        <v>97</v>
      </c>
      <c r="C272" s="2" t="s">
        <v>98</v>
      </c>
      <c r="D272" s="2" t="s">
        <v>189</v>
      </c>
      <c r="E272" s="2" t="str">
        <f aca="false">C272&amp;D272</f>
        <v>Gerência Centro OesteQualidade do TOI</v>
      </c>
      <c r="F272" s="2" t="s">
        <v>100</v>
      </c>
      <c r="G272" s="2" t="s">
        <v>190</v>
      </c>
      <c r="H272" s="2" t="s">
        <v>102</v>
      </c>
      <c r="I272" s="2" t="s">
        <v>103</v>
      </c>
      <c r="J272" s="2" t="n">
        <v>2</v>
      </c>
      <c r="K272" s="2" t="s">
        <v>191</v>
      </c>
      <c r="L272" s="11" t="n">
        <v>8.2</v>
      </c>
      <c r="M272" s="11" t="n">
        <v>8.9</v>
      </c>
      <c r="N272" s="4" t="n">
        <f aca="false">IF(OR(L272="",M272=""),"",IFERROR(IF($K272="%",M272-L272,M272/L272-1),""))</f>
        <v>0.0853658536585367</v>
      </c>
      <c r="O272" s="5" t="str">
        <f aca="false">IF(OR(L272="",M272=""),"",IF($F272="Maior Melhor",IF(M272&gt;=L272,"Sim","Não"),IF(M272&lt;=L272,"Sim","Não")))</f>
        <v>Sim</v>
      </c>
      <c r="P272" s="11" t="n">
        <v>8.2</v>
      </c>
      <c r="Q272" s="11" t="n">
        <v>9.9</v>
      </c>
      <c r="R272" s="4" t="n">
        <f aca="false">IF(OR(P272="",Q272=""),"",IFERROR(IF($K272="%",Q272-P272,Q272/P272-1),""))</f>
        <v>0.207317073170732</v>
      </c>
      <c r="S272" s="5" t="str">
        <f aca="false">IF(OR(P272="",Q272=""),"",IF($F272="Maior Melhor",IF(Q272&gt;=P272,"Sim","Não"),IF(Q272&lt;=P272,"Sim","Não")))</f>
        <v>Sim</v>
      </c>
      <c r="T272" s="11" t="n">
        <v>8.2</v>
      </c>
      <c r="U272" s="11" t="n">
        <v>7.3</v>
      </c>
      <c r="V272" s="4" t="n">
        <f aca="false">IF(OR(T272="",U272=""),"",IFERROR(IF($K272="%",U272-T272,U272/T272-1),""))</f>
        <v>-0.109756097560976</v>
      </c>
      <c r="W272" s="5" t="str">
        <f aca="false">IF(OR(T272="",U272=""),"",IF($F272="Maior Melhor",IF(U272&gt;=T272,"Sim","Não"),IF(U272&lt;=T272,"Sim","Não")))</f>
        <v>Não</v>
      </c>
      <c r="X272" s="11" t="n">
        <v>8.2</v>
      </c>
      <c r="Y272" s="11" t="n">
        <v>8.8</v>
      </c>
      <c r="Z272" s="4" t="n">
        <f aca="false">IF(OR(X272="",Y272=""),"",IFERROR(IF($K272="%",Y272-X272,Y272/X272-1),""))</f>
        <v>0.0731707317073174</v>
      </c>
      <c r="AA272" s="5" t="str">
        <f aca="false">IF(OR(X272="",Y272=""),"",IF($F272="Maior Melhor",IF(Y272&gt;=X272,"Sim","Não"),IF(Y272&lt;=X272,"Sim","Não")))</f>
        <v>Sim</v>
      </c>
      <c r="AB272" s="11" t="n">
        <v>8.2</v>
      </c>
      <c r="AC272" s="11" t="n">
        <v>8.7</v>
      </c>
      <c r="AD272" s="4" t="n">
        <f aca="false">IF(OR(AB272="",AC272=""),"",IFERROR(IF($K272="%",AC272-AB272,AC272/AB272-1),""))</f>
        <v>0.0609756097560976</v>
      </c>
      <c r="AE272" s="5" t="str">
        <f aca="false">IF(OR(AB272="",AC272=""),"",IF($F272="Maior Melhor",IF(AC272&gt;=AB272,"Sim","Não"),IF(AC272&lt;=AB272,"Sim","Não")))</f>
        <v>Sim</v>
      </c>
      <c r="AF272" s="11" t="n">
        <v>8.2</v>
      </c>
      <c r="AG272" s="11" t="n">
        <v>10</v>
      </c>
      <c r="AH272" s="4" t="n">
        <f aca="false">IF(OR(AF272="",AG272=""),"",IFERROR(IF($K272="%",AG272-AF272,AG272/AF272-1),""))</f>
        <v>0.219512195121951</v>
      </c>
      <c r="AI272" s="5" t="str">
        <f aca="false">IF(OR(AF272="",AG272=""),"",IF($F272="Maior Melhor",IF(AG272&gt;=AF272,"Sim","Não"),IF(AG272&lt;=AF272,"Sim","Não")))</f>
        <v>Sim</v>
      </c>
      <c r="AJ272" s="11" t="n">
        <v>8.2</v>
      </c>
      <c r="AK272" s="11" t="n">
        <v>9</v>
      </c>
      <c r="AL272" s="4" t="n">
        <f aca="false">IF(OR(AJ272="",AK272=""),"",IFERROR(IF($K272="%",AK272-AJ272,AK272/AJ272-1),""))</f>
        <v>0.0975609756097562</v>
      </c>
      <c r="AM272" s="5" t="str">
        <f aca="false">IF(OR(AJ272="",AK272=""),"",IF($F272="Maior Melhor",IF(AK272&gt;=AJ272,"Sim","Não"),IF(AK272&lt;=AJ272,"Sim","Não")))</f>
        <v>Sim</v>
      </c>
      <c r="AN272" s="11" t="n">
        <v>8.2</v>
      </c>
      <c r="AO272" s="11" t="n">
        <v>9.1</v>
      </c>
      <c r="AP272" s="4" t="n">
        <f aca="false">IF(OR(AN272="",AO272=""),"",IFERROR(IF($K272="%",AO272-AN272,AO272/AN272-1),""))</f>
        <v>0.109756097560976</v>
      </c>
      <c r="AQ272" s="5" t="str">
        <f aca="false">IF(OR(AN272="",AO272=""),"",IF($F272="Maior Melhor",IF(AO272&gt;=AN272,"Sim","Não"),IF(AO272&lt;=AN272,"Sim","Não")))</f>
        <v>Sim</v>
      </c>
      <c r="AR272" s="11" t="n">
        <v>8.2</v>
      </c>
      <c r="AS272" s="11" t="n">
        <v>9.1</v>
      </c>
      <c r="AT272" s="4" t="n">
        <f aca="false">IF(OR(AR272="",AS272=""),"",IFERROR(IF($K272="%",AS272-AR272,AS272/AR272-1),""))</f>
        <v>0.109756097560976</v>
      </c>
      <c r="AU272" s="5" t="str">
        <f aca="false">IF(OR(AR272="",AS272=""),"",IF($F272="Maior Melhor",IF(AS272&gt;=AR272,"Sim","Não"),IF(AS272&lt;=AR272,"Sim","Não")))</f>
        <v>Sim</v>
      </c>
      <c r="AV272" s="11" t="n">
        <v>8.2</v>
      </c>
      <c r="AW272" s="11" t="n">
        <v>10</v>
      </c>
      <c r="AX272" s="4" t="n">
        <f aca="false">IF(OR(AV272="",AW272=""),"",IFERROR(IF($K272="%",AW272-AV272,AW272/AV272-1),""))</f>
        <v>0.219512195121951</v>
      </c>
      <c r="AY272" s="5" t="str">
        <f aca="false">IF(OR(AV272="",AW272=""),"",IF($F272="Maior Melhor",IF(AW272&gt;=AV272,"Sim","Não"),IF(AW272&lt;=AV272,"Sim","Não")))</f>
        <v>Sim</v>
      </c>
      <c r="AZ272" s="11" t="n">
        <v>8.2</v>
      </c>
      <c r="BA272" s="11" t="n">
        <v>9.2</v>
      </c>
      <c r="BB272" s="4" t="n">
        <f aca="false">IF(OR(AZ272="",BA272=""),"",IFERROR(IF($K272="%",BA272-AZ272,BA272/AZ272-1),""))</f>
        <v>0.121951219512195</v>
      </c>
      <c r="BC272" s="5" t="str">
        <f aca="false">IF(OR(AZ272="",BA272=""),"",IF($F272="Maior Melhor",IF(BA272&gt;=AZ272,"Sim","Não"),IF(BA272&lt;=AZ272,"Sim","Não")))</f>
        <v>Sim</v>
      </c>
      <c r="BD272" s="11" t="n">
        <v>8.2</v>
      </c>
      <c r="BE272" s="11" t="n">
        <v>10</v>
      </c>
      <c r="BF272" s="4" t="n">
        <f aca="false">IF(OR(BD272="",BE272=""),"",IFERROR(IF($K272="%",BE272-BD272,BE272/BD272-1),""))</f>
        <v>0.219512195121951</v>
      </c>
      <c r="BG272" s="5" t="str">
        <f aca="false">IF(OR(BD272="",BE272=""),"",IF($F272="Maior Melhor",IF(BE272&gt;=BD272,"Sim","Não"),IF(BE272&lt;=BD272,"Sim","Não")))</f>
        <v>Sim</v>
      </c>
      <c r="BH272" s="11" t="n">
        <v>8.2</v>
      </c>
      <c r="BI272" s="11" t="n">
        <v>9.3</v>
      </c>
      <c r="BJ272" s="4" t="n">
        <f aca="false">IF(OR(BH272="",BI272=""),"",IFERROR(IF($K272="%",BI272-BH272,BI272/BH272-1),""))</f>
        <v>0.134146341463415</v>
      </c>
      <c r="BK272" s="5" t="str">
        <f aca="false">IF(OR(BH272="",BI272=""),"",IF($F272="Maior Melhor",IF(BI272&gt;=BH272,"Sim","Não"),IF(BI272&lt;=BH272,"Sim","Não")))</f>
        <v>Sim</v>
      </c>
      <c r="BL272" s="12"/>
      <c r="BM272" s="12"/>
      <c r="BN272" s="4" t="str">
        <f aca="false">IF(OR(BL272="",BM272=""),"",IFERROR(IF($K272="%",BM272-BL272,BM272/BL272-1),""))</f>
        <v/>
      </c>
      <c r="BO272" s="5" t="str">
        <f aca="false">IF(OR(BL272="",BM272=""),"",IF($F272="Maior Melhor",IF(BM272&gt;=BL272,"Sim","Não"),IF(BM272&lt;=BL272,"Sim","Não")))</f>
        <v/>
      </c>
      <c r="BP272" s="12"/>
      <c r="BQ272" s="12"/>
      <c r="BR272" s="4" t="str">
        <f aca="false">IF(OR(BP272="",BQ272=""),"",IFERROR(IF($K272="%",BQ272-BP272,BQ272/BP272-1),""))</f>
        <v/>
      </c>
      <c r="BS272" s="5" t="str">
        <f aca="false">IF(OR(BP272="",BQ272=""),"",IF($F272="Maior Melhor",IF(BQ272&gt;=BP272,"Sim","Não"),IF(BQ272&lt;=BP272,"Sim","Não")))</f>
        <v/>
      </c>
      <c r="BT272" s="12"/>
      <c r="BU272" s="12"/>
      <c r="BV272" s="4" t="str">
        <f aca="false">IF(OR(BT272="",BU272=""),"",IFERROR(IF($K272="%",BU272-BT272,BU272/BT272-1),""))</f>
        <v/>
      </c>
      <c r="BW272" s="5" t="str">
        <f aca="false">IF(OR(BT272="",BU272=""),"",IF($F272="Maior Melhor",IF(BU272&gt;=BT272,"Sim","Não"),IF(BU272&lt;=BT272,"Sim","Não")))</f>
        <v/>
      </c>
      <c r="BX272" s="12"/>
      <c r="BY272" s="12"/>
      <c r="BZ272" s="4" t="str">
        <f aca="false">IF(OR(BX272="",BY272=""),"",IFERROR(IF($K272="%",BY272-BX272,BY272/BX272-1),""))</f>
        <v/>
      </c>
      <c r="CA272" s="5" t="str">
        <f aca="false">IF(OR(BX272="",BY272=""),"",IF($F272="Maior Melhor",IF(BY272&gt;=BX272,"Sim","Não"),IF(BY272&lt;=BX272,"Sim","Não")))</f>
        <v/>
      </c>
      <c r="CB272" s="12"/>
      <c r="CC272" s="12"/>
      <c r="CD272" s="4" t="str">
        <f aca="false">IF(OR(CB272="",CC272=""),"",IFERROR(IF($K272="%",CC272-CB272,CC272/CB272-1),""))</f>
        <v/>
      </c>
      <c r="CE272" s="5" t="str">
        <f aca="false">IF(OR(CB272="",CC272=""),"",IF($F272="Maior Melhor",IF(CC272&gt;=CB272,"Sim","Não"),IF(CC272&lt;=CB272,"Sim","Não")))</f>
        <v/>
      </c>
      <c r="CF272" s="12"/>
      <c r="CG272" s="12"/>
      <c r="CH272" s="4" t="str">
        <f aca="false">IF(OR(CF272="",CG272=""),"",IFERROR(IF($K272="%",CG272-CF272,CG272/CF272-1),""))</f>
        <v/>
      </c>
      <c r="CI272" s="5" t="str">
        <f aca="false">IF(OR(CF272="",CG272=""),"",IF($F272="Maior Melhor",IF(CG272&gt;=CF272,"Sim","Não"),IF(CG272&lt;=CF272,"Sim","Não")))</f>
        <v/>
      </c>
      <c r="CJ272" s="12"/>
      <c r="CK272" s="12"/>
      <c r="CL272" s="4" t="str">
        <f aca="false">IF(OR(CJ272="",CK272=""),"",IFERROR(IF($K272="%",CK272-CJ272,CK272/CJ272-1),""))</f>
        <v/>
      </c>
      <c r="CM272" s="5" t="str">
        <f aca="false">IF(OR(CJ272="",CK272=""),"",IF($F272="Maior Melhor",IF(CK272&gt;=CJ272,"Sim","Não"),IF(CK272&lt;=CJ272,"Sim","Não")))</f>
        <v/>
      </c>
      <c r="CN272" s="12"/>
      <c r="CO272" s="12"/>
      <c r="CP272" s="4" t="str">
        <f aca="false">IF(OR(CN272="",CO272=""),"",IFERROR(IF($K272="%",CO272-CN272,CO272/CN272-1),""))</f>
        <v/>
      </c>
      <c r="CQ272" s="5" t="str">
        <f aca="false">IF(OR(CN272="",CO272=""),"",IF($F272="Maior Melhor",IF(CO272&gt;=CN272,"Sim","Não"),IF(CO272&lt;=CN272,"Sim","Não")))</f>
        <v/>
      </c>
      <c r="CR272" s="2" t="s">
        <v>105</v>
      </c>
    </row>
    <row r="273" customFormat="false" ht="15" hidden="false" customHeight="false" outlineLevel="0" collapsed="false">
      <c r="A273" s="2" t="s">
        <v>96</v>
      </c>
      <c r="B273" s="2" t="s">
        <v>106</v>
      </c>
      <c r="C273" s="2" t="s">
        <v>107</v>
      </c>
      <c r="D273" s="2" t="s">
        <v>189</v>
      </c>
      <c r="E273" s="2" t="str">
        <f aca="false">C273&amp;D273</f>
        <v>Gerência OesteQualidade do TOI</v>
      </c>
      <c r="F273" s="2" t="s">
        <v>100</v>
      </c>
      <c r="G273" s="2" t="s">
        <v>190</v>
      </c>
      <c r="H273" s="2" t="s">
        <v>102</v>
      </c>
      <c r="I273" s="2" t="s">
        <v>103</v>
      </c>
      <c r="J273" s="2" t="n">
        <v>2</v>
      </c>
      <c r="K273" s="2" t="s">
        <v>191</v>
      </c>
      <c r="L273" s="11" t="n">
        <v>8.2</v>
      </c>
      <c r="M273" s="11" t="n">
        <v>9</v>
      </c>
      <c r="N273" s="4" t="n">
        <f aca="false">IF(OR(L273="",M273=""),"",IFERROR(IF($K273="%",M273-L273,M273/L273-1),""))</f>
        <v>0.0975609756097562</v>
      </c>
      <c r="O273" s="5" t="str">
        <f aca="false">IF(OR(L273="",M273=""),"",IF($F273="Maior Melhor",IF(M273&gt;=L273,"Sim","Não"),IF(M273&lt;=L273,"Sim","Não")))</f>
        <v>Sim</v>
      </c>
      <c r="P273" s="11" t="n">
        <v>8.2</v>
      </c>
      <c r="Q273" s="11" t="n">
        <v>9.9</v>
      </c>
      <c r="R273" s="4" t="n">
        <f aca="false">IF(OR(P273="",Q273=""),"",IFERROR(IF($K273="%",Q273-P273,Q273/P273-1),""))</f>
        <v>0.207317073170732</v>
      </c>
      <c r="S273" s="5" t="str">
        <f aca="false">IF(OR(P273="",Q273=""),"",IF($F273="Maior Melhor",IF(Q273&gt;=P273,"Sim","Não"),IF(Q273&lt;=P273,"Sim","Não")))</f>
        <v>Sim</v>
      </c>
      <c r="T273" s="11" t="n">
        <v>8.2</v>
      </c>
      <c r="U273" s="11" t="n">
        <v>10</v>
      </c>
      <c r="V273" s="4" t="n">
        <f aca="false">IF(OR(T273="",U273=""),"",IFERROR(IF($K273="%",U273-T273,U273/T273-1),""))</f>
        <v>0.219512195121951</v>
      </c>
      <c r="W273" s="5" t="str">
        <f aca="false">IF(OR(T273="",U273=""),"",IF($F273="Maior Melhor",IF(U273&gt;=T273,"Sim","Não"),IF(U273&lt;=T273,"Sim","Não")))</f>
        <v>Sim</v>
      </c>
      <c r="X273" s="11" t="n">
        <v>8.2</v>
      </c>
      <c r="Y273" s="11" t="n">
        <v>9.9</v>
      </c>
      <c r="Z273" s="4" t="n">
        <f aca="false">IF(OR(X273="",Y273=""),"",IFERROR(IF($K273="%",Y273-X273,Y273/X273-1),""))</f>
        <v>0.207317073170732</v>
      </c>
      <c r="AA273" s="5" t="str">
        <f aca="false">IF(OR(X273="",Y273=""),"",IF($F273="Maior Melhor",IF(Y273&gt;=X273,"Sim","Não"),IF(Y273&lt;=X273,"Sim","Não")))</f>
        <v>Sim</v>
      </c>
      <c r="AB273" s="11" t="n">
        <v>8.2</v>
      </c>
      <c r="AC273" s="11" t="n">
        <v>9.7</v>
      </c>
      <c r="AD273" s="4" t="n">
        <f aca="false">IF(OR(AB273="",AC273=""),"",IFERROR(IF($K273="%",AC273-AB273,AC273/AB273-1),""))</f>
        <v>0.182926829268293</v>
      </c>
      <c r="AE273" s="5" t="str">
        <f aca="false">IF(OR(AB273="",AC273=""),"",IF($F273="Maior Melhor",IF(AC273&gt;=AB273,"Sim","Não"),IF(AC273&lt;=AB273,"Sim","Não")))</f>
        <v>Sim</v>
      </c>
      <c r="AF273" s="11" t="n">
        <v>8.2</v>
      </c>
      <c r="AG273" s="11" t="n">
        <v>8.5</v>
      </c>
      <c r="AH273" s="4" t="n">
        <f aca="false">IF(OR(AF273="",AG273=""),"",IFERROR(IF($K273="%",AG273-AF273,AG273/AF273-1),""))</f>
        <v>0.0365853658536586</v>
      </c>
      <c r="AI273" s="5" t="str">
        <f aca="false">IF(OR(AF273="",AG273=""),"",IF($F273="Maior Melhor",IF(AG273&gt;=AF273,"Sim","Não"),IF(AG273&lt;=AF273,"Sim","Não")))</f>
        <v>Sim</v>
      </c>
      <c r="AJ273" s="11" t="n">
        <v>8.2</v>
      </c>
      <c r="AK273" s="11" t="n">
        <v>9.5</v>
      </c>
      <c r="AL273" s="4" t="n">
        <f aca="false">IF(OR(AJ273="",AK273=""),"",IFERROR(IF($K273="%",AK273-AJ273,AK273/AJ273-1),""))</f>
        <v>0.158536585365854</v>
      </c>
      <c r="AM273" s="5" t="str">
        <f aca="false">IF(OR(AJ273="",AK273=""),"",IF($F273="Maior Melhor",IF(AK273&gt;=AJ273,"Sim","Não"),IF(AK273&lt;=AJ273,"Sim","Não")))</f>
        <v>Sim</v>
      </c>
      <c r="AN273" s="11" t="n">
        <v>8.2</v>
      </c>
      <c r="AO273" s="11" t="n">
        <v>10</v>
      </c>
      <c r="AP273" s="4" t="n">
        <f aca="false">IF(OR(AN273="",AO273=""),"",IFERROR(IF($K273="%",AO273-AN273,AO273/AN273-1),""))</f>
        <v>0.219512195121951</v>
      </c>
      <c r="AQ273" s="5" t="str">
        <f aca="false">IF(OR(AN273="",AO273=""),"",IF($F273="Maior Melhor",IF(AO273&gt;=AN273,"Sim","Não"),IF(AO273&lt;=AN273,"Sim","Não")))</f>
        <v>Sim</v>
      </c>
      <c r="AR273" s="11" t="n">
        <v>8.2</v>
      </c>
      <c r="AS273" s="11" t="n">
        <v>9.6</v>
      </c>
      <c r="AT273" s="4" t="n">
        <f aca="false">IF(OR(AR273="",AS273=""),"",IFERROR(IF($K273="%",AS273-AR273,AS273/AR273-1),""))</f>
        <v>0.170731707317073</v>
      </c>
      <c r="AU273" s="5" t="str">
        <f aca="false">IF(OR(AR273="",AS273=""),"",IF($F273="Maior Melhor",IF(AS273&gt;=AR273,"Sim","Não"),IF(AS273&lt;=AR273,"Sim","Não")))</f>
        <v>Sim</v>
      </c>
      <c r="AV273" s="11" t="n">
        <v>8.2</v>
      </c>
      <c r="AW273" s="11" t="n">
        <v>10</v>
      </c>
      <c r="AX273" s="4" t="n">
        <f aca="false">IF(OR(AV273="",AW273=""),"",IFERROR(IF($K273="%",AW273-AV273,AW273/AV273-1),""))</f>
        <v>0.219512195121951</v>
      </c>
      <c r="AY273" s="5" t="str">
        <f aca="false">IF(OR(AV273="",AW273=""),"",IF($F273="Maior Melhor",IF(AW273&gt;=AV273,"Sim","Não"),IF(AW273&lt;=AV273,"Sim","Não")))</f>
        <v>Sim</v>
      </c>
      <c r="AZ273" s="11" t="n">
        <v>8.2</v>
      </c>
      <c r="BA273" s="11" t="n">
        <v>9.6</v>
      </c>
      <c r="BB273" s="4" t="n">
        <f aca="false">IF(OR(AZ273="",BA273=""),"",IFERROR(IF($K273="%",BA273-AZ273,BA273/AZ273-1),""))</f>
        <v>0.170731707317073</v>
      </c>
      <c r="BC273" s="5" t="str">
        <f aca="false">IF(OR(AZ273="",BA273=""),"",IF($F273="Maior Melhor",IF(BA273&gt;=AZ273,"Sim","Não"),IF(BA273&lt;=AZ273,"Sim","Não")))</f>
        <v>Sim</v>
      </c>
      <c r="BD273" s="11" t="n">
        <v>8.2</v>
      </c>
      <c r="BE273" s="11" t="n">
        <v>10</v>
      </c>
      <c r="BF273" s="4" t="n">
        <f aca="false">IF(OR(BD273="",BE273=""),"",IFERROR(IF($K273="%",BE273-BD273,BE273/BD273-1),""))</f>
        <v>0.219512195121951</v>
      </c>
      <c r="BG273" s="5" t="str">
        <f aca="false">IF(OR(BD273="",BE273=""),"",IF($F273="Maior Melhor",IF(BE273&gt;=BD273,"Sim","Não"),IF(BE273&lt;=BD273,"Sim","Não")))</f>
        <v>Sim</v>
      </c>
      <c r="BH273" s="11" t="n">
        <v>8.2</v>
      </c>
      <c r="BI273" s="11" t="n">
        <v>9.7</v>
      </c>
      <c r="BJ273" s="4" t="n">
        <f aca="false">IF(OR(BH273="",BI273=""),"",IFERROR(IF($K273="%",BI273-BH273,BI273/BH273-1),""))</f>
        <v>0.182926829268293</v>
      </c>
      <c r="BK273" s="5" t="str">
        <f aca="false">IF(OR(BH273="",BI273=""),"",IF($F273="Maior Melhor",IF(BI273&gt;=BH273,"Sim","Não"),IF(BI273&lt;=BH273,"Sim","Não")))</f>
        <v>Sim</v>
      </c>
      <c r="BL273" s="12"/>
      <c r="BM273" s="12"/>
      <c r="BN273" s="4" t="str">
        <f aca="false">IF(OR(BL273="",BM273=""),"",IFERROR(IF($K273="%",BM273-BL273,BM273/BL273-1),""))</f>
        <v/>
      </c>
      <c r="BO273" s="5" t="str">
        <f aca="false">IF(OR(BL273="",BM273=""),"",IF($F273="Maior Melhor",IF(BM273&gt;=BL273,"Sim","Não"),IF(BM273&lt;=BL273,"Sim","Não")))</f>
        <v/>
      </c>
      <c r="BP273" s="12"/>
      <c r="BQ273" s="12"/>
      <c r="BR273" s="4" t="str">
        <f aca="false">IF(OR(BP273="",BQ273=""),"",IFERROR(IF($K273="%",BQ273-BP273,BQ273/BP273-1),""))</f>
        <v/>
      </c>
      <c r="BS273" s="5" t="str">
        <f aca="false">IF(OR(BP273="",BQ273=""),"",IF($F273="Maior Melhor",IF(BQ273&gt;=BP273,"Sim","Não"),IF(BQ273&lt;=BP273,"Sim","Não")))</f>
        <v/>
      </c>
      <c r="BT273" s="12"/>
      <c r="BU273" s="12"/>
      <c r="BV273" s="4" t="str">
        <f aca="false">IF(OR(BT273="",BU273=""),"",IFERROR(IF($K273="%",BU273-BT273,BU273/BT273-1),""))</f>
        <v/>
      </c>
      <c r="BW273" s="5" t="str">
        <f aca="false">IF(OR(BT273="",BU273=""),"",IF($F273="Maior Melhor",IF(BU273&gt;=BT273,"Sim","Não"),IF(BU273&lt;=BT273,"Sim","Não")))</f>
        <v/>
      </c>
      <c r="BX273" s="12"/>
      <c r="BY273" s="12"/>
      <c r="BZ273" s="4" t="str">
        <f aca="false">IF(OR(BX273="",BY273=""),"",IFERROR(IF($K273="%",BY273-BX273,BY273/BX273-1),""))</f>
        <v/>
      </c>
      <c r="CA273" s="5" t="str">
        <f aca="false">IF(OR(BX273="",BY273=""),"",IF($F273="Maior Melhor",IF(BY273&gt;=BX273,"Sim","Não"),IF(BY273&lt;=BX273,"Sim","Não")))</f>
        <v/>
      </c>
      <c r="CB273" s="12"/>
      <c r="CC273" s="12"/>
      <c r="CD273" s="4" t="str">
        <f aca="false">IF(OR(CB273="",CC273=""),"",IFERROR(IF($K273="%",CC273-CB273,CC273/CB273-1),""))</f>
        <v/>
      </c>
      <c r="CE273" s="5" t="str">
        <f aca="false">IF(OR(CB273="",CC273=""),"",IF($F273="Maior Melhor",IF(CC273&gt;=CB273,"Sim","Não"),IF(CC273&lt;=CB273,"Sim","Não")))</f>
        <v/>
      </c>
      <c r="CF273" s="12"/>
      <c r="CG273" s="12"/>
      <c r="CH273" s="4" t="str">
        <f aca="false">IF(OR(CF273="",CG273=""),"",IFERROR(IF($K273="%",CG273-CF273,CG273/CF273-1),""))</f>
        <v/>
      </c>
      <c r="CI273" s="5" t="str">
        <f aca="false">IF(OR(CF273="",CG273=""),"",IF($F273="Maior Melhor",IF(CG273&gt;=CF273,"Sim","Não"),IF(CG273&lt;=CF273,"Sim","Não")))</f>
        <v/>
      </c>
      <c r="CJ273" s="12"/>
      <c r="CK273" s="12"/>
      <c r="CL273" s="4" t="str">
        <f aca="false">IF(OR(CJ273="",CK273=""),"",IFERROR(IF($K273="%",CK273-CJ273,CK273/CJ273-1),""))</f>
        <v/>
      </c>
      <c r="CM273" s="5" t="str">
        <f aca="false">IF(OR(CJ273="",CK273=""),"",IF($F273="Maior Melhor",IF(CK273&gt;=CJ273,"Sim","Não"),IF(CK273&lt;=CJ273,"Sim","Não")))</f>
        <v/>
      </c>
      <c r="CN273" s="12"/>
      <c r="CO273" s="12"/>
      <c r="CP273" s="4" t="str">
        <f aca="false">IF(OR(CN273="",CO273=""),"",IFERROR(IF($K273="%",CO273-CN273,CO273/CN273-1),""))</f>
        <v/>
      </c>
      <c r="CQ273" s="5" t="str">
        <f aca="false">IF(OR(CN273="",CO273=""),"",IF($F273="Maior Melhor",IF(CO273&gt;=CN273,"Sim","Não"),IF(CO273&lt;=CN273,"Sim","Não")))</f>
        <v/>
      </c>
      <c r="CR273" s="2" t="s">
        <v>105</v>
      </c>
    </row>
    <row r="274" customFormat="false" ht="15" hidden="false" customHeight="false" outlineLevel="0" collapsed="false">
      <c r="A274" s="2" t="s">
        <v>96</v>
      </c>
      <c r="B274" s="2" t="s">
        <v>108</v>
      </c>
      <c r="C274" s="2" t="s">
        <v>109</v>
      </c>
      <c r="D274" s="2" t="s">
        <v>189</v>
      </c>
      <c r="E274" s="2" t="str">
        <f aca="false">C274&amp;D274</f>
        <v>Gerência SudoesteQualidade do TOI</v>
      </c>
      <c r="F274" s="2" t="s">
        <v>100</v>
      </c>
      <c r="G274" s="2" t="s">
        <v>190</v>
      </c>
      <c r="H274" s="2" t="s">
        <v>102</v>
      </c>
      <c r="I274" s="2" t="s">
        <v>103</v>
      </c>
      <c r="J274" s="2" t="n">
        <v>2</v>
      </c>
      <c r="K274" s="2" t="s">
        <v>191</v>
      </c>
      <c r="L274" s="11" t="n">
        <v>8.2</v>
      </c>
      <c r="M274" s="11" t="n">
        <v>9.1</v>
      </c>
      <c r="N274" s="4" t="n">
        <f aca="false">IF(OR(L274="",M274=""),"",IFERROR(IF($K274="%",M274-L274,M274/L274-1),""))</f>
        <v>0.109756097560976</v>
      </c>
      <c r="O274" s="5" t="str">
        <f aca="false">IF(OR(L274="",M274=""),"",IF($F274="Maior Melhor",IF(M274&gt;=L274,"Sim","Não"),IF(M274&lt;=L274,"Sim","Não")))</f>
        <v>Sim</v>
      </c>
      <c r="P274" s="11" t="n">
        <v>8.2</v>
      </c>
      <c r="Q274" s="11" t="n">
        <v>9.9</v>
      </c>
      <c r="R274" s="4" t="n">
        <f aca="false">IF(OR(P274="",Q274=""),"",IFERROR(IF($K274="%",Q274-P274,Q274/P274-1),""))</f>
        <v>0.207317073170732</v>
      </c>
      <c r="S274" s="5" t="str">
        <f aca="false">IF(OR(P274="",Q274=""),"",IF($F274="Maior Melhor",IF(Q274&gt;=P274,"Sim","Não"),IF(Q274&lt;=P274,"Sim","Não")))</f>
        <v>Sim</v>
      </c>
      <c r="T274" s="11" t="n">
        <v>8.2</v>
      </c>
      <c r="U274" s="11" t="n">
        <v>9.6</v>
      </c>
      <c r="V274" s="4" t="n">
        <f aca="false">IF(OR(T274="",U274=""),"",IFERROR(IF($K274="%",U274-T274,U274/T274-1),""))</f>
        <v>0.170731707317073</v>
      </c>
      <c r="W274" s="5" t="str">
        <f aca="false">IF(OR(T274="",U274=""),"",IF($F274="Maior Melhor",IF(U274&gt;=T274,"Sim","Não"),IF(U274&lt;=T274,"Sim","Não")))</f>
        <v>Sim</v>
      </c>
      <c r="X274" s="11" t="n">
        <v>8.2</v>
      </c>
      <c r="Y274" s="11" t="n">
        <v>9.9</v>
      </c>
      <c r="Z274" s="4" t="n">
        <f aca="false">IF(OR(X274="",Y274=""),"",IFERROR(IF($K274="%",Y274-X274,Y274/X274-1),""))</f>
        <v>0.207317073170732</v>
      </c>
      <c r="AA274" s="5" t="str">
        <f aca="false">IF(OR(X274="",Y274=""),"",IF($F274="Maior Melhor",IF(Y274&gt;=X274,"Sim","Não"),IF(Y274&lt;=X274,"Sim","Não")))</f>
        <v>Sim</v>
      </c>
      <c r="AB274" s="11" t="n">
        <v>8.2</v>
      </c>
      <c r="AC274" s="11" t="n">
        <v>9.6</v>
      </c>
      <c r="AD274" s="4" t="n">
        <f aca="false">IF(OR(AB274="",AC274=""),"",IFERROR(IF($K274="%",AC274-AB274,AC274/AB274-1),""))</f>
        <v>0.170731707317073</v>
      </c>
      <c r="AE274" s="5" t="str">
        <f aca="false">IF(OR(AB274="",AC274=""),"",IF($F274="Maior Melhor",IF(AC274&gt;=AB274,"Sim","Não"),IF(AC274&lt;=AB274,"Sim","Não")))</f>
        <v>Sim</v>
      </c>
      <c r="AF274" s="11" t="n">
        <v>8.2</v>
      </c>
      <c r="AG274" s="11" t="n">
        <v>10</v>
      </c>
      <c r="AH274" s="4" t="n">
        <f aca="false">IF(OR(AF274="",AG274=""),"",IFERROR(IF($K274="%",AG274-AF274,AG274/AF274-1),""))</f>
        <v>0.219512195121951</v>
      </c>
      <c r="AI274" s="5" t="str">
        <f aca="false">IF(OR(AF274="",AG274=""),"",IF($F274="Maior Melhor",IF(AG274&gt;=AF274,"Sim","Não"),IF(AG274&lt;=AF274,"Sim","Não")))</f>
        <v>Sim</v>
      </c>
      <c r="AJ274" s="11" t="n">
        <v>8.2</v>
      </c>
      <c r="AK274" s="11" t="n">
        <v>9.7</v>
      </c>
      <c r="AL274" s="4" t="n">
        <f aca="false">IF(OR(AJ274="",AK274=""),"",IFERROR(IF($K274="%",AK274-AJ274,AK274/AJ274-1),""))</f>
        <v>0.182926829268293</v>
      </c>
      <c r="AM274" s="5" t="str">
        <f aca="false">IF(OR(AJ274="",AK274=""),"",IF($F274="Maior Melhor",IF(AK274&gt;=AJ274,"Sim","Não"),IF(AK274&lt;=AJ274,"Sim","Não")))</f>
        <v>Sim</v>
      </c>
      <c r="AN274" s="11" t="n">
        <v>8.2</v>
      </c>
      <c r="AO274" s="11" t="n">
        <v>9</v>
      </c>
      <c r="AP274" s="4" t="n">
        <f aca="false">IF(OR(AN274="",AO274=""),"",IFERROR(IF($K274="%",AO274-AN274,AO274/AN274-1),""))</f>
        <v>0.0975609756097562</v>
      </c>
      <c r="AQ274" s="5" t="str">
        <f aca="false">IF(OR(AN274="",AO274=""),"",IF($F274="Maior Melhor",IF(AO274&gt;=AN274,"Sim","Não"),IF(AO274&lt;=AN274,"Sim","Não")))</f>
        <v>Sim</v>
      </c>
      <c r="AR274" s="11" t="n">
        <v>8.2</v>
      </c>
      <c r="AS274" s="11" t="n">
        <v>9.6</v>
      </c>
      <c r="AT274" s="4" t="n">
        <f aca="false">IF(OR(AR274="",AS274=""),"",IFERROR(IF($K274="%",AS274-AR274,AS274/AR274-1),""))</f>
        <v>0.170731707317073</v>
      </c>
      <c r="AU274" s="5" t="str">
        <f aca="false">IF(OR(AR274="",AS274=""),"",IF($F274="Maior Melhor",IF(AS274&gt;=AR274,"Sim","Não"),IF(AS274&lt;=AR274,"Sim","Não")))</f>
        <v>Sim</v>
      </c>
      <c r="AV274" s="11" t="n">
        <v>8.2</v>
      </c>
      <c r="AW274" s="11" t="n">
        <v>10</v>
      </c>
      <c r="AX274" s="4" t="n">
        <f aca="false">IF(OR(AV274="",AW274=""),"",IFERROR(IF($K274="%",AW274-AV274,AW274/AV274-1),""))</f>
        <v>0.219512195121951</v>
      </c>
      <c r="AY274" s="5" t="str">
        <f aca="false">IF(OR(AV274="",AW274=""),"",IF($F274="Maior Melhor",IF(AW274&gt;=AV274,"Sim","Não"),IF(AW274&lt;=AV274,"Sim","Não")))</f>
        <v>Sim</v>
      </c>
      <c r="AZ274" s="11" t="n">
        <v>8.2</v>
      </c>
      <c r="BA274" s="11" t="n">
        <v>9.7</v>
      </c>
      <c r="BB274" s="4" t="n">
        <f aca="false">IF(OR(AZ274="",BA274=""),"",IFERROR(IF($K274="%",BA274-AZ274,BA274/AZ274-1),""))</f>
        <v>0.182926829268293</v>
      </c>
      <c r="BC274" s="5" t="str">
        <f aca="false">IF(OR(AZ274="",BA274=""),"",IF($F274="Maior Melhor",IF(BA274&gt;=AZ274,"Sim","Não"),IF(BA274&lt;=AZ274,"Sim","Não")))</f>
        <v>Sim</v>
      </c>
      <c r="BD274" s="11" t="n">
        <v>8.2</v>
      </c>
      <c r="BE274" s="11" t="n">
        <v>9.9</v>
      </c>
      <c r="BF274" s="4" t="n">
        <f aca="false">IF(OR(BD274="",BE274=""),"",IFERROR(IF($K274="%",BE274-BD274,BE274/BD274-1),""))</f>
        <v>0.207317073170732</v>
      </c>
      <c r="BG274" s="5" t="str">
        <f aca="false">IF(OR(BD274="",BE274=""),"",IF($F274="Maior Melhor",IF(BE274&gt;=BD274,"Sim","Não"),IF(BE274&lt;=BD274,"Sim","Não")))</f>
        <v>Sim</v>
      </c>
      <c r="BH274" s="11" t="n">
        <v>8.2</v>
      </c>
      <c r="BI274" s="11" t="n">
        <v>9.7</v>
      </c>
      <c r="BJ274" s="4" t="n">
        <f aca="false">IF(OR(BH274="",BI274=""),"",IFERROR(IF($K274="%",BI274-BH274,BI274/BH274-1),""))</f>
        <v>0.182926829268293</v>
      </c>
      <c r="BK274" s="5" t="str">
        <f aca="false">IF(OR(BH274="",BI274=""),"",IF($F274="Maior Melhor",IF(BI274&gt;=BH274,"Sim","Não"),IF(BI274&lt;=BH274,"Sim","Não")))</f>
        <v>Sim</v>
      </c>
      <c r="BL274" s="12"/>
      <c r="BM274" s="12"/>
      <c r="BN274" s="4" t="str">
        <f aca="false">IF(OR(BL274="",BM274=""),"",IFERROR(IF($K274="%",BM274-BL274,BM274/BL274-1),""))</f>
        <v/>
      </c>
      <c r="BO274" s="5" t="str">
        <f aca="false">IF(OR(BL274="",BM274=""),"",IF($F274="Maior Melhor",IF(BM274&gt;=BL274,"Sim","Não"),IF(BM274&lt;=BL274,"Sim","Não")))</f>
        <v/>
      </c>
      <c r="BP274" s="12"/>
      <c r="BQ274" s="12"/>
      <c r="BR274" s="4" t="str">
        <f aca="false">IF(OR(BP274="",BQ274=""),"",IFERROR(IF($K274="%",BQ274-BP274,BQ274/BP274-1),""))</f>
        <v/>
      </c>
      <c r="BS274" s="5" t="str">
        <f aca="false">IF(OR(BP274="",BQ274=""),"",IF($F274="Maior Melhor",IF(BQ274&gt;=BP274,"Sim","Não"),IF(BQ274&lt;=BP274,"Sim","Não")))</f>
        <v/>
      </c>
      <c r="BT274" s="12"/>
      <c r="BU274" s="12"/>
      <c r="BV274" s="4" t="str">
        <f aca="false">IF(OR(BT274="",BU274=""),"",IFERROR(IF($K274="%",BU274-BT274,BU274/BT274-1),""))</f>
        <v/>
      </c>
      <c r="BW274" s="5" t="str">
        <f aca="false">IF(OR(BT274="",BU274=""),"",IF($F274="Maior Melhor",IF(BU274&gt;=BT274,"Sim","Não"),IF(BU274&lt;=BT274,"Sim","Não")))</f>
        <v/>
      </c>
      <c r="BX274" s="12"/>
      <c r="BY274" s="12"/>
      <c r="BZ274" s="4" t="str">
        <f aca="false">IF(OR(BX274="",BY274=""),"",IFERROR(IF($K274="%",BY274-BX274,BY274/BX274-1),""))</f>
        <v/>
      </c>
      <c r="CA274" s="5" t="str">
        <f aca="false">IF(OR(BX274="",BY274=""),"",IF($F274="Maior Melhor",IF(BY274&gt;=BX274,"Sim","Não"),IF(BY274&lt;=BX274,"Sim","Não")))</f>
        <v/>
      </c>
      <c r="CB274" s="12"/>
      <c r="CC274" s="12"/>
      <c r="CD274" s="4" t="str">
        <f aca="false">IF(OR(CB274="",CC274=""),"",IFERROR(IF($K274="%",CC274-CB274,CC274/CB274-1),""))</f>
        <v/>
      </c>
      <c r="CE274" s="5" t="str">
        <f aca="false">IF(OR(CB274="",CC274=""),"",IF($F274="Maior Melhor",IF(CC274&gt;=CB274,"Sim","Não"),IF(CC274&lt;=CB274,"Sim","Não")))</f>
        <v/>
      </c>
      <c r="CF274" s="12"/>
      <c r="CG274" s="12"/>
      <c r="CH274" s="4" t="str">
        <f aca="false">IF(OR(CF274="",CG274=""),"",IFERROR(IF($K274="%",CG274-CF274,CG274/CF274-1),""))</f>
        <v/>
      </c>
      <c r="CI274" s="5" t="str">
        <f aca="false">IF(OR(CF274="",CG274=""),"",IF($F274="Maior Melhor",IF(CG274&gt;=CF274,"Sim","Não"),IF(CG274&lt;=CF274,"Sim","Não")))</f>
        <v/>
      </c>
      <c r="CJ274" s="12"/>
      <c r="CK274" s="12"/>
      <c r="CL274" s="4" t="str">
        <f aca="false">IF(OR(CJ274="",CK274=""),"",IFERROR(IF($K274="%",CK274-CJ274,CK274/CJ274-1),""))</f>
        <v/>
      </c>
      <c r="CM274" s="5" t="str">
        <f aca="false">IF(OR(CJ274="",CK274=""),"",IF($F274="Maior Melhor",IF(CK274&gt;=CJ274,"Sim","Não"),IF(CK274&lt;=CJ274,"Sim","Não")))</f>
        <v/>
      </c>
      <c r="CN274" s="12"/>
      <c r="CO274" s="12"/>
      <c r="CP274" s="4" t="str">
        <f aca="false">IF(OR(CN274="",CO274=""),"",IFERROR(IF($K274="%",CO274-CN274,CO274/CN274-1),""))</f>
        <v/>
      </c>
      <c r="CQ274" s="5" t="str">
        <f aca="false">IF(OR(CN274="",CO274=""),"",IF($F274="Maior Melhor",IF(CO274&gt;=CN274,"Sim","Não"),IF(CO274&lt;=CN274,"Sim","Não")))</f>
        <v/>
      </c>
      <c r="CR274" s="2" t="s">
        <v>105</v>
      </c>
    </row>
    <row r="275" customFormat="false" ht="15" hidden="false" customHeight="false" outlineLevel="0" collapsed="false">
      <c r="A275" s="2" t="s">
        <v>96</v>
      </c>
      <c r="B275" s="2" t="s">
        <v>110</v>
      </c>
      <c r="C275" s="2" t="s">
        <v>110</v>
      </c>
      <c r="D275" s="2" t="s">
        <v>189</v>
      </c>
      <c r="E275" s="2" t="str">
        <f aca="false">C275&amp;D275</f>
        <v>Sup OesteQualidade do TOI</v>
      </c>
      <c r="F275" s="2" t="s">
        <v>100</v>
      </c>
      <c r="G275" s="2" t="s">
        <v>190</v>
      </c>
      <c r="H275" s="2" t="s">
        <v>102</v>
      </c>
      <c r="I275" s="2" t="s">
        <v>103</v>
      </c>
      <c r="J275" s="2" t="n">
        <v>2</v>
      </c>
      <c r="K275" s="2" t="s">
        <v>191</v>
      </c>
      <c r="L275" s="11" t="n">
        <v>8.2</v>
      </c>
      <c r="M275" s="11" t="n">
        <v>9</v>
      </c>
      <c r="N275" s="4" t="n">
        <f aca="false">IF(OR(L275="",M275=""),"",IFERROR(IF($K275="%",M275-L275,M275/L275-1),""))</f>
        <v>0.0975609756097562</v>
      </c>
      <c r="O275" s="5" t="str">
        <f aca="false">IF(OR(L275="",M275=""),"",IF($F275="Maior Melhor",IF(M275&gt;=L275,"Sim","Não"),IF(M275&lt;=L275,"Sim","Não")))</f>
        <v>Sim</v>
      </c>
      <c r="P275" s="11" t="n">
        <v>8.2</v>
      </c>
      <c r="Q275" s="11" t="n">
        <v>9.9</v>
      </c>
      <c r="R275" s="4" t="n">
        <f aca="false">IF(OR(P275="",Q275=""),"",IFERROR(IF($K275="%",Q275-P275,Q275/P275-1),""))</f>
        <v>0.207317073170732</v>
      </c>
      <c r="S275" s="5" t="str">
        <f aca="false">IF(OR(P275="",Q275=""),"",IF($F275="Maior Melhor",IF(Q275&gt;=P275,"Sim","Não"),IF(Q275&lt;=P275,"Sim","Não")))</f>
        <v>Sim</v>
      </c>
      <c r="T275" s="11" t="n">
        <v>8.2</v>
      </c>
      <c r="U275" s="11" t="n">
        <v>10</v>
      </c>
      <c r="V275" s="4" t="n">
        <f aca="false">IF(OR(T275="",U275=""),"",IFERROR(IF($K275="%",U275-T275,U275/T275-1),""))</f>
        <v>0.219512195121951</v>
      </c>
      <c r="W275" s="5" t="str">
        <f aca="false">IF(OR(T275="",U275=""),"",IF($F275="Maior Melhor",IF(U275&gt;=T275,"Sim","Não"),IF(U275&lt;=T275,"Sim","Não")))</f>
        <v>Sim</v>
      </c>
      <c r="X275" s="11" t="n">
        <v>8.2</v>
      </c>
      <c r="Y275" s="11" t="n">
        <v>9.8</v>
      </c>
      <c r="Z275" s="4" t="n">
        <f aca="false">IF(OR(X275="",Y275=""),"",IFERROR(IF($K275="%",Y275-X275,Y275/X275-1),""))</f>
        <v>0.195121951219512</v>
      </c>
      <c r="AA275" s="5" t="str">
        <f aca="false">IF(OR(X275="",Y275=""),"",IF($F275="Maior Melhor",IF(Y275&gt;=X275,"Sim","Não"),IF(Y275&lt;=X275,"Sim","Não")))</f>
        <v>Sim</v>
      </c>
      <c r="AB275" s="11" t="n">
        <v>8.2</v>
      </c>
      <c r="AC275" s="11" t="n">
        <v>9.7</v>
      </c>
      <c r="AD275" s="4" t="n">
        <f aca="false">IF(OR(AB275="",AC275=""),"",IFERROR(IF($K275="%",AC275-AB275,AC275/AB275-1),""))</f>
        <v>0.182926829268293</v>
      </c>
      <c r="AE275" s="5" t="str">
        <f aca="false">IF(OR(AB275="",AC275=""),"",IF($F275="Maior Melhor",IF(AC275&gt;=AB275,"Sim","Não"),IF(AC275&lt;=AB275,"Sim","Não")))</f>
        <v>Sim</v>
      </c>
      <c r="AF275" s="11" t="n">
        <v>8.2</v>
      </c>
      <c r="AG275" s="11" t="n">
        <v>9.5</v>
      </c>
      <c r="AH275" s="4" t="n">
        <f aca="false">IF(OR(AF275="",AG275=""),"",IFERROR(IF($K275="%",AG275-AF275,AG275/AF275-1),""))</f>
        <v>0.158536585365854</v>
      </c>
      <c r="AI275" s="5" t="str">
        <f aca="false">IF(OR(AF275="",AG275=""),"",IF($F275="Maior Melhor",IF(AG275&gt;=AF275,"Sim","Não"),IF(AG275&lt;=AF275,"Sim","Não")))</f>
        <v>Sim</v>
      </c>
      <c r="AJ275" s="11" t="n">
        <v>8.2</v>
      </c>
      <c r="AK275" s="11" t="n">
        <v>9.5</v>
      </c>
      <c r="AL275" s="4" t="n">
        <f aca="false">IF(OR(AJ275="",AK275=""),"",IFERROR(IF($K275="%",AK275-AJ275,AK275/AJ275-1),""))</f>
        <v>0.158536585365854</v>
      </c>
      <c r="AM275" s="5" t="str">
        <f aca="false">IF(OR(AJ275="",AK275=""),"",IF($F275="Maior Melhor",IF(AK275&gt;=AJ275,"Sim","Não"),IF(AK275&lt;=AJ275,"Sim","Não")))</f>
        <v>Sim</v>
      </c>
      <c r="AN275" s="11" t="n">
        <v>8.2</v>
      </c>
      <c r="AO275" s="11" t="n">
        <v>9.2</v>
      </c>
      <c r="AP275" s="4" t="n">
        <f aca="false">IF(OR(AN275="",AO275=""),"",IFERROR(IF($K275="%",AO275-AN275,AO275/AN275-1),""))</f>
        <v>0.121951219512195</v>
      </c>
      <c r="AQ275" s="5" t="str">
        <f aca="false">IF(OR(AN275="",AO275=""),"",IF($F275="Maior Melhor",IF(AO275&gt;=AN275,"Sim","Não"),IF(AO275&lt;=AN275,"Sim","Não")))</f>
        <v>Sim</v>
      </c>
      <c r="AR275" s="11" t="n">
        <v>8.2</v>
      </c>
      <c r="AS275" s="11" t="n">
        <v>9.7</v>
      </c>
      <c r="AT275" s="4" t="n">
        <f aca="false">IF(OR(AR275="",AS275=""),"",IFERROR(IF($K275="%",AS275-AR275,AS275/AR275-1),""))</f>
        <v>0.182926829268293</v>
      </c>
      <c r="AU275" s="5" t="str">
        <f aca="false">IF(OR(AR275="",AS275=""),"",IF($F275="Maior Melhor",IF(AS275&gt;=AR275,"Sim","Não"),IF(AS275&lt;=AR275,"Sim","Não")))</f>
        <v>Sim</v>
      </c>
      <c r="AV275" s="11" t="n">
        <v>8.2</v>
      </c>
      <c r="AW275" s="11" t="n">
        <v>10</v>
      </c>
      <c r="AX275" s="4" t="n">
        <f aca="false">IF(OR(AV275="",AW275=""),"",IFERROR(IF($K275="%",AW275-AV275,AW275/AV275-1),""))</f>
        <v>0.219512195121951</v>
      </c>
      <c r="AY275" s="5" t="str">
        <f aca="false">IF(OR(AV275="",AW275=""),"",IF($F275="Maior Melhor",IF(AW275&gt;=AV275,"Sim","Não"),IF(AW275&lt;=AV275,"Sim","Não")))</f>
        <v>Sim</v>
      </c>
      <c r="AZ275" s="11" t="n">
        <v>8.2</v>
      </c>
      <c r="BA275" s="11" t="n">
        <v>9.7</v>
      </c>
      <c r="BB275" s="4" t="n">
        <f aca="false">IF(OR(AZ275="",BA275=""),"",IFERROR(IF($K275="%",BA275-AZ275,BA275/AZ275-1),""))</f>
        <v>0.182926829268293</v>
      </c>
      <c r="BC275" s="5" t="str">
        <f aca="false">IF(OR(AZ275="",BA275=""),"",IF($F275="Maior Melhor",IF(BA275&gt;=AZ275,"Sim","Não"),IF(BA275&lt;=AZ275,"Sim","Não")))</f>
        <v>Sim</v>
      </c>
      <c r="BD275" s="11" t="n">
        <v>8.2</v>
      </c>
      <c r="BE275" s="11" t="n">
        <v>10</v>
      </c>
      <c r="BF275" s="4" t="n">
        <f aca="false">IF(OR(BD275="",BE275=""),"",IFERROR(IF($K275="%",BE275-BD275,BE275/BD275-1),""))</f>
        <v>0.219512195121951</v>
      </c>
      <c r="BG275" s="5" t="str">
        <f aca="false">IF(OR(BD275="",BE275=""),"",IF($F275="Maior Melhor",IF(BE275&gt;=BD275,"Sim","Não"),IF(BE275&lt;=BD275,"Sim","Não")))</f>
        <v>Sim</v>
      </c>
      <c r="BH275" s="11" t="n">
        <v>8.2</v>
      </c>
      <c r="BI275" s="11" t="n">
        <v>9.8</v>
      </c>
      <c r="BJ275" s="4" t="n">
        <f aca="false">IF(OR(BH275="",BI275=""),"",IFERROR(IF($K275="%",BI275-BH275,BI275/BH275-1),""))</f>
        <v>0.195121951219512</v>
      </c>
      <c r="BK275" s="5" t="str">
        <f aca="false">IF(OR(BH275="",BI275=""),"",IF($F275="Maior Melhor",IF(BI275&gt;=BH275,"Sim","Não"),IF(BI275&lt;=BH275,"Sim","Não")))</f>
        <v>Sim</v>
      </c>
      <c r="BL275" s="12"/>
      <c r="BM275" s="12"/>
      <c r="BN275" s="4" t="str">
        <f aca="false">IF(OR(BL275="",BM275=""),"",IFERROR(IF($K275="%",BM275-BL275,BM275/BL275-1),""))</f>
        <v/>
      </c>
      <c r="BO275" s="5" t="str">
        <f aca="false">IF(OR(BL275="",BM275=""),"",IF($F275="Maior Melhor",IF(BM275&gt;=BL275,"Sim","Não"),IF(BM275&lt;=BL275,"Sim","Não")))</f>
        <v/>
      </c>
      <c r="BP275" s="12"/>
      <c r="BQ275" s="12"/>
      <c r="BR275" s="4" t="str">
        <f aca="false">IF(OR(BP275="",BQ275=""),"",IFERROR(IF($K275="%",BQ275-BP275,BQ275/BP275-1),""))</f>
        <v/>
      </c>
      <c r="BS275" s="5" t="str">
        <f aca="false">IF(OR(BP275="",BQ275=""),"",IF($F275="Maior Melhor",IF(BQ275&gt;=BP275,"Sim","Não"),IF(BQ275&lt;=BP275,"Sim","Não")))</f>
        <v/>
      </c>
      <c r="BT275" s="12"/>
      <c r="BU275" s="12"/>
      <c r="BV275" s="4" t="str">
        <f aca="false">IF(OR(BT275="",BU275=""),"",IFERROR(IF($K275="%",BU275-BT275,BU275/BT275-1),""))</f>
        <v/>
      </c>
      <c r="BW275" s="5" t="str">
        <f aca="false">IF(OR(BT275="",BU275=""),"",IF($F275="Maior Melhor",IF(BU275&gt;=BT275,"Sim","Não"),IF(BU275&lt;=BT275,"Sim","Não")))</f>
        <v/>
      </c>
      <c r="BX275" s="12"/>
      <c r="BY275" s="12"/>
      <c r="BZ275" s="4" t="str">
        <f aca="false">IF(OR(BX275="",BY275=""),"",IFERROR(IF($K275="%",BY275-BX275,BY275/BX275-1),""))</f>
        <v/>
      </c>
      <c r="CA275" s="5" t="str">
        <f aca="false">IF(OR(BX275="",BY275=""),"",IF($F275="Maior Melhor",IF(BY275&gt;=BX275,"Sim","Não"),IF(BY275&lt;=BX275,"Sim","Não")))</f>
        <v/>
      </c>
      <c r="CB275" s="12"/>
      <c r="CC275" s="12"/>
      <c r="CD275" s="4" t="str">
        <f aca="false">IF(OR(CB275="",CC275=""),"",IFERROR(IF($K275="%",CC275-CB275,CC275/CB275-1),""))</f>
        <v/>
      </c>
      <c r="CE275" s="5" t="str">
        <f aca="false">IF(OR(CB275="",CC275=""),"",IF($F275="Maior Melhor",IF(CC275&gt;=CB275,"Sim","Não"),IF(CC275&lt;=CB275,"Sim","Não")))</f>
        <v/>
      </c>
      <c r="CF275" s="12"/>
      <c r="CG275" s="12"/>
      <c r="CH275" s="4" t="str">
        <f aca="false">IF(OR(CF275="",CG275=""),"",IFERROR(IF($K275="%",CG275-CF275,CG275/CF275-1),""))</f>
        <v/>
      </c>
      <c r="CI275" s="5" t="str">
        <f aca="false">IF(OR(CF275="",CG275=""),"",IF($F275="Maior Melhor",IF(CG275&gt;=CF275,"Sim","Não"),IF(CG275&lt;=CF275,"Sim","Não")))</f>
        <v/>
      </c>
      <c r="CJ275" s="12"/>
      <c r="CK275" s="12"/>
      <c r="CL275" s="4" t="str">
        <f aca="false">IF(OR(CJ275="",CK275=""),"",IFERROR(IF($K275="%",CK275-CJ275,CK275/CJ275-1),""))</f>
        <v/>
      </c>
      <c r="CM275" s="5" t="str">
        <f aca="false">IF(OR(CJ275="",CK275=""),"",IF($F275="Maior Melhor",IF(CK275&gt;=CJ275,"Sim","Não"),IF(CK275&lt;=CJ275,"Sim","Não")))</f>
        <v/>
      </c>
      <c r="CN275" s="12"/>
      <c r="CO275" s="12"/>
      <c r="CP275" s="4" t="str">
        <f aca="false">IF(OR(CN275="",CO275=""),"",IFERROR(IF($K275="%",CO275-CN275,CO275/CN275-1),""))</f>
        <v/>
      </c>
      <c r="CQ275" s="5" t="str">
        <f aca="false">IF(OR(CN275="",CO275=""),"",IF($F275="Maior Melhor",IF(CO275&gt;=CN275,"Sim","Não"),IF(CO275&lt;=CN275,"Sim","Não")))</f>
        <v/>
      </c>
      <c r="CR275" s="2" t="s">
        <v>105</v>
      </c>
    </row>
    <row r="276" customFormat="false" ht="15" hidden="false" customHeight="false" outlineLevel="0" collapsed="false">
      <c r="A276" s="2" t="s">
        <v>96</v>
      </c>
      <c r="B276" s="2" t="s">
        <v>106</v>
      </c>
      <c r="C276" s="2" t="s">
        <v>111</v>
      </c>
      <c r="D276" s="2" t="s">
        <v>189</v>
      </c>
      <c r="E276" s="2" t="str">
        <f aca="false">C276&amp;D276</f>
        <v>UTD BARREIRASQualidade do TOI</v>
      </c>
      <c r="F276" s="2" t="s">
        <v>100</v>
      </c>
      <c r="G276" s="2" t="s">
        <v>190</v>
      </c>
      <c r="H276" s="2" t="s">
        <v>102</v>
      </c>
      <c r="I276" s="2" t="s">
        <v>103</v>
      </c>
      <c r="J276" s="2" t="n">
        <v>2</v>
      </c>
      <c r="K276" s="2" t="s">
        <v>191</v>
      </c>
      <c r="L276" s="11" t="n">
        <v>8.2</v>
      </c>
      <c r="M276" s="11" t="n">
        <v>9.9</v>
      </c>
      <c r="N276" s="4" t="n">
        <f aca="false">IF(OR(L276="",M276=""),"",IFERROR(IF($K276="%",M276-L276,M276/L276-1),""))</f>
        <v>0.207317073170732</v>
      </c>
      <c r="O276" s="5" t="str">
        <f aca="false">IF(OR(L276="",M276=""),"",IF($F276="Maior Melhor",IF(M276&gt;=L276,"Sim","Não"),IF(M276&lt;=L276,"Sim","Não")))</f>
        <v>Sim</v>
      </c>
      <c r="P276" s="11" t="n">
        <v>8.2</v>
      </c>
      <c r="Q276" s="11" t="n">
        <v>10</v>
      </c>
      <c r="R276" s="4" t="n">
        <f aca="false">IF(OR(P276="",Q276=""),"",IFERROR(IF($K276="%",Q276-P276,Q276/P276-1),""))</f>
        <v>0.219512195121951</v>
      </c>
      <c r="S276" s="5" t="str">
        <f aca="false">IF(OR(P276="",Q276=""),"",IF($F276="Maior Melhor",IF(Q276&gt;=P276,"Sim","Não"),IF(Q276&lt;=P276,"Sim","Não")))</f>
        <v>Sim</v>
      </c>
      <c r="T276" s="11" t="n">
        <v>8.2</v>
      </c>
      <c r="U276" s="11" t="n">
        <v>10</v>
      </c>
      <c r="V276" s="4" t="n">
        <f aca="false">IF(OR(T276="",U276=""),"",IFERROR(IF($K276="%",U276-T276,U276/T276-1),""))</f>
        <v>0.219512195121951</v>
      </c>
      <c r="W276" s="5" t="str">
        <f aca="false">IF(OR(T276="",U276=""),"",IF($F276="Maior Melhor",IF(U276&gt;=T276,"Sim","Não"),IF(U276&lt;=T276,"Sim","Não")))</f>
        <v>Sim</v>
      </c>
      <c r="X276" s="11" t="n">
        <v>8.2</v>
      </c>
      <c r="Y276" s="11" t="n">
        <v>10</v>
      </c>
      <c r="Z276" s="4" t="n">
        <f aca="false">IF(OR(X276="",Y276=""),"",IFERROR(IF($K276="%",Y276-X276,Y276/X276-1),""))</f>
        <v>0.219512195121951</v>
      </c>
      <c r="AA276" s="5" t="str">
        <f aca="false">IF(OR(X276="",Y276=""),"",IF($F276="Maior Melhor",IF(Y276&gt;=X276,"Sim","Não"),IF(Y276&lt;=X276,"Sim","Não")))</f>
        <v>Sim</v>
      </c>
      <c r="AB276" s="11" t="n">
        <v>8.2</v>
      </c>
      <c r="AC276" s="11" t="n">
        <v>10</v>
      </c>
      <c r="AD276" s="4" t="n">
        <f aca="false">IF(OR(AB276="",AC276=""),"",IFERROR(IF($K276="%",AC276-AB276,AC276/AB276-1),""))</f>
        <v>0.219512195121951</v>
      </c>
      <c r="AE276" s="5" t="str">
        <f aca="false">IF(OR(AB276="",AC276=""),"",IF($F276="Maior Melhor",IF(AC276&gt;=AB276,"Sim","Não"),IF(AC276&lt;=AB276,"Sim","Não")))</f>
        <v>Sim</v>
      </c>
      <c r="AF276" s="11" t="n">
        <v>8.2</v>
      </c>
      <c r="AG276" s="11" t="n">
        <v>8</v>
      </c>
      <c r="AH276" s="4" t="n">
        <f aca="false">IF(OR(AF276="",AG276=""),"",IFERROR(IF($K276="%",AG276-AF276,AG276/AF276-1),""))</f>
        <v>-0.0243902439024389</v>
      </c>
      <c r="AI276" s="5" t="str">
        <f aca="false">IF(OR(AF276="",AG276=""),"",IF($F276="Maior Melhor",IF(AG276&gt;=AF276,"Sim","Não"),IF(AG276&lt;=AF276,"Sim","Não")))</f>
        <v>Não</v>
      </c>
      <c r="AJ276" s="11" t="n">
        <v>8.2</v>
      </c>
      <c r="AK276" s="11" t="n">
        <v>9.6</v>
      </c>
      <c r="AL276" s="4" t="n">
        <f aca="false">IF(OR(AJ276="",AK276=""),"",IFERROR(IF($K276="%",AK276-AJ276,AK276/AJ276-1),""))</f>
        <v>0.170731707317073</v>
      </c>
      <c r="AM276" s="5" t="str">
        <f aca="false">IF(OR(AJ276="",AK276=""),"",IF($F276="Maior Melhor",IF(AK276&gt;=AJ276,"Sim","Não"),IF(AK276&lt;=AJ276,"Sim","Não")))</f>
        <v>Sim</v>
      </c>
      <c r="AN276" s="11" t="n">
        <v>8.2</v>
      </c>
      <c r="AO276" s="11" t="n">
        <v>10</v>
      </c>
      <c r="AP276" s="4" t="n">
        <f aca="false">IF(OR(AN276="",AO276=""),"",IFERROR(IF($K276="%",AO276-AN276,AO276/AN276-1),""))</f>
        <v>0.219512195121951</v>
      </c>
      <c r="AQ276" s="5" t="str">
        <f aca="false">IF(OR(AN276="",AO276=""),"",IF($F276="Maior Melhor",IF(AO276&gt;=AN276,"Sim","Não"),IF(AO276&lt;=AN276,"Sim","Não")))</f>
        <v>Sim</v>
      </c>
      <c r="AR276" s="11" t="n">
        <v>8.2</v>
      </c>
      <c r="AS276" s="11" t="n">
        <v>9.7</v>
      </c>
      <c r="AT276" s="4" t="n">
        <f aca="false">IF(OR(AR276="",AS276=""),"",IFERROR(IF($K276="%",AS276-AR276,AS276/AR276-1),""))</f>
        <v>0.182926829268293</v>
      </c>
      <c r="AU276" s="5" t="str">
        <f aca="false">IF(OR(AR276="",AS276=""),"",IF($F276="Maior Melhor",IF(AS276&gt;=AR276,"Sim","Não"),IF(AS276&lt;=AR276,"Sim","Não")))</f>
        <v>Sim</v>
      </c>
      <c r="AV276" s="11" t="n">
        <v>8.2</v>
      </c>
      <c r="AW276" s="11" t="n">
        <v>8.2</v>
      </c>
      <c r="AX276" s="4" t="n">
        <f aca="false">IF(OR(AV276="",AW276=""),"",IFERROR(IF($K276="%",AW276-AV276,AW276/AV276-1),""))</f>
        <v>0</v>
      </c>
      <c r="AY276" s="5" t="str">
        <f aca="false">IF(OR(AV276="",AW276=""),"",IF($F276="Maior Melhor",IF(AW276&gt;=AV276,"Sim","Não"),IF(AW276&lt;=AV276,"Sim","Não")))</f>
        <v>Sim</v>
      </c>
      <c r="AZ276" s="11" t="n">
        <v>8.2</v>
      </c>
      <c r="BA276" s="11" t="n">
        <v>9.5</v>
      </c>
      <c r="BB276" s="4" t="n">
        <f aca="false">IF(OR(AZ276="",BA276=""),"",IFERROR(IF($K276="%",BA276-AZ276,BA276/AZ276-1),""))</f>
        <v>0.158536585365854</v>
      </c>
      <c r="BC276" s="5" t="str">
        <f aca="false">IF(OR(AZ276="",BA276=""),"",IF($F276="Maior Melhor",IF(BA276&gt;=AZ276,"Sim","Não"),IF(BA276&lt;=AZ276,"Sim","Não")))</f>
        <v>Sim</v>
      </c>
      <c r="BD276" s="11" t="n">
        <v>8.2</v>
      </c>
      <c r="BE276" s="11" t="n">
        <v>8</v>
      </c>
      <c r="BF276" s="4" t="n">
        <f aca="false">IF(OR(BD276="",BE276=""),"",IFERROR(IF($K276="%",BE276-BD276,BE276/BD276-1),""))</f>
        <v>-0.0243902439024389</v>
      </c>
      <c r="BG276" s="5" t="str">
        <f aca="false">IF(OR(BD276="",BE276=""),"",IF($F276="Maior Melhor",IF(BE276&gt;=BD276,"Sim","Não"),IF(BE276&lt;=BD276,"Sim","Não")))</f>
        <v>Não</v>
      </c>
      <c r="BH276" s="11" t="n">
        <v>8.2</v>
      </c>
      <c r="BI276" s="11" t="n">
        <v>9.3</v>
      </c>
      <c r="BJ276" s="4" t="n">
        <f aca="false">IF(OR(BH276="",BI276=""),"",IFERROR(IF($K276="%",BI276-BH276,BI276/BH276-1),""))</f>
        <v>0.134146341463415</v>
      </c>
      <c r="BK276" s="5" t="str">
        <f aca="false">IF(OR(BH276="",BI276=""),"",IF($F276="Maior Melhor",IF(BI276&gt;=BH276,"Sim","Não"),IF(BI276&lt;=BH276,"Sim","Não")))</f>
        <v>Sim</v>
      </c>
      <c r="BL276" s="12"/>
      <c r="BM276" s="12"/>
      <c r="BN276" s="4" t="str">
        <f aca="false">IF(OR(BL276="",BM276=""),"",IFERROR(IF($K276="%",BM276-BL276,BM276/BL276-1),""))</f>
        <v/>
      </c>
      <c r="BO276" s="5" t="str">
        <f aca="false">IF(OR(BL276="",BM276=""),"",IF($F276="Maior Melhor",IF(BM276&gt;=BL276,"Sim","Não"),IF(BM276&lt;=BL276,"Sim","Não")))</f>
        <v/>
      </c>
      <c r="BP276" s="12"/>
      <c r="BQ276" s="12"/>
      <c r="BR276" s="4" t="str">
        <f aca="false">IF(OR(BP276="",BQ276=""),"",IFERROR(IF($K276="%",BQ276-BP276,BQ276/BP276-1),""))</f>
        <v/>
      </c>
      <c r="BS276" s="5" t="str">
        <f aca="false">IF(OR(BP276="",BQ276=""),"",IF($F276="Maior Melhor",IF(BQ276&gt;=BP276,"Sim","Não"),IF(BQ276&lt;=BP276,"Sim","Não")))</f>
        <v/>
      </c>
      <c r="BT276" s="12"/>
      <c r="BU276" s="12"/>
      <c r="BV276" s="4" t="str">
        <f aca="false">IF(OR(BT276="",BU276=""),"",IFERROR(IF($K276="%",BU276-BT276,BU276/BT276-1),""))</f>
        <v/>
      </c>
      <c r="BW276" s="5" t="str">
        <f aca="false">IF(OR(BT276="",BU276=""),"",IF($F276="Maior Melhor",IF(BU276&gt;=BT276,"Sim","Não"),IF(BU276&lt;=BT276,"Sim","Não")))</f>
        <v/>
      </c>
      <c r="BX276" s="12"/>
      <c r="BY276" s="12"/>
      <c r="BZ276" s="4" t="str">
        <f aca="false">IF(OR(BX276="",BY276=""),"",IFERROR(IF($K276="%",BY276-BX276,BY276/BX276-1),""))</f>
        <v/>
      </c>
      <c r="CA276" s="5" t="str">
        <f aca="false">IF(OR(BX276="",BY276=""),"",IF($F276="Maior Melhor",IF(BY276&gt;=BX276,"Sim","Não"),IF(BY276&lt;=BX276,"Sim","Não")))</f>
        <v/>
      </c>
      <c r="CB276" s="12"/>
      <c r="CC276" s="12"/>
      <c r="CD276" s="4" t="str">
        <f aca="false">IF(OR(CB276="",CC276=""),"",IFERROR(IF($K276="%",CC276-CB276,CC276/CB276-1),""))</f>
        <v/>
      </c>
      <c r="CE276" s="5" t="str">
        <f aca="false">IF(OR(CB276="",CC276=""),"",IF($F276="Maior Melhor",IF(CC276&gt;=CB276,"Sim","Não"),IF(CC276&lt;=CB276,"Sim","Não")))</f>
        <v/>
      </c>
      <c r="CF276" s="12"/>
      <c r="CG276" s="12"/>
      <c r="CH276" s="4" t="str">
        <f aca="false">IF(OR(CF276="",CG276=""),"",IFERROR(IF($K276="%",CG276-CF276,CG276/CF276-1),""))</f>
        <v/>
      </c>
      <c r="CI276" s="5" t="str">
        <f aca="false">IF(OR(CF276="",CG276=""),"",IF($F276="Maior Melhor",IF(CG276&gt;=CF276,"Sim","Não"),IF(CG276&lt;=CF276,"Sim","Não")))</f>
        <v/>
      </c>
      <c r="CJ276" s="12"/>
      <c r="CK276" s="12"/>
      <c r="CL276" s="4" t="str">
        <f aca="false">IF(OR(CJ276="",CK276=""),"",IFERROR(IF($K276="%",CK276-CJ276,CK276/CJ276-1),""))</f>
        <v/>
      </c>
      <c r="CM276" s="5" t="str">
        <f aca="false">IF(OR(CJ276="",CK276=""),"",IF($F276="Maior Melhor",IF(CK276&gt;=CJ276,"Sim","Não"),IF(CK276&lt;=CJ276,"Sim","Não")))</f>
        <v/>
      </c>
      <c r="CN276" s="12"/>
      <c r="CO276" s="12"/>
      <c r="CP276" s="4" t="str">
        <f aca="false">IF(OR(CN276="",CO276=""),"",IFERROR(IF($K276="%",CO276-CN276,CO276/CN276-1),""))</f>
        <v/>
      </c>
      <c r="CQ276" s="5" t="str">
        <f aca="false">IF(OR(CN276="",CO276=""),"",IF($F276="Maior Melhor",IF(CO276&gt;=CN276,"Sim","Não"),IF(CO276&lt;=CN276,"Sim","Não")))</f>
        <v/>
      </c>
      <c r="CR276" s="2" t="s">
        <v>175</v>
      </c>
    </row>
    <row r="277" customFormat="false" ht="15" hidden="false" customHeight="false" outlineLevel="0" collapsed="false">
      <c r="A277" s="2" t="s">
        <v>96</v>
      </c>
      <c r="B277" s="2" t="s">
        <v>106</v>
      </c>
      <c r="C277" s="2" t="s">
        <v>113</v>
      </c>
      <c r="D277" s="2" t="s">
        <v>189</v>
      </c>
      <c r="E277" s="2" t="str">
        <f aca="false">C277&amp;D277</f>
        <v>UTD BOM JESUS DA LAPAQualidade do TOI</v>
      </c>
      <c r="F277" s="2" t="s">
        <v>100</v>
      </c>
      <c r="G277" s="2" t="s">
        <v>190</v>
      </c>
      <c r="H277" s="2" t="s">
        <v>102</v>
      </c>
      <c r="I277" s="2" t="s">
        <v>103</v>
      </c>
      <c r="J277" s="2" t="n">
        <v>2</v>
      </c>
      <c r="K277" s="2" t="s">
        <v>191</v>
      </c>
      <c r="L277" s="11" t="n">
        <v>8.2</v>
      </c>
      <c r="M277" s="11" t="n">
        <v>9.1</v>
      </c>
      <c r="N277" s="4" t="n">
        <f aca="false">IF(OR(L277="",M277=""),"",IFERROR(IF($K277="%",M277-L277,M277/L277-1),""))</f>
        <v>0.109756097560976</v>
      </c>
      <c r="O277" s="5" t="str">
        <f aca="false">IF(OR(L277="",M277=""),"",IF($F277="Maior Melhor",IF(M277&gt;=L277,"Sim","Não"),IF(M277&lt;=L277,"Sim","Não")))</f>
        <v>Sim</v>
      </c>
      <c r="P277" s="11" t="n">
        <v>8.2</v>
      </c>
      <c r="Q277" s="11" t="n">
        <v>9.8</v>
      </c>
      <c r="R277" s="4" t="n">
        <f aca="false">IF(OR(P277="",Q277=""),"",IFERROR(IF($K277="%",Q277-P277,Q277/P277-1),""))</f>
        <v>0.195121951219512</v>
      </c>
      <c r="S277" s="5" t="str">
        <f aca="false">IF(OR(P277="",Q277=""),"",IF($F277="Maior Melhor",IF(Q277&gt;=P277,"Sim","Não"),IF(Q277&lt;=P277,"Sim","Não")))</f>
        <v>Sim</v>
      </c>
      <c r="T277" s="11" t="n">
        <v>8.2</v>
      </c>
      <c r="U277" s="11" t="n">
        <v>9.5</v>
      </c>
      <c r="V277" s="4" t="n">
        <f aca="false">IF(OR(T277="",U277=""),"",IFERROR(IF($K277="%",U277-T277,U277/T277-1),""))</f>
        <v>0.158536585365854</v>
      </c>
      <c r="W277" s="5" t="str">
        <f aca="false">IF(OR(T277="",U277=""),"",IF($F277="Maior Melhor",IF(U277&gt;=T277,"Sim","Não"),IF(U277&lt;=T277,"Sim","Não")))</f>
        <v>Sim</v>
      </c>
      <c r="X277" s="11" t="n">
        <v>8.2</v>
      </c>
      <c r="Y277" s="11" t="n">
        <v>9.6</v>
      </c>
      <c r="Z277" s="4" t="n">
        <f aca="false">IF(OR(X277="",Y277=""),"",IFERROR(IF($K277="%",Y277-X277,Y277/X277-1),""))</f>
        <v>0.170731707317073</v>
      </c>
      <c r="AA277" s="5" t="str">
        <f aca="false">IF(OR(X277="",Y277=""),"",IF($F277="Maior Melhor",IF(Y277&gt;=X277,"Sim","Não"),IF(Y277&lt;=X277,"Sim","Não")))</f>
        <v>Sim</v>
      </c>
      <c r="AB277" s="11" t="n">
        <v>8.2</v>
      </c>
      <c r="AC277" s="11" t="n">
        <v>9.5</v>
      </c>
      <c r="AD277" s="4" t="n">
        <f aca="false">IF(OR(AB277="",AC277=""),"",IFERROR(IF($K277="%",AC277-AB277,AC277/AB277-1),""))</f>
        <v>0.158536585365854</v>
      </c>
      <c r="AE277" s="5" t="str">
        <f aca="false">IF(OR(AB277="",AC277=""),"",IF($F277="Maior Melhor",IF(AC277&gt;=AB277,"Sim","Não"),IF(AC277&lt;=AB277,"Sim","Não")))</f>
        <v>Sim</v>
      </c>
      <c r="AF277" s="11" t="n">
        <v>8.2</v>
      </c>
      <c r="AG277" s="11" t="n">
        <v>10</v>
      </c>
      <c r="AH277" s="4" t="n">
        <f aca="false">IF(OR(AF277="",AG277=""),"",IFERROR(IF($K277="%",AG277-AF277,AG277/AF277-1),""))</f>
        <v>0.219512195121951</v>
      </c>
      <c r="AI277" s="5" t="str">
        <f aca="false">IF(OR(AF277="",AG277=""),"",IF($F277="Maior Melhor",IF(AG277&gt;=AF277,"Sim","Não"),IF(AG277&lt;=AF277,"Sim","Não")))</f>
        <v>Sim</v>
      </c>
      <c r="AJ277" s="11" t="n">
        <v>8.2</v>
      </c>
      <c r="AK277" s="11" t="n">
        <v>9.7</v>
      </c>
      <c r="AL277" s="4" t="n">
        <f aca="false">IF(OR(AJ277="",AK277=""),"",IFERROR(IF($K277="%",AK277-AJ277,AK277/AJ277-1),""))</f>
        <v>0.182926829268293</v>
      </c>
      <c r="AM277" s="5" t="str">
        <f aca="false">IF(OR(AJ277="",AK277=""),"",IF($F277="Maior Melhor",IF(AK277&gt;=AJ277,"Sim","Não"),IF(AK277&lt;=AJ277,"Sim","Não")))</f>
        <v>Sim</v>
      </c>
      <c r="AN277" s="11" t="n">
        <v>8.2</v>
      </c>
      <c r="AO277" s="11" t="n">
        <v>9.3</v>
      </c>
      <c r="AP277" s="4" t="n">
        <f aca="false">IF(OR(AN277="",AO277=""),"",IFERROR(IF($K277="%",AO277-AN277,AO277/AN277-1),""))</f>
        <v>0.134146341463415</v>
      </c>
      <c r="AQ277" s="5" t="str">
        <f aca="false">IF(OR(AN277="",AO277=""),"",IF($F277="Maior Melhor",IF(AO277&gt;=AN277,"Sim","Não"),IF(AO277&lt;=AN277,"Sim","Não")))</f>
        <v>Sim</v>
      </c>
      <c r="AR277" s="11" t="n">
        <v>8.2</v>
      </c>
      <c r="AS277" s="11" t="n">
        <v>9.7</v>
      </c>
      <c r="AT277" s="4" t="n">
        <f aca="false">IF(OR(AR277="",AS277=""),"",IFERROR(IF($K277="%",AS277-AR277,AS277/AR277-1),""))</f>
        <v>0.182926829268293</v>
      </c>
      <c r="AU277" s="5" t="str">
        <f aca="false">IF(OR(AR277="",AS277=""),"",IF($F277="Maior Melhor",IF(AS277&gt;=AR277,"Sim","Não"),IF(AS277&lt;=AR277,"Sim","Não")))</f>
        <v>Sim</v>
      </c>
      <c r="AV277" s="11" t="n">
        <v>8.2</v>
      </c>
      <c r="AW277" s="11" t="n">
        <v>9.3</v>
      </c>
      <c r="AX277" s="4" t="n">
        <f aca="false">IF(OR(AV277="",AW277=""),"",IFERROR(IF($K277="%",AW277-AV277,AW277/AV277-1),""))</f>
        <v>0.134146341463415</v>
      </c>
      <c r="AY277" s="5" t="str">
        <f aca="false">IF(OR(AV277="",AW277=""),"",IF($F277="Maior Melhor",IF(AW277&gt;=AV277,"Sim","Não"),IF(AW277&lt;=AV277,"Sim","Não")))</f>
        <v>Sim</v>
      </c>
      <c r="AZ277" s="11" t="n">
        <v>8.2</v>
      </c>
      <c r="BA277" s="11" t="n">
        <v>9.6</v>
      </c>
      <c r="BB277" s="4" t="n">
        <f aca="false">IF(OR(AZ277="",BA277=""),"",IFERROR(IF($K277="%",BA277-AZ277,BA277/AZ277-1),""))</f>
        <v>0.170731707317073</v>
      </c>
      <c r="BC277" s="5" t="str">
        <f aca="false">IF(OR(AZ277="",BA277=""),"",IF($F277="Maior Melhor",IF(BA277&gt;=AZ277,"Sim","Não"),IF(BA277&lt;=AZ277,"Sim","Não")))</f>
        <v>Sim</v>
      </c>
      <c r="BD277" s="11" t="n">
        <v>8.2</v>
      </c>
      <c r="BE277" s="11" t="n">
        <v>10</v>
      </c>
      <c r="BF277" s="4" t="n">
        <f aca="false">IF(OR(BD277="",BE277=""),"",IFERROR(IF($K277="%",BE277-BD277,BE277/BD277-1),""))</f>
        <v>0.219512195121951</v>
      </c>
      <c r="BG277" s="5" t="str">
        <f aca="false">IF(OR(BD277="",BE277=""),"",IF($F277="Maior Melhor",IF(BE277&gt;=BD277,"Sim","Não"),IF(BE277&lt;=BD277,"Sim","Não")))</f>
        <v>Sim</v>
      </c>
      <c r="BH277" s="11" t="n">
        <v>8.2</v>
      </c>
      <c r="BI277" s="11" t="n">
        <v>9.6</v>
      </c>
      <c r="BJ277" s="4" t="n">
        <f aca="false">IF(OR(BH277="",BI277=""),"",IFERROR(IF($K277="%",BI277-BH277,BI277/BH277-1),""))</f>
        <v>0.170731707317073</v>
      </c>
      <c r="BK277" s="5" t="str">
        <f aca="false">IF(OR(BH277="",BI277=""),"",IF($F277="Maior Melhor",IF(BI277&gt;=BH277,"Sim","Não"),IF(BI277&lt;=BH277,"Sim","Não")))</f>
        <v>Sim</v>
      </c>
      <c r="BL277" s="12"/>
      <c r="BM277" s="12"/>
      <c r="BN277" s="4" t="str">
        <f aca="false">IF(OR(BL277="",BM277=""),"",IFERROR(IF($K277="%",BM277-BL277,BM277/BL277-1),""))</f>
        <v/>
      </c>
      <c r="BO277" s="5" t="str">
        <f aca="false">IF(OR(BL277="",BM277=""),"",IF($F277="Maior Melhor",IF(BM277&gt;=BL277,"Sim","Não"),IF(BM277&lt;=BL277,"Sim","Não")))</f>
        <v/>
      </c>
      <c r="BP277" s="12"/>
      <c r="BQ277" s="12"/>
      <c r="BR277" s="4" t="str">
        <f aca="false">IF(OR(BP277="",BQ277=""),"",IFERROR(IF($K277="%",BQ277-BP277,BQ277/BP277-1),""))</f>
        <v/>
      </c>
      <c r="BS277" s="5" t="str">
        <f aca="false">IF(OR(BP277="",BQ277=""),"",IF($F277="Maior Melhor",IF(BQ277&gt;=BP277,"Sim","Não"),IF(BQ277&lt;=BP277,"Sim","Não")))</f>
        <v/>
      </c>
      <c r="BT277" s="12"/>
      <c r="BU277" s="12"/>
      <c r="BV277" s="4" t="str">
        <f aca="false">IF(OR(BT277="",BU277=""),"",IFERROR(IF($K277="%",BU277-BT277,BU277/BT277-1),""))</f>
        <v/>
      </c>
      <c r="BW277" s="5" t="str">
        <f aca="false">IF(OR(BT277="",BU277=""),"",IF($F277="Maior Melhor",IF(BU277&gt;=BT277,"Sim","Não"),IF(BU277&lt;=BT277,"Sim","Não")))</f>
        <v/>
      </c>
      <c r="BX277" s="12"/>
      <c r="BY277" s="12"/>
      <c r="BZ277" s="4" t="str">
        <f aca="false">IF(OR(BX277="",BY277=""),"",IFERROR(IF($K277="%",BY277-BX277,BY277/BX277-1),""))</f>
        <v/>
      </c>
      <c r="CA277" s="5" t="str">
        <f aca="false">IF(OR(BX277="",BY277=""),"",IF($F277="Maior Melhor",IF(BY277&gt;=BX277,"Sim","Não"),IF(BY277&lt;=BX277,"Sim","Não")))</f>
        <v/>
      </c>
      <c r="CB277" s="12"/>
      <c r="CC277" s="12"/>
      <c r="CD277" s="4" t="str">
        <f aca="false">IF(OR(CB277="",CC277=""),"",IFERROR(IF($K277="%",CC277-CB277,CC277/CB277-1),""))</f>
        <v/>
      </c>
      <c r="CE277" s="5" t="str">
        <f aca="false">IF(OR(CB277="",CC277=""),"",IF($F277="Maior Melhor",IF(CC277&gt;=CB277,"Sim","Não"),IF(CC277&lt;=CB277,"Sim","Não")))</f>
        <v/>
      </c>
      <c r="CF277" s="12"/>
      <c r="CG277" s="12"/>
      <c r="CH277" s="4" t="str">
        <f aca="false">IF(OR(CF277="",CG277=""),"",IFERROR(IF($K277="%",CG277-CF277,CG277/CF277-1),""))</f>
        <v/>
      </c>
      <c r="CI277" s="5" t="str">
        <f aca="false">IF(OR(CF277="",CG277=""),"",IF($F277="Maior Melhor",IF(CG277&gt;=CF277,"Sim","Não"),IF(CG277&lt;=CF277,"Sim","Não")))</f>
        <v/>
      </c>
      <c r="CJ277" s="12"/>
      <c r="CK277" s="12"/>
      <c r="CL277" s="4" t="str">
        <f aca="false">IF(OR(CJ277="",CK277=""),"",IFERROR(IF($K277="%",CK277-CJ277,CK277/CJ277-1),""))</f>
        <v/>
      </c>
      <c r="CM277" s="5" t="str">
        <f aca="false">IF(OR(CJ277="",CK277=""),"",IF($F277="Maior Melhor",IF(CK277&gt;=CJ277,"Sim","Não"),IF(CK277&lt;=CJ277,"Sim","Não")))</f>
        <v/>
      </c>
      <c r="CN277" s="12"/>
      <c r="CO277" s="12"/>
      <c r="CP277" s="4" t="str">
        <f aca="false">IF(OR(CN277="",CO277=""),"",IFERROR(IF($K277="%",CO277-CN277,CO277/CN277-1),""))</f>
        <v/>
      </c>
      <c r="CQ277" s="5" t="str">
        <f aca="false">IF(OR(CN277="",CO277=""),"",IF($F277="Maior Melhor",IF(CO277&gt;=CN277,"Sim","Não"),IF(CO277&lt;=CN277,"Sim","Não")))</f>
        <v/>
      </c>
      <c r="CR277" s="2" t="s">
        <v>149</v>
      </c>
    </row>
    <row r="278" customFormat="false" ht="15" hidden="false" customHeight="false" outlineLevel="0" collapsed="false">
      <c r="A278" s="2" t="s">
        <v>96</v>
      </c>
      <c r="B278" s="2" t="s">
        <v>108</v>
      </c>
      <c r="C278" s="2" t="s">
        <v>115</v>
      </c>
      <c r="D278" s="2" t="s">
        <v>189</v>
      </c>
      <c r="E278" s="2" t="str">
        <f aca="false">C278&amp;D278</f>
        <v>UTD BRUMADOQualidade do TOI</v>
      </c>
      <c r="F278" s="2" t="s">
        <v>100</v>
      </c>
      <c r="G278" s="2" t="s">
        <v>190</v>
      </c>
      <c r="H278" s="2" t="s">
        <v>102</v>
      </c>
      <c r="I278" s="2" t="s">
        <v>103</v>
      </c>
      <c r="J278" s="2" t="n">
        <v>2</v>
      </c>
      <c r="K278" s="2" t="s">
        <v>191</v>
      </c>
      <c r="L278" s="11" t="n">
        <v>8.2</v>
      </c>
      <c r="M278" s="11" t="n">
        <v>9.9</v>
      </c>
      <c r="N278" s="4" t="n">
        <f aca="false">IF(OR(L278="",M278=""),"",IFERROR(IF($K278="%",M278-L278,M278/L278-1),""))</f>
        <v>0.207317073170732</v>
      </c>
      <c r="O278" s="5" t="str">
        <f aca="false">IF(OR(L278="",M278=""),"",IF($F278="Maior Melhor",IF(M278&gt;=L278,"Sim","Não"),IF(M278&lt;=L278,"Sim","Não")))</f>
        <v>Sim</v>
      </c>
      <c r="P278" s="11" t="n">
        <v>8.2</v>
      </c>
      <c r="Q278" s="11" t="n">
        <v>9.1</v>
      </c>
      <c r="R278" s="4" t="n">
        <f aca="false">IF(OR(P278="",Q278=""),"",IFERROR(IF($K278="%",Q278-P278,Q278/P278-1),""))</f>
        <v>0.109756097560976</v>
      </c>
      <c r="S278" s="5" t="str">
        <f aca="false">IF(OR(P278="",Q278=""),"",IF($F278="Maior Melhor",IF(Q278&gt;=P278,"Sim","Não"),IF(Q278&lt;=P278,"Sim","Não")))</f>
        <v>Sim</v>
      </c>
      <c r="T278" s="11" t="n">
        <v>8.2</v>
      </c>
      <c r="U278" s="11" t="n">
        <v>9.5</v>
      </c>
      <c r="V278" s="4" t="n">
        <f aca="false">IF(OR(T278="",U278=""),"",IFERROR(IF($K278="%",U278-T278,U278/T278-1),""))</f>
        <v>0.158536585365854</v>
      </c>
      <c r="W278" s="5" t="str">
        <f aca="false">IF(OR(T278="",U278=""),"",IF($F278="Maior Melhor",IF(U278&gt;=T278,"Sim","Não"),IF(U278&lt;=T278,"Sim","Não")))</f>
        <v>Sim</v>
      </c>
      <c r="X278" s="11" t="n">
        <v>8.2</v>
      </c>
      <c r="Y278" s="11" t="n">
        <v>8.8</v>
      </c>
      <c r="Z278" s="4" t="n">
        <f aca="false">IF(OR(X278="",Y278=""),"",IFERROR(IF($K278="%",Y278-X278,Y278/X278-1),""))</f>
        <v>0.0731707317073174</v>
      </c>
      <c r="AA278" s="5" t="str">
        <f aca="false">IF(OR(X278="",Y278=""),"",IF($F278="Maior Melhor",IF(Y278&gt;=X278,"Sim","Não"),IF(Y278&lt;=X278,"Sim","Não")))</f>
        <v>Sim</v>
      </c>
      <c r="AB278" s="11" t="n">
        <v>8.2</v>
      </c>
      <c r="AC278" s="11" t="n">
        <v>9.3</v>
      </c>
      <c r="AD278" s="4" t="n">
        <f aca="false">IF(OR(AB278="",AC278=""),"",IFERROR(IF($K278="%",AC278-AB278,AC278/AB278-1),""))</f>
        <v>0.134146341463415</v>
      </c>
      <c r="AE278" s="5" t="str">
        <f aca="false">IF(OR(AB278="",AC278=""),"",IF($F278="Maior Melhor",IF(AC278&gt;=AB278,"Sim","Não"),IF(AC278&lt;=AB278,"Sim","Não")))</f>
        <v>Sim</v>
      </c>
      <c r="AF278" s="11" t="n">
        <v>8.2</v>
      </c>
      <c r="AG278" s="11" t="n">
        <v>8.4</v>
      </c>
      <c r="AH278" s="4" t="n">
        <f aca="false">IF(OR(AF278="",AG278=""),"",IFERROR(IF($K278="%",AG278-AF278,AG278/AF278-1),""))</f>
        <v>0.024390243902439</v>
      </c>
      <c r="AI278" s="5" t="str">
        <f aca="false">IF(OR(AF278="",AG278=""),"",IF($F278="Maior Melhor",IF(AG278&gt;=AF278,"Sim","Não"),IF(AG278&lt;=AF278,"Sim","Não")))</f>
        <v>Sim</v>
      </c>
      <c r="AJ278" s="11" t="n">
        <v>8.2</v>
      </c>
      <c r="AK278" s="11" t="n">
        <v>9.2</v>
      </c>
      <c r="AL278" s="4" t="n">
        <f aca="false">IF(OR(AJ278="",AK278=""),"",IFERROR(IF($K278="%",AK278-AJ278,AK278/AJ278-1),""))</f>
        <v>0.121951219512195</v>
      </c>
      <c r="AM278" s="5" t="str">
        <f aca="false">IF(OR(AJ278="",AK278=""),"",IF($F278="Maior Melhor",IF(AK278&gt;=AJ278,"Sim","Não"),IF(AK278&lt;=AJ278,"Sim","Não")))</f>
        <v>Sim</v>
      </c>
      <c r="AN278" s="11" t="n">
        <v>8.2</v>
      </c>
      <c r="AO278" s="11" t="n">
        <v>8.6</v>
      </c>
      <c r="AP278" s="4" t="n">
        <f aca="false">IF(OR(AN278="",AO278=""),"",IFERROR(IF($K278="%",AO278-AN278,AO278/AN278-1),""))</f>
        <v>0.0487804878048781</v>
      </c>
      <c r="AQ278" s="5" t="str">
        <f aca="false">IF(OR(AN278="",AO278=""),"",IF($F278="Maior Melhor",IF(AO278&gt;=AN278,"Sim","Não"),IF(AO278&lt;=AN278,"Sim","Não")))</f>
        <v>Sim</v>
      </c>
      <c r="AR278" s="11" t="n">
        <v>8.2</v>
      </c>
      <c r="AS278" s="11" t="n">
        <v>9.2</v>
      </c>
      <c r="AT278" s="4" t="n">
        <f aca="false">IF(OR(AR278="",AS278=""),"",IFERROR(IF($K278="%",AS278-AR278,AS278/AR278-1),""))</f>
        <v>0.121951219512195</v>
      </c>
      <c r="AU278" s="5" t="str">
        <f aca="false">IF(OR(AR278="",AS278=""),"",IF($F278="Maior Melhor",IF(AS278&gt;=AR278,"Sim","Não"),IF(AS278&lt;=AR278,"Sim","Não")))</f>
        <v>Sim</v>
      </c>
      <c r="AV278" s="11" t="n">
        <v>8.2</v>
      </c>
      <c r="AW278" s="11" t="n">
        <v>10</v>
      </c>
      <c r="AX278" s="4" t="n">
        <f aca="false">IF(OR(AV278="",AW278=""),"",IFERROR(IF($K278="%",AW278-AV278,AW278/AV278-1),""))</f>
        <v>0.219512195121951</v>
      </c>
      <c r="AY278" s="5" t="str">
        <f aca="false">IF(OR(AV278="",AW278=""),"",IF($F278="Maior Melhor",IF(AW278&gt;=AV278,"Sim","Não"),IF(AW278&lt;=AV278,"Sim","Não")))</f>
        <v>Sim</v>
      </c>
      <c r="AZ278" s="11" t="n">
        <v>8.2</v>
      </c>
      <c r="BA278" s="11" t="n">
        <v>9.2</v>
      </c>
      <c r="BB278" s="4" t="n">
        <f aca="false">IF(OR(AZ278="",BA278=""),"",IFERROR(IF($K278="%",BA278-AZ278,BA278/AZ278-1),""))</f>
        <v>0.121951219512195</v>
      </c>
      <c r="BC278" s="5" t="str">
        <f aca="false">IF(OR(AZ278="",BA278=""),"",IF($F278="Maior Melhor",IF(BA278&gt;=AZ278,"Sim","Não"),IF(BA278&lt;=AZ278,"Sim","Não")))</f>
        <v>Sim</v>
      </c>
      <c r="BD278" s="11" t="n">
        <v>8.2</v>
      </c>
      <c r="BE278" s="11" t="n">
        <v>6.1</v>
      </c>
      <c r="BF278" s="4" t="n">
        <f aca="false">IF(OR(BD278="",BE278=""),"",IFERROR(IF($K278="%",BE278-BD278,BE278/BD278-1),""))</f>
        <v>-0.25609756097561</v>
      </c>
      <c r="BG278" s="5" t="str">
        <f aca="false">IF(OR(BD278="",BE278=""),"",IF($F278="Maior Melhor",IF(BE278&gt;=BD278,"Sim","Não"),IF(BE278&lt;=BD278,"Sim","Não")))</f>
        <v>Não</v>
      </c>
      <c r="BH278" s="11" t="n">
        <v>8.2</v>
      </c>
      <c r="BI278" s="11" t="n">
        <v>8.9</v>
      </c>
      <c r="BJ278" s="4" t="n">
        <f aca="false">IF(OR(BH278="",BI278=""),"",IFERROR(IF($K278="%",BI278-BH278,BI278/BH278-1),""))</f>
        <v>0.0853658536585367</v>
      </c>
      <c r="BK278" s="5" t="str">
        <f aca="false">IF(OR(BH278="",BI278=""),"",IF($F278="Maior Melhor",IF(BI278&gt;=BH278,"Sim","Não"),IF(BI278&lt;=BH278,"Sim","Não")))</f>
        <v>Sim</v>
      </c>
      <c r="BL278" s="12"/>
      <c r="BM278" s="12"/>
      <c r="BN278" s="4" t="str">
        <f aca="false">IF(OR(BL278="",BM278=""),"",IFERROR(IF($K278="%",BM278-BL278,BM278/BL278-1),""))</f>
        <v/>
      </c>
      <c r="BO278" s="5" t="str">
        <f aca="false">IF(OR(BL278="",BM278=""),"",IF($F278="Maior Melhor",IF(BM278&gt;=BL278,"Sim","Não"),IF(BM278&lt;=BL278,"Sim","Não")))</f>
        <v/>
      </c>
      <c r="BP278" s="12"/>
      <c r="BQ278" s="12"/>
      <c r="BR278" s="4" t="str">
        <f aca="false">IF(OR(BP278="",BQ278=""),"",IFERROR(IF($K278="%",BQ278-BP278,BQ278/BP278-1),""))</f>
        <v/>
      </c>
      <c r="BS278" s="5" t="str">
        <f aca="false">IF(OR(BP278="",BQ278=""),"",IF($F278="Maior Melhor",IF(BQ278&gt;=BP278,"Sim","Não"),IF(BQ278&lt;=BP278,"Sim","Não")))</f>
        <v/>
      </c>
      <c r="BT278" s="12"/>
      <c r="BU278" s="12"/>
      <c r="BV278" s="4" t="str">
        <f aca="false">IF(OR(BT278="",BU278=""),"",IFERROR(IF($K278="%",BU278-BT278,BU278/BT278-1),""))</f>
        <v/>
      </c>
      <c r="BW278" s="5" t="str">
        <f aca="false">IF(OR(BT278="",BU278=""),"",IF($F278="Maior Melhor",IF(BU278&gt;=BT278,"Sim","Não"),IF(BU278&lt;=BT278,"Sim","Não")))</f>
        <v/>
      </c>
      <c r="BX278" s="12"/>
      <c r="BY278" s="12"/>
      <c r="BZ278" s="4" t="str">
        <f aca="false">IF(OR(BX278="",BY278=""),"",IFERROR(IF($K278="%",BY278-BX278,BY278/BX278-1),""))</f>
        <v/>
      </c>
      <c r="CA278" s="5" t="str">
        <f aca="false">IF(OR(BX278="",BY278=""),"",IF($F278="Maior Melhor",IF(BY278&gt;=BX278,"Sim","Não"),IF(BY278&lt;=BX278,"Sim","Não")))</f>
        <v/>
      </c>
      <c r="CB278" s="12"/>
      <c r="CC278" s="12"/>
      <c r="CD278" s="4" t="str">
        <f aca="false">IF(OR(CB278="",CC278=""),"",IFERROR(IF($K278="%",CC278-CB278,CC278/CB278-1),""))</f>
        <v/>
      </c>
      <c r="CE278" s="5" t="str">
        <f aca="false">IF(OR(CB278="",CC278=""),"",IF($F278="Maior Melhor",IF(CC278&gt;=CB278,"Sim","Não"),IF(CC278&lt;=CB278,"Sim","Não")))</f>
        <v/>
      </c>
      <c r="CF278" s="12"/>
      <c r="CG278" s="12"/>
      <c r="CH278" s="4" t="str">
        <f aca="false">IF(OR(CF278="",CG278=""),"",IFERROR(IF($K278="%",CG278-CF278,CG278/CF278-1),""))</f>
        <v/>
      </c>
      <c r="CI278" s="5" t="str">
        <f aca="false">IF(OR(CF278="",CG278=""),"",IF($F278="Maior Melhor",IF(CG278&gt;=CF278,"Sim","Não"),IF(CG278&lt;=CF278,"Sim","Não")))</f>
        <v/>
      </c>
      <c r="CJ278" s="12"/>
      <c r="CK278" s="12"/>
      <c r="CL278" s="4" t="str">
        <f aca="false">IF(OR(CJ278="",CK278=""),"",IFERROR(IF($K278="%",CK278-CJ278,CK278/CJ278-1),""))</f>
        <v/>
      </c>
      <c r="CM278" s="5" t="str">
        <f aca="false">IF(OR(CJ278="",CK278=""),"",IF($F278="Maior Melhor",IF(CK278&gt;=CJ278,"Sim","Não"),IF(CK278&lt;=CJ278,"Sim","Não")))</f>
        <v/>
      </c>
      <c r="CN278" s="12"/>
      <c r="CO278" s="12"/>
      <c r="CP278" s="4" t="str">
        <f aca="false">IF(OR(CN278="",CO278=""),"",IFERROR(IF($K278="%",CO278-CN278,CO278/CN278-1),""))</f>
        <v/>
      </c>
      <c r="CQ278" s="5" t="str">
        <f aca="false">IF(OR(CN278="",CO278=""),"",IF($F278="Maior Melhor",IF(CO278&gt;=CN278,"Sim","Não"),IF(CO278&lt;=CN278,"Sim","Não")))</f>
        <v/>
      </c>
      <c r="CR278" s="2" t="s">
        <v>105</v>
      </c>
    </row>
    <row r="279" customFormat="false" ht="15" hidden="false" customHeight="false" outlineLevel="0" collapsed="false">
      <c r="A279" s="2" t="s">
        <v>96</v>
      </c>
      <c r="B279" s="2" t="s">
        <v>108</v>
      </c>
      <c r="C279" s="2" t="s">
        <v>117</v>
      </c>
      <c r="D279" s="2" t="s">
        <v>189</v>
      </c>
      <c r="E279" s="2" t="str">
        <f aca="false">C279&amp;D279</f>
        <v>UTD GUANAMBIQualidade do TOI</v>
      </c>
      <c r="F279" s="2" t="s">
        <v>100</v>
      </c>
      <c r="G279" s="2" t="s">
        <v>190</v>
      </c>
      <c r="H279" s="2" t="s">
        <v>102</v>
      </c>
      <c r="I279" s="2" t="s">
        <v>103</v>
      </c>
      <c r="J279" s="2" t="n">
        <v>2</v>
      </c>
      <c r="K279" s="2" t="s">
        <v>191</v>
      </c>
      <c r="L279" s="11" t="n">
        <v>8.2</v>
      </c>
      <c r="M279" s="11" t="n">
        <v>10</v>
      </c>
      <c r="N279" s="4" t="n">
        <f aca="false">IF(OR(L279="",M279=""),"",IFERROR(IF($K279="%",M279-L279,M279/L279-1),""))</f>
        <v>0.219512195121951</v>
      </c>
      <c r="O279" s="5" t="str">
        <f aca="false">IF(OR(L279="",M279=""),"",IF($F279="Maior Melhor",IF(M279&gt;=L279,"Sim","Não"),IF(M279&lt;=L279,"Sim","Não")))</f>
        <v>Sim</v>
      </c>
      <c r="P279" s="11" t="n">
        <v>0</v>
      </c>
      <c r="Q279" s="11" t="n">
        <v>0</v>
      </c>
      <c r="R279" s="4" t="str">
        <f aca="false">IF(OR(P279="",Q279=""),"",IFERROR(IF($K279="%",Q279-P279,Q279/P279-1),""))</f>
        <v/>
      </c>
      <c r="S279" s="5" t="str">
        <f aca="false">IF(OR(P279="",Q279=""),"",IF($F279="Maior Melhor",IF(Q279&gt;=P279,"Sim","Não"),IF(Q279&lt;=P279,"Sim","Não")))</f>
        <v>Sim</v>
      </c>
      <c r="T279" s="11" t="n">
        <v>8.2</v>
      </c>
      <c r="U279" s="11" t="n">
        <v>9.9</v>
      </c>
      <c r="V279" s="4" t="n">
        <f aca="false">IF(OR(T279="",U279=""),"",IFERROR(IF($K279="%",U279-T279,U279/T279-1),""))</f>
        <v>0.207317073170732</v>
      </c>
      <c r="W279" s="5" t="str">
        <f aca="false">IF(OR(T279="",U279=""),"",IF($F279="Maior Melhor",IF(U279&gt;=T279,"Sim","Não"),IF(U279&lt;=T279,"Sim","Não")))</f>
        <v>Sim</v>
      </c>
      <c r="X279" s="11" t="n">
        <v>8.2</v>
      </c>
      <c r="Y279" s="11" t="n">
        <v>9.8</v>
      </c>
      <c r="Z279" s="4" t="n">
        <f aca="false">IF(OR(X279="",Y279=""),"",IFERROR(IF($K279="%",Y279-X279,Y279/X279-1),""))</f>
        <v>0.195121951219512</v>
      </c>
      <c r="AA279" s="5" t="str">
        <f aca="false">IF(OR(X279="",Y279=""),"",IF($F279="Maior Melhor",IF(Y279&gt;=X279,"Sim","Não"),IF(Y279&lt;=X279,"Sim","Não")))</f>
        <v>Sim</v>
      </c>
      <c r="AB279" s="11" t="n">
        <v>8.2</v>
      </c>
      <c r="AC279" s="11" t="n">
        <v>9.9</v>
      </c>
      <c r="AD279" s="4" t="n">
        <f aca="false">IF(OR(AB279="",AC279=""),"",IFERROR(IF($K279="%",AC279-AB279,AC279/AB279-1),""))</f>
        <v>0.207317073170732</v>
      </c>
      <c r="AE279" s="5" t="str">
        <f aca="false">IF(OR(AB279="",AC279=""),"",IF($F279="Maior Melhor",IF(AC279&gt;=AB279,"Sim","Não"),IF(AC279&lt;=AB279,"Sim","Não")))</f>
        <v>Sim</v>
      </c>
      <c r="AF279" s="11" t="n">
        <v>8.2</v>
      </c>
      <c r="AG279" s="11" t="n">
        <v>6.3</v>
      </c>
      <c r="AH279" s="4" t="n">
        <f aca="false">IF(OR(AF279="",AG279=""),"",IFERROR(IF($K279="%",AG279-AF279,AG279/AF279-1),""))</f>
        <v>-0.231707317073171</v>
      </c>
      <c r="AI279" s="5" t="str">
        <f aca="false">IF(OR(AF279="",AG279=""),"",IF($F279="Maior Melhor",IF(AG279&gt;=AF279,"Sim","Não"),IF(AG279&lt;=AF279,"Sim","Não")))</f>
        <v>Não</v>
      </c>
      <c r="AJ279" s="11" t="n">
        <v>8.2</v>
      </c>
      <c r="AK279" s="11" t="n">
        <v>9</v>
      </c>
      <c r="AL279" s="4" t="n">
        <f aca="false">IF(OR(AJ279="",AK279=""),"",IFERROR(IF($K279="%",AK279-AJ279,AK279/AJ279-1),""))</f>
        <v>0.0975609756097562</v>
      </c>
      <c r="AM279" s="5" t="str">
        <f aca="false">IF(OR(AJ279="",AK279=""),"",IF($F279="Maior Melhor",IF(AK279&gt;=AJ279,"Sim","Não"),IF(AK279&lt;=AJ279,"Sim","Não")))</f>
        <v>Sim</v>
      </c>
      <c r="AN279" s="11" t="n">
        <v>8.2</v>
      </c>
      <c r="AO279" s="11" t="n">
        <v>9.3</v>
      </c>
      <c r="AP279" s="4" t="n">
        <f aca="false">IF(OR(AN279="",AO279=""),"",IFERROR(IF($K279="%",AO279-AN279,AO279/AN279-1),""))</f>
        <v>0.134146341463415</v>
      </c>
      <c r="AQ279" s="5" t="str">
        <f aca="false">IF(OR(AN279="",AO279=""),"",IF($F279="Maior Melhor",IF(AO279&gt;=AN279,"Sim","Não"),IF(AO279&lt;=AN279,"Sim","Não")))</f>
        <v>Sim</v>
      </c>
      <c r="AR279" s="11" t="n">
        <v>8.2</v>
      </c>
      <c r="AS279" s="11" t="n">
        <v>9.1</v>
      </c>
      <c r="AT279" s="4" t="n">
        <f aca="false">IF(OR(AR279="",AS279=""),"",IFERROR(IF($K279="%",AS279-AR279,AS279/AR279-1),""))</f>
        <v>0.109756097560976</v>
      </c>
      <c r="AU279" s="5" t="str">
        <f aca="false">IF(OR(AR279="",AS279=""),"",IF($F279="Maior Melhor",IF(AS279&gt;=AR279,"Sim","Não"),IF(AS279&lt;=AR279,"Sim","Não")))</f>
        <v>Sim</v>
      </c>
      <c r="AV279" s="11" t="n">
        <v>8.2</v>
      </c>
      <c r="AW279" s="11" t="n">
        <v>10</v>
      </c>
      <c r="AX279" s="4" t="n">
        <f aca="false">IF(OR(AV279="",AW279=""),"",IFERROR(IF($K279="%",AW279-AV279,AW279/AV279-1),""))</f>
        <v>0.219512195121951</v>
      </c>
      <c r="AY279" s="5" t="str">
        <f aca="false">IF(OR(AV279="",AW279=""),"",IF($F279="Maior Melhor",IF(AW279&gt;=AV279,"Sim","Não"),IF(AW279&lt;=AV279,"Sim","Não")))</f>
        <v>Sim</v>
      </c>
      <c r="AZ279" s="11" t="n">
        <v>8.2</v>
      </c>
      <c r="BA279" s="11" t="n">
        <v>9.2</v>
      </c>
      <c r="BB279" s="4" t="n">
        <f aca="false">IF(OR(AZ279="",BA279=""),"",IFERROR(IF($K279="%",BA279-AZ279,BA279/AZ279-1),""))</f>
        <v>0.121951219512195</v>
      </c>
      <c r="BC279" s="5" t="str">
        <f aca="false">IF(OR(AZ279="",BA279=""),"",IF($F279="Maior Melhor",IF(BA279&gt;=AZ279,"Sim","Não"),IF(BA279&lt;=AZ279,"Sim","Não")))</f>
        <v>Sim</v>
      </c>
      <c r="BD279" s="11" t="n">
        <v>8.2</v>
      </c>
      <c r="BE279" s="11" t="n">
        <v>10</v>
      </c>
      <c r="BF279" s="4" t="n">
        <f aca="false">IF(OR(BD279="",BE279=""),"",IFERROR(IF($K279="%",BE279-BD279,BE279/BD279-1),""))</f>
        <v>0.219512195121951</v>
      </c>
      <c r="BG279" s="5" t="str">
        <f aca="false">IF(OR(BD279="",BE279=""),"",IF($F279="Maior Melhor",IF(BE279&gt;=BD279,"Sim","Não"),IF(BE279&lt;=BD279,"Sim","Não")))</f>
        <v>Sim</v>
      </c>
      <c r="BH279" s="11" t="n">
        <v>8.2</v>
      </c>
      <c r="BI279" s="11" t="n">
        <v>9.3</v>
      </c>
      <c r="BJ279" s="4" t="n">
        <f aca="false">IF(OR(BH279="",BI279=""),"",IFERROR(IF($K279="%",BI279-BH279,BI279/BH279-1),""))</f>
        <v>0.134146341463415</v>
      </c>
      <c r="BK279" s="5" t="str">
        <f aca="false">IF(OR(BH279="",BI279=""),"",IF($F279="Maior Melhor",IF(BI279&gt;=BH279,"Sim","Não"),IF(BI279&lt;=BH279,"Sim","Não")))</f>
        <v>Sim</v>
      </c>
      <c r="BL279" s="12"/>
      <c r="BM279" s="12"/>
      <c r="BN279" s="4" t="str">
        <f aca="false">IF(OR(BL279="",BM279=""),"",IFERROR(IF($K279="%",BM279-BL279,BM279/BL279-1),""))</f>
        <v/>
      </c>
      <c r="BO279" s="5" t="str">
        <f aca="false">IF(OR(BL279="",BM279=""),"",IF($F279="Maior Melhor",IF(BM279&gt;=BL279,"Sim","Não"),IF(BM279&lt;=BL279,"Sim","Não")))</f>
        <v/>
      </c>
      <c r="BP279" s="12"/>
      <c r="BQ279" s="12"/>
      <c r="BR279" s="4" t="str">
        <f aca="false">IF(OR(BP279="",BQ279=""),"",IFERROR(IF($K279="%",BQ279-BP279,BQ279/BP279-1),""))</f>
        <v/>
      </c>
      <c r="BS279" s="5" t="str">
        <f aca="false">IF(OR(BP279="",BQ279=""),"",IF($F279="Maior Melhor",IF(BQ279&gt;=BP279,"Sim","Não"),IF(BQ279&lt;=BP279,"Sim","Não")))</f>
        <v/>
      </c>
      <c r="BT279" s="12"/>
      <c r="BU279" s="12"/>
      <c r="BV279" s="4" t="str">
        <f aca="false">IF(OR(BT279="",BU279=""),"",IFERROR(IF($K279="%",BU279-BT279,BU279/BT279-1),""))</f>
        <v/>
      </c>
      <c r="BW279" s="5" t="str">
        <f aca="false">IF(OR(BT279="",BU279=""),"",IF($F279="Maior Melhor",IF(BU279&gt;=BT279,"Sim","Não"),IF(BU279&lt;=BT279,"Sim","Não")))</f>
        <v/>
      </c>
      <c r="BX279" s="12"/>
      <c r="BY279" s="12"/>
      <c r="BZ279" s="4" t="str">
        <f aca="false">IF(OR(BX279="",BY279=""),"",IFERROR(IF($K279="%",BY279-BX279,BY279/BX279-1),""))</f>
        <v/>
      </c>
      <c r="CA279" s="5" t="str">
        <f aca="false">IF(OR(BX279="",BY279=""),"",IF($F279="Maior Melhor",IF(BY279&gt;=BX279,"Sim","Não"),IF(BY279&lt;=BX279,"Sim","Não")))</f>
        <v/>
      </c>
      <c r="CB279" s="12"/>
      <c r="CC279" s="12"/>
      <c r="CD279" s="4" t="str">
        <f aca="false">IF(OR(CB279="",CC279=""),"",IFERROR(IF($K279="%",CC279-CB279,CC279/CB279-1),""))</f>
        <v/>
      </c>
      <c r="CE279" s="5" t="str">
        <f aca="false">IF(OR(CB279="",CC279=""),"",IF($F279="Maior Melhor",IF(CC279&gt;=CB279,"Sim","Não"),IF(CC279&lt;=CB279,"Sim","Não")))</f>
        <v/>
      </c>
      <c r="CF279" s="12"/>
      <c r="CG279" s="12"/>
      <c r="CH279" s="4" t="str">
        <f aca="false">IF(OR(CF279="",CG279=""),"",IFERROR(IF($K279="%",CG279-CF279,CG279/CF279-1),""))</f>
        <v/>
      </c>
      <c r="CI279" s="5" t="str">
        <f aca="false">IF(OR(CF279="",CG279=""),"",IF($F279="Maior Melhor",IF(CG279&gt;=CF279,"Sim","Não"),IF(CG279&lt;=CF279,"Sim","Não")))</f>
        <v/>
      </c>
      <c r="CJ279" s="12"/>
      <c r="CK279" s="12"/>
      <c r="CL279" s="4" t="str">
        <f aca="false">IF(OR(CJ279="",CK279=""),"",IFERROR(IF($K279="%",CK279-CJ279,CK279/CJ279-1),""))</f>
        <v/>
      </c>
      <c r="CM279" s="5" t="str">
        <f aca="false">IF(OR(CJ279="",CK279=""),"",IF($F279="Maior Melhor",IF(CK279&gt;=CJ279,"Sim","Não"),IF(CK279&lt;=CJ279,"Sim","Não")))</f>
        <v/>
      </c>
      <c r="CN279" s="12"/>
      <c r="CO279" s="12"/>
      <c r="CP279" s="4" t="str">
        <f aca="false">IF(OR(CN279="",CO279=""),"",IFERROR(IF($K279="%",CO279-CN279,CO279/CN279-1),""))</f>
        <v/>
      </c>
      <c r="CQ279" s="5" t="str">
        <f aca="false">IF(OR(CN279="",CO279=""),"",IF($F279="Maior Melhor",IF(CO279&gt;=CN279,"Sim","Não"),IF(CO279&lt;=CN279,"Sim","Não")))</f>
        <v/>
      </c>
      <c r="CR279" s="2" t="s">
        <v>105</v>
      </c>
    </row>
    <row r="280" customFormat="false" ht="15" hidden="false" customHeight="false" outlineLevel="0" collapsed="false">
      <c r="A280" s="2" t="s">
        <v>96</v>
      </c>
      <c r="B280" s="2" t="s">
        <v>106</v>
      </c>
      <c r="C280" s="2" t="s">
        <v>118</v>
      </c>
      <c r="D280" s="2" t="s">
        <v>189</v>
      </c>
      <c r="E280" s="2" t="str">
        <f aca="false">C280&amp;D280</f>
        <v>UTD IBOTIRAMAQualidade do TOI</v>
      </c>
      <c r="F280" s="2" t="s">
        <v>100</v>
      </c>
      <c r="G280" s="2" t="s">
        <v>190</v>
      </c>
      <c r="H280" s="2" t="s">
        <v>119</v>
      </c>
      <c r="I280" s="2" t="s">
        <v>103</v>
      </c>
      <c r="J280" s="2" t="n">
        <v>2</v>
      </c>
      <c r="K280" s="2" t="s">
        <v>191</v>
      </c>
      <c r="L280" s="11" t="n">
        <v>8.2</v>
      </c>
      <c r="M280" s="11" t="n">
        <v>10</v>
      </c>
      <c r="N280" s="4" t="n">
        <f aca="false">IF(OR(L280="",M280=""),"",IFERROR(IF($K280="%",M280-L280,M280/L280-1),""))</f>
        <v>0.219512195121951</v>
      </c>
      <c r="O280" s="5" t="str">
        <f aca="false">IF(OR(L280="",M280=""),"",IF($F280="Maior Melhor",IF(M280&gt;=L280,"Sim","Não"),IF(M280&lt;=L280,"Sim","Não")))</f>
        <v>Sim</v>
      </c>
      <c r="P280" s="11" t="n">
        <v>8.2</v>
      </c>
      <c r="Q280" s="11" t="n">
        <v>10</v>
      </c>
      <c r="R280" s="4" t="n">
        <f aca="false">IF(OR(P280="",Q280=""),"",IFERROR(IF($K280="%",Q280-P280,Q280/P280-1),""))</f>
        <v>0.219512195121951</v>
      </c>
      <c r="S280" s="5" t="str">
        <f aca="false">IF(OR(P280="",Q280=""),"",IF($F280="Maior Melhor",IF(Q280&gt;=P280,"Sim","Não"),IF(Q280&lt;=P280,"Sim","Não")))</f>
        <v>Sim</v>
      </c>
      <c r="T280" s="11" t="n">
        <v>8.2</v>
      </c>
      <c r="U280" s="11" t="n">
        <v>10</v>
      </c>
      <c r="V280" s="4" t="n">
        <f aca="false">IF(OR(T280="",U280=""),"",IFERROR(IF($K280="%",U280-T280,U280/T280-1),""))</f>
        <v>0.219512195121951</v>
      </c>
      <c r="W280" s="5" t="str">
        <f aca="false">IF(OR(T280="",U280=""),"",IF($F280="Maior Melhor",IF(U280&gt;=T280,"Sim","Não"),IF(U280&lt;=T280,"Sim","Não")))</f>
        <v>Sim</v>
      </c>
      <c r="X280" s="11" t="n">
        <v>8.2</v>
      </c>
      <c r="Y280" s="11" t="n">
        <v>10</v>
      </c>
      <c r="Z280" s="4" t="n">
        <f aca="false">IF(OR(X280="",Y280=""),"",IFERROR(IF($K280="%",Y280-X280,Y280/X280-1),""))</f>
        <v>0.219512195121951</v>
      </c>
      <c r="AA280" s="5" t="str">
        <f aca="false">IF(OR(X280="",Y280=""),"",IF($F280="Maior Melhor",IF(Y280&gt;=X280,"Sim","Não"),IF(Y280&lt;=X280,"Sim","Não")))</f>
        <v>Sim</v>
      </c>
      <c r="AB280" s="11" t="n">
        <v>8.2</v>
      </c>
      <c r="AC280" s="11" t="n">
        <v>9.9</v>
      </c>
      <c r="AD280" s="4" t="n">
        <f aca="false">IF(OR(AB280="",AC280=""),"",IFERROR(IF($K280="%",AC280-AB280,AC280/AB280-1),""))</f>
        <v>0.207317073170732</v>
      </c>
      <c r="AE280" s="5" t="str">
        <f aca="false">IF(OR(AB280="",AC280=""),"",IF($F280="Maior Melhor",IF(AC280&gt;=AB280,"Sim","Não"),IF(AC280&lt;=AB280,"Sim","Não")))</f>
        <v>Sim</v>
      </c>
      <c r="AF280" s="11" t="n">
        <v>8.2</v>
      </c>
      <c r="AG280" s="11" t="n">
        <v>10</v>
      </c>
      <c r="AH280" s="4" t="n">
        <f aca="false">IF(OR(AF280="",AG280=""),"",IFERROR(IF($K280="%",AG280-AF280,AG280/AF280-1),""))</f>
        <v>0.219512195121951</v>
      </c>
      <c r="AI280" s="5" t="str">
        <f aca="false">IF(OR(AF280="",AG280=""),"",IF($F280="Maior Melhor",IF(AG280&gt;=AF280,"Sim","Não"),IF(AG280&lt;=AF280,"Sim","Não")))</f>
        <v>Sim</v>
      </c>
      <c r="AJ280" s="11" t="n">
        <v>8.2</v>
      </c>
      <c r="AK280" s="11" t="n">
        <v>10</v>
      </c>
      <c r="AL280" s="4" t="n">
        <f aca="false">IF(OR(AJ280="",AK280=""),"",IFERROR(IF($K280="%",AK280-AJ280,AK280/AJ280-1),""))</f>
        <v>0.219512195121951</v>
      </c>
      <c r="AM280" s="5" t="str">
        <f aca="false">IF(OR(AJ280="",AK280=""),"",IF($F280="Maior Melhor",IF(AK280&gt;=AJ280,"Sim","Não"),IF(AK280&lt;=AJ280,"Sim","Não")))</f>
        <v>Sim</v>
      </c>
      <c r="AN280" s="11" t="n">
        <v>8.2</v>
      </c>
      <c r="AO280" s="11" t="n">
        <v>9.1</v>
      </c>
      <c r="AP280" s="4" t="n">
        <f aca="false">IF(OR(AN280="",AO280=""),"",IFERROR(IF($K280="%",AO280-AN280,AO280/AN280-1),""))</f>
        <v>0.109756097560976</v>
      </c>
      <c r="AQ280" s="5" t="str">
        <f aca="false">IF(OR(AN280="",AO280=""),"",IF($F280="Maior Melhor",IF(AO280&gt;=AN280,"Sim","Não"),IF(AO280&lt;=AN280,"Sim","Não")))</f>
        <v>Sim</v>
      </c>
      <c r="AR280" s="11" t="n">
        <v>8.2</v>
      </c>
      <c r="AS280" s="11" t="n">
        <v>9.9</v>
      </c>
      <c r="AT280" s="4" t="n">
        <f aca="false">IF(OR(AR280="",AS280=""),"",IFERROR(IF($K280="%",AS280-AR280,AS280/AR280-1),""))</f>
        <v>0.207317073170732</v>
      </c>
      <c r="AU280" s="5" t="str">
        <f aca="false">IF(OR(AR280="",AS280=""),"",IF($F280="Maior Melhor",IF(AS280&gt;=AR280,"Sim","Não"),IF(AS280&lt;=AR280,"Sim","Não")))</f>
        <v>Sim</v>
      </c>
      <c r="AV280" s="11" t="n">
        <v>8.2</v>
      </c>
      <c r="AW280" s="11" t="n">
        <v>10</v>
      </c>
      <c r="AX280" s="4" t="n">
        <f aca="false">IF(OR(AV280="",AW280=""),"",IFERROR(IF($K280="%",AW280-AV280,AW280/AV280-1),""))</f>
        <v>0.219512195121951</v>
      </c>
      <c r="AY280" s="5" t="str">
        <f aca="false">IF(OR(AV280="",AW280=""),"",IF($F280="Maior Melhor",IF(AW280&gt;=AV280,"Sim","Não"),IF(AW280&lt;=AV280,"Sim","Não")))</f>
        <v>Sim</v>
      </c>
      <c r="AZ280" s="11" t="n">
        <v>8.2</v>
      </c>
      <c r="BA280" s="11" t="n">
        <v>9.9</v>
      </c>
      <c r="BB280" s="4" t="n">
        <f aca="false">IF(OR(AZ280="",BA280=""),"",IFERROR(IF($K280="%",BA280-AZ280,BA280/AZ280-1),""))</f>
        <v>0.207317073170732</v>
      </c>
      <c r="BC280" s="5" t="str">
        <f aca="false">IF(OR(AZ280="",BA280=""),"",IF($F280="Maior Melhor",IF(BA280&gt;=AZ280,"Sim","Não"),IF(BA280&lt;=AZ280,"Sim","Não")))</f>
        <v>Sim</v>
      </c>
      <c r="BD280" s="11" t="n">
        <v>8.2</v>
      </c>
      <c r="BE280" s="11" t="n">
        <v>6.8</v>
      </c>
      <c r="BF280" s="4" t="n">
        <f aca="false">IF(OR(BD280="",BE280=""),"",IFERROR(IF($K280="%",BE280-BD280,BE280/BD280-1),""))</f>
        <v>-0.170731707317073</v>
      </c>
      <c r="BG280" s="5" t="str">
        <f aca="false">IF(OR(BD280="",BE280=""),"",IF($F280="Maior Melhor",IF(BE280&gt;=BD280,"Sim","Não"),IF(BE280&lt;=BD280,"Sim","Não")))</f>
        <v>Não</v>
      </c>
      <c r="BH280" s="11" t="n">
        <v>8.2</v>
      </c>
      <c r="BI280" s="11" t="n">
        <v>9.5</v>
      </c>
      <c r="BJ280" s="4" t="n">
        <f aca="false">IF(OR(BH280="",BI280=""),"",IFERROR(IF($K280="%",BI280-BH280,BI280/BH280-1),""))</f>
        <v>0.158536585365854</v>
      </c>
      <c r="BK280" s="5" t="str">
        <f aca="false">IF(OR(BH280="",BI280=""),"",IF($F280="Maior Melhor",IF(BI280&gt;=BH280,"Sim","Não"),IF(BI280&lt;=BH280,"Sim","Não")))</f>
        <v>Sim</v>
      </c>
      <c r="BL280" s="12"/>
      <c r="BM280" s="12"/>
      <c r="BN280" s="4" t="str">
        <f aca="false">IF(OR(BL280="",BM280=""),"",IFERROR(IF($K280="%",BM280-BL280,BM280/BL280-1),""))</f>
        <v/>
      </c>
      <c r="BO280" s="5" t="str">
        <f aca="false">IF(OR(BL280="",BM280=""),"",IF($F280="Maior Melhor",IF(BM280&gt;=BL280,"Sim","Não"),IF(BM280&lt;=BL280,"Sim","Não")))</f>
        <v/>
      </c>
      <c r="BP280" s="12"/>
      <c r="BQ280" s="12"/>
      <c r="BR280" s="4" t="str">
        <f aca="false">IF(OR(BP280="",BQ280=""),"",IFERROR(IF($K280="%",BQ280-BP280,BQ280/BP280-1),""))</f>
        <v/>
      </c>
      <c r="BS280" s="5" t="str">
        <f aca="false">IF(OR(BP280="",BQ280=""),"",IF($F280="Maior Melhor",IF(BQ280&gt;=BP280,"Sim","Não"),IF(BQ280&lt;=BP280,"Sim","Não")))</f>
        <v/>
      </c>
      <c r="BT280" s="12"/>
      <c r="BU280" s="12"/>
      <c r="BV280" s="4" t="str">
        <f aca="false">IF(OR(BT280="",BU280=""),"",IFERROR(IF($K280="%",BU280-BT280,BU280/BT280-1),""))</f>
        <v/>
      </c>
      <c r="BW280" s="5" t="str">
        <f aca="false">IF(OR(BT280="",BU280=""),"",IF($F280="Maior Melhor",IF(BU280&gt;=BT280,"Sim","Não"),IF(BU280&lt;=BT280,"Sim","Não")))</f>
        <v/>
      </c>
      <c r="BX280" s="12"/>
      <c r="BY280" s="12"/>
      <c r="BZ280" s="4" t="str">
        <f aca="false">IF(OR(BX280="",BY280=""),"",IFERROR(IF($K280="%",BY280-BX280,BY280/BX280-1),""))</f>
        <v/>
      </c>
      <c r="CA280" s="5" t="str">
        <f aca="false">IF(OR(BX280="",BY280=""),"",IF($F280="Maior Melhor",IF(BY280&gt;=BX280,"Sim","Não"),IF(BY280&lt;=BX280,"Sim","Não")))</f>
        <v/>
      </c>
      <c r="CB280" s="12"/>
      <c r="CC280" s="12"/>
      <c r="CD280" s="4" t="str">
        <f aca="false">IF(OR(CB280="",CC280=""),"",IFERROR(IF($K280="%",CC280-CB280,CC280/CB280-1),""))</f>
        <v/>
      </c>
      <c r="CE280" s="5" t="str">
        <f aca="false">IF(OR(CB280="",CC280=""),"",IF($F280="Maior Melhor",IF(CC280&gt;=CB280,"Sim","Não"),IF(CC280&lt;=CB280,"Sim","Não")))</f>
        <v/>
      </c>
      <c r="CF280" s="12"/>
      <c r="CG280" s="12"/>
      <c r="CH280" s="4" t="str">
        <f aca="false">IF(OR(CF280="",CG280=""),"",IFERROR(IF($K280="%",CG280-CF280,CG280/CF280-1),""))</f>
        <v/>
      </c>
      <c r="CI280" s="5" t="str">
        <f aca="false">IF(OR(CF280="",CG280=""),"",IF($F280="Maior Melhor",IF(CG280&gt;=CF280,"Sim","Não"),IF(CG280&lt;=CF280,"Sim","Não")))</f>
        <v/>
      </c>
      <c r="CJ280" s="12"/>
      <c r="CK280" s="12"/>
      <c r="CL280" s="4" t="str">
        <f aca="false">IF(OR(CJ280="",CK280=""),"",IFERROR(IF($K280="%",CK280-CJ280,CK280/CJ280-1),""))</f>
        <v/>
      </c>
      <c r="CM280" s="5" t="str">
        <f aca="false">IF(OR(CJ280="",CK280=""),"",IF($F280="Maior Melhor",IF(CK280&gt;=CJ280,"Sim","Não"),IF(CK280&lt;=CJ280,"Sim","Não")))</f>
        <v/>
      </c>
      <c r="CN280" s="12"/>
      <c r="CO280" s="12"/>
      <c r="CP280" s="4" t="str">
        <f aca="false">IF(OR(CN280="",CO280=""),"",IFERROR(IF($K280="%",CO280-CN280,CO280/CN280-1),""))</f>
        <v/>
      </c>
      <c r="CQ280" s="5" t="str">
        <f aca="false">IF(OR(CN280="",CO280=""),"",IF($F280="Maior Melhor",IF(CO280&gt;=CN280,"Sim","Não"),IF(CO280&lt;=CN280,"Sim","Não")))</f>
        <v/>
      </c>
      <c r="CR280" s="2" t="s">
        <v>192</v>
      </c>
    </row>
    <row r="281" customFormat="false" ht="15" hidden="false" customHeight="false" outlineLevel="0" collapsed="false">
      <c r="A281" s="2" t="s">
        <v>96</v>
      </c>
      <c r="B281" s="2" t="s">
        <v>97</v>
      </c>
      <c r="C281" s="2" t="s">
        <v>121</v>
      </c>
      <c r="D281" s="2" t="s">
        <v>189</v>
      </c>
      <c r="E281" s="2" t="str">
        <f aca="false">C281&amp;D281</f>
        <v>UTD IRECÊQualidade do TOI</v>
      </c>
      <c r="F281" s="2" t="s">
        <v>100</v>
      </c>
      <c r="G281" s="2" t="s">
        <v>190</v>
      </c>
      <c r="H281" s="2" t="s">
        <v>102</v>
      </c>
      <c r="I281" s="2" t="s">
        <v>103</v>
      </c>
      <c r="J281" s="2" t="n">
        <v>2</v>
      </c>
      <c r="K281" s="2" t="s">
        <v>191</v>
      </c>
      <c r="L281" s="11" t="n">
        <v>8.2</v>
      </c>
      <c r="M281" s="11" t="n">
        <v>7.8</v>
      </c>
      <c r="N281" s="4" t="n">
        <f aca="false">IF(OR(L281="",M281=""),"",IFERROR(IF($K281="%",M281-L281,M281/L281-1),""))</f>
        <v>-0.048780487804878</v>
      </c>
      <c r="O281" s="5" t="str">
        <f aca="false">IF(OR(L281="",M281=""),"",IF($F281="Maior Melhor",IF(M281&gt;=L281,"Sim","Não"),IF(M281&lt;=L281,"Sim","Não")))</f>
        <v>Não</v>
      </c>
      <c r="P281" s="11" t="n">
        <v>8.2</v>
      </c>
      <c r="Q281" s="11" t="n">
        <v>9.8</v>
      </c>
      <c r="R281" s="4" t="n">
        <f aca="false">IF(OR(P281="",Q281=""),"",IFERROR(IF($K281="%",Q281-P281,Q281/P281-1),""))</f>
        <v>0.195121951219512</v>
      </c>
      <c r="S281" s="5" t="str">
        <f aca="false">IF(OR(P281="",Q281=""),"",IF($F281="Maior Melhor",IF(Q281&gt;=P281,"Sim","Não"),IF(Q281&lt;=P281,"Sim","Não")))</f>
        <v>Sim</v>
      </c>
      <c r="T281" s="11" t="n">
        <v>8.2</v>
      </c>
      <c r="U281" s="11" t="n">
        <v>6.9</v>
      </c>
      <c r="V281" s="4" t="n">
        <f aca="false">IF(OR(T281="",U281=""),"",IFERROR(IF($K281="%",U281-T281,U281/T281-1),""))</f>
        <v>-0.158536585365854</v>
      </c>
      <c r="W281" s="5" t="str">
        <f aca="false">IF(OR(T281="",U281=""),"",IF($F281="Maior Melhor",IF(U281&gt;=T281,"Sim","Não"),IF(U281&lt;=T281,"Sim","Não")))</f>
        <v>Não</v>
      </c>
      <c r="X281" s="11" t="n">
        <v>8.2</v>
      </c>
      <c r="Y281" s="11" t="n">
        <v>5.3</v>
      </c>
      <c r="Z281" s="4" t="n">
        <f aca="false">IF(OR(X281="",Y281=""),"",IFERROR(IF($K281="%",Y281-X281,Y281/X281-1),""))</f>
        <v>-0.353658536585366</v>
      </c>
      <c r="AA281" s="5" t="str">
        <f aca="false">IF(OR(X281="",Y281=""),"",IF($F281="Maior Melhor",IF(Y281&gt;=X281,"Sim","Não"),IF(Y281&lt;=X281,"Sim","Não")))</f>
        <v>Não</v>
      </c>
      <c r="AB281" s="11" t="n">
        <v>8.2</v>
      </c>
      <c r="AC281" s="11" t="n">
        <v>7.4</v>
      </c>
      <c r="AD281" s="4" t="n">
        <f aca="false">IF(OR(AB281="",AC281=""),"",IFERROR(IF($K281="%",AC281-AB281,AC281/AB281-1),""))</f>
        <v>-0.097560975609756</v>
      </c>
      <c r="AE281" s="5" t="str">
        <f aca="false">IF(OR(AB281="",AC281=""),"",IF($F281="Maior Melhor",IF(AC281&gt;=AB281,"Sim","Não"),IF(AC281&lt;=AB281,"Sim","Não")))</f>
        <v>Não</v>
      </c>
      <c r="AF281" s="11" t="n">
        <v>8.2</v>
      </c>
      <c r="AG281" s="11" t="n">
        <v>10</v>
      </c>
      <c r="AH281" s="4" t="n">
        <f aca="false">IF(OR(AF281="",AG281=""),"",IFERROR(IF($K281="%",AG281-AF281,AG281/AF281-1),""))</f>
        <v>0.219512195121951</v>
      </c>
      <c r="AI281" s="5" t="str">
        <f aca="false">IF(OR(AF281="",AG281=""),"",IF($F281="Maior Melhor",IF(AG281&gt;=AF281,"Sim","Não"),IF(AG281&lt;=AF281,"Sim","Não")))</f>
        <v>Sim</v>
      </c>
      <c r="AJ281" s="11" t="n">
        <v>8.2</v>
      </c>
      <c r="AK281" s="11" t="n">
        <v>8</v>
      </c>
      <c r="AL281" s="4" t="n">
        <f aca="false">IF(OR(AJ281="",AK281=""),"",IFERROR(IF($K281="%",AK281-AJ281,AK281/AJ281-1),""))</f>
        <v>-0.0243902439024389</v>
      </c>
      <c r="AM281" s="5" t="str">
        <f aca="false">IF(OR(AJ281="",AK281=""),"",IF($F281="Maior Melhor",IF(AK281&gt;=AJ281,"Sim","Não"),IF(AK281&lt;=AJ281,"Sim","Não")))</f>
        <v>Não</v>
      </c>
      <c r="AN281" s="11" t="n">
        <v>8.2</v>
      </c>
      <c r="AO281" s="11" t="n">
        <v>9.3</v>
      </c>
      <c r="AP281" s="4" t="n">
        <f aca="false">IF(OR(AN281="",AO281=""),"",IFERROR(IF($K281="%",AO281-AN281,AO281/AN281-1),""))</f>
        <v>0.134146341463415</v>
      </c>
      <c r="AQ281" s="5" t="str">
        <f aca="false">IF(OR(AN281="",AO281=""),"",IF($F281="Maior Melhor",IF(AO281&gt;=AN281,"Sim","Não"),IF(AO281&lt;=AN281,"Sim","Não")))</f>
        <v>Sim</v>
      </c>
      <c r="AR281" s="11" t="n">
        <v>8.2</v>
      </c>
      <c r="AS281" s="11" t="n">
        <v>8.3</v>
      </c>
      <c r="AT281" s="4" t="n">
        <f aca="false">IF(OR(AR281="",AS281=""),"",IFERROR(IF($K281="%",AS281-AR281,AS281/AR281-1),""))</f>
        <v>0.0121951219512197</v>
      </c>
      <c r="AU281" s="5" t="str">
        <f aca="false">IF(OR(AR281="",AS281=""),"",IF($F281="Maior Melhor",IF(AS281&gt;=AR281,"Sim","Não"),IF(AS281&lt;=AR281,"Sim","Não")))</f>
        <v>Sim</v>
      </c>
      <c r="AV281" s="11" t="n">
        <v>8.2</v>
      </c>
      <c r="AW281" s="11" t="n">
        <v>10</v>
      </c>
      <c r="AX281" s="4" t="n">
        <f aca="false">IF(OR(AV281="",AW281=""),"",IFERROR(IF($K281="%",AW281-AV281,AW281/AV281-1),""))</f>
        <v>0.219512195121951</v>
      </c>
      <c r="AY281" s="5" t="str">
        <f aca="false">IF(OR(AV281="",AW281=""),"",IF($F281="Maior Melhor",IF(AW281&gt;=AV281,"Sim","Não"),IF(AW281&lt;=AV281,"Sim","Não")))</f>
        <v>Sim</v>
      </c>
      <c r="AZ281" s="11" t="n">
        <v>8.2</v>
      </c>
      <c r="BA281" s="11" t="n">
        <v>8.5</v>
      </c>
      <c r="BB281" s="4" t="n">
        <f aca="false">IF(OR(AZ281="",BA281=""),"",IFERROR(IF($K281="%",BA281-AZ281,BA281/AZ281-1),""))</f>
        <v>0.0365853658536586</v>
      </c>
      <c r="BC281" s="5" t="str">
        <f aca="false">IF(OR(AZ281="",BA281=""),"",IF($F281="Maior Melhor",IF(BA281&gt;=AZ281,"Sim","Não"),IF(BA281&lt;=AZ281,"Sim","Não")))</f>
        <v>Sim</v>
      </c>
      <c r="BD281" s="11" t="n">
        <v>8.2</v>
      </c>
      <c r="BE281" s="11" t="n">
        <v>10</v>
      </c>
      <c r="BF281" s="4" t="n">
        <f aca="false">IF(OR(BD281="",BE281=""),"",IFERROR(IF($K281="%",BE281-BD281,BE281/BD281-1),""))</f>
        <v>0.219512195121951</v>
      </c>
      <c r="BG281" s="5" t="str">
        <f aca="false">IF(OR(BD281="",BE281=""),"",IF($F281="Maior Melhor",IF(BE281&gt;=BD281,"Sim","Não"),IF(BE281&lt;=BD281,"Sim","Não")))</f>
        <v>Sim</v>
      </c>
      <c r="BH281" s="11" t="n">
        <v>8.2</v>
      </c>
      <c r="BI281" s="11" t="n">
        <v>8.6</v>
      </c>
      <c r="BJ281" s="4" t="n">
        <f aca="false">IF(OR(BH281="",BI281=""),"",IFERROR(IF($K281="%",BI281-BH281,BI281/BH281-1),""))</f>
        <v>0.0487804878048781</v>
      </c>
      <c r="BK281" s="5" t="str">
        <f aca="false">IF(OR(BH281="",BI281=""),"",IF($F281="Maior Melhor",IF(BI281&gt;=BH281,"Sim","Não"),IF(BI281&lt;=BH281,"Sim","Não")))</f>
        <v>Sim</v>
      </c>
      <c r="BL281" s="12"/>
      <c r="BM281" s="12"/>
      <c r="BN281" s="4" t="str">
        <f aca="false">IF(OR(BL281="",BM281=""),"",IFERROR(IF($K281="%",BM281-BL281,BM281/BL281-1),""))</f>
        <v/>
      </c>
      <c r="BO281" s="5" t="str">
        <f aca="false">IF(OR(BL281="",BM281=""),"",IF($F281="Maior Melhor",IF(BM281&gt;=BL281,"Sim","Não"),IF(BM281&lt;=BL281,"Sim","Não")))</f>
        <v/>
      </c>
      <c r="BP281" s="12"/>
      <c r="BQ281" s="12"/>
      <c r="BR281" s="4" t="str">
        <f aca="false">IF(OR(BP281="",BQ281=""),"",IFERROR(IF($K281="%",BQ281-BP281,BQ281/BP281-1),""))</f>
        <v/>
      </c>
      <c r="BS281" s="5" t="str">
        <f aca="false">IF(OR(BP281="",BQ281=""),"",IF($F281="Maior Melhor",IF(BQ281&gt;=BP281,"Sim","Não"),IF(BQ281&lt;=BP281,"Sim","Não")))</f>
        <v/>
      </c>
      <c r="BT281" s="12"/>
      <c r="BU281" s="12"/>
      <c r="BV281" s="4" t="str">
        <f aca="false">IF(OR(BT281="",BU281=""),"",IFERROR(IF($K281="%",BU281-BT281,BU281/BT281-1),""))</f>
        <v/>
      </c>
      <c r="BW281" s="5" t="str">
        <f aca="false">IF(OR(BT281="",BU281=""),"",IF($F281="Maior Melhor",IF(BU281&gt;=BT281,"Sim","Não"),IF(BU281&lt;=BT281,"Sim","Não")))</f>
        <v/>
      </c>
      <c r="BX281" s="12"/>
      <c r="BY281" s="12"/>
      <c r="BZ281" s="4" t="str">
        <f aca="false">IF(OR(BX281="",BY281=""),"",IFERROR(IF($K281="%",BY281-BX281,BY281/BX281-1),""))</f>
        <v/>
      </c>
      <c r="CA281" s="5" t="str">
        <f aca="false">IF(OR(BX281="",BY281=""),"",IF($F281="Maior Melhor",IF(BY281&gt;=BX281,"Sim","Não"),IF(BY281&lt;=BX281,"Sim","Não")))</f>
        <v/>
      </c>
      <c r="CB281" s="12"/>
      <c r="CC281" s="12"/>
      <c r="CD281" s="4" t="str">
        <f aca="false">IF(OR(CB281="",CC281=""),"",IFERROR(IF($K281="%",CC281-CB281,CC281/CB281-1),""))</f>
        <v/>
      </c>
      <c r="CE281" s="5" t="str">
        <f aca="false">IF(OR(CB281="",CC281=""),"",IF($F281="Maior Melhor",IF(CC281&gt;=CB281,"Sim","Não"),IF(CC281&lt;=CB281,"Sim","Não")))</f>
        <v/>
      </c>
      <c r="CF281" s="12"/>
      <c r="CG281" s="12"/>
      <c r="CH281" s="4" t="str">
        <f aca="false">IF(OR(CF281="",CG281=""),"",IFERROR(IF($K281="%",CG281-CF281,CG281/CF281-1),""))</f>
        <v/>
      </c>
      <c r="CI281" s="5" t="str">
        <f aca="false">IF(OR(CF281="",CG281=""),"",IF($F281="Maior Melhor",IF(CG281&gt;=CF281,"Sim","Não"),IF(CG281&lt;=CF281,"Sim","Não")))</f>
        <v/>
      </c>
      <c r="CJ281" s="12"/>
      <c r="CK281" s="12"/>
      <c r="CL281" s="4" t="str">
        <f aca="false">IF(OR(CJ281="",CK281=""),"",IFERROR(IF($K281="%",CK281-CJ281,CK281/CJ281-1),""))</f>
        <v/>
      </c>
      <c r="CM281" s="5" t="str">
        <f aca="false">IF(OR(CJ281="",CK281=""),"",IF($F281="Maior Melhor",IF(CK281&gt;=CJ281,"Sim","Não"),IF(CK281&lt;=CJ281,"Sim","Não")))</f>
        <v/>
      </c>
      <c r="CN281" s="12"/>
      <c r="CO281" s="12"/>
      <c r="CP281" s="4" t="str">
        <f aca="false">IF(OR(CN281="",CO281=""),"",IFERROR(IF($K281="%",CO281-CN281,CO281/CN281-1),""))</f>
        <v/>
      </c>
      <c r="CQ281" s="5" t="str">
        <f aca="false">IF(OR(CN281="",CO281=""),"",IF($F281="Maior Melhor",IF(CO281&gt;=CN281,"Sim","Não"),IF(CO281&lt;=CN281,"Sim","Não")))</f>
        <v/>
      </c>
      <c r="CR281" s="2" t="s">
        <v>105</v>
      </c>
    </row>
    <row r="282" customFormat="false" ht="15" hidden="false" customHeight="false" outlineLevel="0" collapsed="false">
      <c r="A282" s="2" t="s">
        <v>96</v>
      </c>
      <c r="B282" s="2" t="s">
        <v>97</v>
      </c>
      <c r="C282" s="2" t="s">
        <v>122</v>
      </c>
      <c r="D282" s="2" t="s">
        <v>189</v>
      </c>
      <c r="E282" s="2" t="str">
        <f aca="false">C282&amp;D282</f>
        <v>UTD ITABERABAQualidade do TOI</v>
      </c>
      <c r="F282" s="2" t="s">
        <v>100</v>
      </c>
      <c r="G282" s="2" t="s">
        <v>190</v>
      </c>
      <c r="H282" s="2" t="s">
        <v>102</v>
      </c>
      <c r="I282" s="2" t="s">
        <v>103</v>
      </c>
      <c r="J282" s="2" t="n">
        <v>2</v>
      </c>
      <c r="K282" s="2" t="s">
        <v>191</v>
      </c>
      <c r="L282" s="11" t="n">
        <v>8.2</v>
      </c>
      <c r="M282" s="11" t="n">
        <v>9</v>
      </c>
      <c r="N282" s="4" t="n">
        <f aca="false">IF(OR(L282="",M282=""),"",IFERROR(IF($K282="%",M282-L282,M282/L282-1),""))</f>
        <v>0.0975609756097562</v>
      </c>
      <c r="O282" s="5" t="str">
        <f aca="false">IF(OR(L282="",M282=""),"",IF($F282="Maior Melhor",IF(M282&gt;=L282,"Sim","Não"),IF(M282&lt;=L282,"Sim","Não")))</f>
        <v>Sim</v>
      </c>
      <c r="P282" s="11" t="n">
        <v>8.2</v>
      </c>
      <c r="Q282" s="11" t="n">
        <v>5.5</v>
      </c>
      <c r="R282" s="4" t="n">
        <f aca="false">IF(OR(P282="",Q282=""),"",IFERROR(IF($K282="%",Q282-P282,Q282/P282-1),""))</f>
        <v>-0.329268292682927</v>
      </c>
      <c r="S282" s="5" t="str">
        <f aca="false">IF(OR(P282="",Q282=""),"",IF($F282="Maior Melhor",IF(Q282&gt;=P282,"Sim","Não"),IF(Q282&lt;=P282,"Sim","Não")))</f>
        <v>Não</v>
      </c>
      <c r="T282" s="11" t="n">
        <v>8.2</v>
      </c>
      <c r="U282" s="11" t="n">
        <v>5.4</v>
      </c>
      <c r="V282" s="4" t="n">
        <f aca="false">IF(OR(T282="",U282=""),"",IFERROR(IF($K282="%",U282-T282,U282/T282-1),""))</f>
        <v>-0.341463414634146</v>
      </c>
      <c r="W282" s="5" t="str">
        <f aca="false">IF(OR(T282="",U282=""),"",IF($F282="Maior Melhor",IF(U282&gt;=T282,"Sim","Não"),IF(U282&lt;=T282,"Sim","Não")))</f>
        <v>Não</v>
      </c>
      <c r="X282" s="11" t="n">
        <v>8.2</v>
      </c>
      <c r="Y282" s="11" t="n">
        <v>9.4</v>
      </c>
      <c r="Z282" s="4" t="n">
        <f aca="false">IF(OR(X282="",Y282=""),"",IFERROR(IF($K282="%",Y282-X282,Y282/X282-1),""))</f>
        <v>0.146341463414634</v>
      </c>
      <c r="AA282" s="5" t="str">
        <f aca="false">IF(OR(X282="",Y282=""),"",IF($F282="Maior Melhor",IF(Y282&gt;=X282,"Sim","Não"),IF(Y282&lt;=X282,"Sim","Não")))</f>
        <v>Sim</v>
      </c>
      <c r="AB282" s="11" t="n">
        <v>8.2</v>
      </c>
      <c r="AC282" s="11" t="n">
        <v>7.3</v>
      </c>
      <c r="AD282" s="4" t="n">
        <f aca="false">IF(OR(AB282="",AC282=""),"",IFERROR(IF($K282="%",AC282-AB282,AC282/AB282-1),""))</f>
        <v>-0.109756097560976</v>
      </c>
      <c r="AE282" s="5" t="str">
        <f aca="false">IF(OR(AB282="",AC282=""),"",IF($F282="Maior Melhor",IF(AC282&gt;=AB282,"Sim","Não"),IF(AC282&lt;=AB282,"Sim","Não")))</f>
        <v>Não</v>
      </c>
      <c r="AF282" s="11" t="n">
        <v>8.2</v>
      </c>
      <c r="AG282" s="11" t="n">
        <v>10</v>
      </c>
      <c r="AH282" s="4" t="n">
        <f aca="false">IF(OR(AF282="",AG282=""),"",IFERROR(IF($K282="%",AG282-AF282,AG282/AF282-1),""))</f>
        <v>0.219512195121951</v>
      </c>
      <c r="AI282" s="5" t="str">
        <f aca="false">IF(OR(AF282="",AG282=""),"",IF($F282="Maior Melhor",IF(AG282&gt;=AF282,"Sim","Não"),IF(AG282&lt;=AF282,"Sim","Não")))</f>
        <v>Sim</v>
      </c>
      <c r="AJ282" s="11" t="n">
        <v>8.2</v>
      </c>
      <c r="AK282" s="11" t="n">
        <v>7.9</v>
      </c>
      <c r="AL282" s="4" t="n">
        <f aca="false">IF(OR(AJ282="",AK282=""),"",IFERROR(IF($K282="%",AK282-AJ282,AK282/AJ282-1),""))</f>
        <v>-0.0365853658536585</v>
      </c>
      <c r="AM282" s="5" t="str">
        <f aca="false">IF(OR(AJ282="",AK282=""),"",IF($F282="Maior Melhor",IF(AK282&gt;=AJ282,"Sim","Não"),IF(AK282&lt;=AJ282,"Sim","Não")))</f>
        <v>Não</v>
      </c>
      <c r="AN282" s="11" t="n">
        <v>8.2</v>
      </c>
      <c r="AO282" s="11" t="n">
        <v>9.7</v>
      </c>
      <c r="AP282" s="4" t="n">
        <f aca="false">IF(OR(AN282="",AO282=""),"",IFERROR(IF($K282="%",AO282-AN282,AO282/AN282-1),""))</f>
        <v>0.182926829268293</v>
      </c>
      <c r="AQ282" s="5" t="str">
        <f aca="false">IF(OR(AN282="",AO282=""),"",IF($F282="Maior Melhor",IF(AO282&gt;=AN282,"Sim","Não"),IF(AO282&lt;=AN282,"Sim","Não")))</f>
        <v>Sim</v>
      </c>
      <c r="AR282" s="11" t="n">
        <v>8.2</v>
      </c>
      <c r="AS282" s="11" t="n">
        <v>8.2</v>
      </c>
      <c r="AT282" s="4" t="n">
        <f aca="false">IF(OR(AR282="",AS282=""),"",IFERROR(IF($K282="%",AS282-AR282,AS282/AR282-1),""))</f>
        <v>0</v>
      </c>
      <c r="AU282" s="5" t="str">
        <f aca="false">IF(OR(AR282="",AS282=""),"",IF($F282="Maior Melhor",IF(AS282&gt;=AR282,"Sim","Não"),IF(AS282&lt;=AR282,"Sim","Não")))</f>
        <v>Sim</v>
      </c>
      <c r="AV282" s="11" t="n">
        <v>8.2</v>
      </c>
      <c r="AW282" s="11" t="n">
        <v>9.8</v>
      </c>
      <c r="AX282" s="4" t="n">
        <f aca="false">IF(OR(AV282="",AW282=""),"",IFERROR(IF($K282="%",AW282-AV282,AW282/AV282-1),""))</f>
        <v>0.195121951219512</v>
      </c>
      <c r="AY282" s="5" t="str">
        <f aca="false">IF(OR(AV282="",AW282=""),"",IF($F282="Maior Melhor",IF(AW282&gt;=AV282,"Sim","Não"),IF(AW282&lt;=AV282,"Sim","Não")))</f>
        <v>Sim</v>
      </c>
      <c r="AZ282" s="11" t="n">
        <v>8.2</v>
      </c>
      <c r="BA282" s="11" t="n">
        <v>8.4</v>
      </c>
      <c r="BB282" s="4" t="n">
        <f aca="false">IF(OR(AZ282="",BA282=""),"",IFERROR(IF($K282="%",BA282-AZ282,BA282/AZ282-1),""))</f>
        <v>0.024390243902439</v>
      </c>
      <c r="BC282" s="5" t="str">
        <f aca="false">IF(OR(AZ282="",BA282=""),"",IF($F282="Maior Melhor",IF(BA282&gt;=AZ282,"Sim","Não"),IF(BA282&lt;=AZ282,"Sim","Não")))</f>
        <v>Sim</v>
      </c>
      <c r="BD282" s="11" t="n">
        <v>8.2</v>
      </c>
      <c r="BE282" s="11" t="n">
        <v>10</v>
      </c>
      <c r="BF282" s="4" t="n">
        <f aca="false">IF(OR(BD282="",BE282=""),"",IFERROR(IF($K282="%",BE282-BD282,BE282/BD282-1),""))</f>
        <v>0.219512195121951</v>
      </c>
      <c r="BG282" s="5" t="str">
        <f aca="false">IF(OR(BD282="",BE282=""),"",IF($F282="Maior Melhor",IF(BE282&gt;=BD282,"Sim","Não"),IF(BE282&lt;=BD282,"Sim","Não")))</f>
        <v>Sim</v>
      </c>
      <c r="BH282" s="11" t="n">
        <v>8.2</v>
      </c>
      <c r="BI282" s="11" t="n">
        <v>8.6</v>
      </c>
      <c r="BJ282" s="4" t="n">
        <f aca="false">IF(OR(BH282="",BI282=""),"",IFERROR(IF($K282="%",BI282-BH282,BI282/BH282-1),""))</f>
        <v>0.0487804878048781</v>
      </c>
      <c r="BK282" s="5" t="str">
        <f aca="false">IF(OR(BH282="",BI282=""),"",IF($F282="Maior Melhor",IF(BI282&gt;=BH282,"Sim","Não"),IF(BI282&lt;=BH282,"Sim","Não")))</f>
        <v>Sim</v>
      </c>
      <c r="BL282" s="12"/>
      <c r="BM282" s="12"/>
      <c r="BN282" s="4" t="str">
        <f aca="false">IF(OR(BL282="",BM282=""),"",IFERROR(IF($K282="%",BM282-BL282,BM282/BL282-1),""))</f>
        <v/>
      </c>
      <c r="BO282" s="5" t="str">
        <f aca="false">IF(OR(BL282="",BM282=""),"",IF($F282="Maior Melhor",IF(BM282&gt;=BL282,"Sim","Não"),IF(BM282&lt;=BL282,"Sim","Não")))</f>
        <v/>
      </c>
      <c r="BP282" s="12"/>
      <c r="BQ282" s="12"/>
      <c r="BR282" s="4" t="str">
        <f aca="false">IF(OR(BP282="",BQ282=""),"",IFERROR(IF($K282="%",BQ282-BP282,BQ282/BP282-1),""))</f>
        <v/>
      </c>
      <c r="BS282" s="5" t="str">
        <f aca="false">IF(OR(BP282="",BQ282=""),"",IF($F282="Maior Melhor",IF(BQ282&gt;=BP282,"Sim","Não"),IF(BQ282&lt;=BP282,"Sim","Não")))</f>
        <v/>
      </c>
      <c r="BT282" s="12"/>
      <c r="BU282" s="12"/>
      <c r="BV282" s="4" t="str">
        <f aca="false">IF(OR(BT282="",BU282=""),"",IFERROR(IF($K282="%",BU282-BT282,BU282/BT282-1),""))</f>
        <v/>
      </c>
      <c r="BW282" s="5" t="str">
        <f aca="false">IF(OR(BT282="",BU282=""),"",IF($F282="Maior Melhor",IF(BU282&gt;=BT282,"Sim","Não"),IF(BU282&lt;=BT282,"Sim","Não")))</f>
        <v/>
      </c>
      <c r="BX282" s="12"/>
      <c r="BY282" s="12"/>
      <c r="BZ282" s="4" t="str">
        <f aca="false">IF(OR(BX282="",BY282=""),"",IFERROR(IF($K282="%",BY282-BX282,BY282/BX282-1),""))</f>
        <v/>
      </c>
      <c r="CA282" s="5" t="str">
        <f aca="false">IF(OR(BX282="",BY282=""),"",IF($F282="Maior Melhor",IF(BY282&gt;=BX282,"Sim","Não"),IF(BY282&lt;=BX282,"Sim","Não")))</f>
        <v/>
      </c>
      <c r="CB282" s="12"/>
      <c r="CC282" s="12"/>
      <c r="CD282" s="4" t="str">
        <f aca="false">IF(OR(CB282="",CC282=""),"",IFERROR(IF($K282="%",CC282-CB282,CC282/CB282-1),""))</f>
        <v/>
      </c>
      <c r="CE282" s="5" t="str">
        <f aca="false">IF(OR(CB282="",CC282=""),"",IF($F282="Maior Melhor",IF(CC282&gt;=CB282,"Sim","Não"),IF(CC282&lt;=CB282,"Sim","Não")))</f>
        <v/>
      </c>
      <c r="CF282" s="12"/>
      <c r="CG282" s="12"/>
      <c r="CH282" s="4" t="str">
        <f aca="false">IF(OR(CF282="",CG282=""),"",IFERROR(IF($K282="%",CG282-CF282,CG282/CF282-1),""))</f>
        <v/>
      </c>
      <c r="CI282" s="5" t="str">
        <f aca="false">IF(OR(CF282="",CG282=""),"",IF($F282="Maior Melhor",IF(CG282&gt;=CF282,"Sim","Não"),IF(CG282&lt;=CF282,"Sim","Não")))</f>
        <v/>
      </c>
      <c r="CJ282" s="12"/>
      <c r="CK282" s="12"/>
      <c r="CL282" s="4" t="str">
        <f aca="false">IF(OR(CJ282="",CK282=""),"",IFERROR(IF($K282="%",CK282-CJ282,CK282/CJ282-1),""))</f>
        <v/>
      </c>
      <c r="CM282" s="5" t="str">
        <f aca="false">IF(OR(CJ282="",CK282=""),"",IF($F282="Maior Melhor",IF(CK282&gt;=CJ282,"Sim","Não"),IF(CK282&lt;=CJ282,"Sim","Não")))</f>
        <v/>
      </c>
      <c r="CN282" s="12"/>
      <c r="CO282" s="12"/>
      <c r="CP282" s="4" t="str">
        <f aca="false">IF(OR(CN282="",CO282=""),"",IFERROR(IF($K282="%",CO282-CN282,CO282/CN282-1),""))</f>
        <v/>
      </c>
      <c r="CQ282" s="5" t="str">
        <f aca="false">IF(OR(CN282="",CO282=""),"",IF($F282="Maior Melhor",IF(CO282&gt;=CN282,"Sim","Não"),IF(CO282&lt;=CN282,"Sim","Não")))</f>
        <v/>
      </c>
      <c r="CR282" s="2" t="s">
        <v>123</v>
      </c>
    </row>
    <row r="283" customFormat="false" ht="15" hidden="false" customHeight="false" outlineLevel="0" collapsed="false">
      <c r="A283" s="2" t="s">
        <v>96</v>
      </c>
      <c r="B283" s="2" t="s">
        <v>108</v>
      </c>
      <c r="C283" s="2" t="s">
        <v>124</v>
      </c>
      <c r="D283" s="2" t="s">
        <v>189</v>
      </c>
      <c r="E283" s="2" t="str">
        <f aca="false">C283&amp;D283</f>
        <v>UTD ITAPETINGAQualidade do TOI</v>
      </c>
      <c r="F283" s="2" t="s">
        <v>100</v>
      </c>
      <c r="G283" s="2" t="s">
        <v>190</v>
      </c>
      <c r="H283" s="2" t="s">
        <v>102</v>
      </c>
      <c r="I283" s="2" t="s">
        <v>103</v>
      </c>
      <c r="J283" s="2" t="n">
        <v>2</v>
      </c>
      <c r="K283" s="2" t="s">
        <v>191</v>
      </c>
      <c r="L283" s="11" t="n">
        <v>8.2</v>
      </c>
      <c r="M283" s="11" t="n">
        <v>6.9</v>
      </c>
      <c r="N283" s="4" t="n">
        <f aca="false">IF(OR(L283="",M283=""),"",IFERROR(IF($K283="%",M283-L283,M283/L283-1),""))</f>
        <v>-0.158536585365854</v>
      </c>
      <c r="O283" s="5" t="str">
        <f aca="false">IF(OR(L283="",M283=""),"",IF($F283="Maior Melhor",IF(M283&gt;=L283,"Sim","Não"),IF(M283&lt;=L283,"Sim","Não")))</f>
        <v>Não</v>
      </c>
      <c r="P283" s="11" t="n">
        <v>8.2</v>
      </c>
      <c r="Q283" s="11" t="n">
        <v>6.8</v>
      </c>
      <c r="R283" s="4" t="n">
        <f aca="false">IF(OR(P283="",Q283=""),"",IFERROR(IF($K283="%",Q283-P283,Q283/P283-1),""))</f>
        <v>-0.170731707317073</v>
      </c>
      <c r="S283" s="5" t="str">
        <f aca="false">IF(OR(P283="",Q283=""),"",IF($F283="Maior Melhor",IF(Q283&gt;=P283,"Sim","Não"),IF(Q283&lt;=P283,"Sim","Não")))</f>
        <v>Não</v>
      </c>
      <c r="T283" s="11" t="n">
        <v>8.2</v>
      </c>
      <c r="U283" s="11" t="n">
        <v>6.9</v>
      </c>
      <c r="V283" s="4" t="n">
        <f aca="false">IF(OR(T283="",U283=""),"",IFERROR(IF($K283="%",U283-T283,U283/T283-1),""))</f>
        <v>-0.158536585365854</v>
      </c>
      <c r="W283" s="5" t="str">
        <f aca="false">IF(OR(T283="",U283=""),"",IF($F283="Maior Melhor",IF(U283&gt;=T283,"Sim","Não"),IF(U283&lt;=T283,"Sim","Não")))</f>
        <v>Não</v>
      </c>
      <c r="X283" s="11" t="n">
        <v>8.2</v>
      </c>
      <c r="Y283" s="11" t="n">
        <v>10</v>
      </c>
      <c r="Z283" s="4" t="n">
        <f aca="false">IF(OR(X283="",Y283=""),"",IFERROR(IF($K283="%",Y283-X283,Y283/X283-1),""))</f>
        <v>0.219512195121951</v>
      </c>
      <c r="AA283" s="5" t="str">
        <f aca="false">IF(OR(X283="",Y283=""),"",IF($F283="Maior Melhor",IF(Y283&gt;=X283,"Sim","Não"),IF(Y283&lt;=X283,"Sim","Não")))</f>
        <v>Sim</v>
      </c>
      <c r="AB283" s="11" t="n">
        <v>8.2</v>
      </c>
      <c r="AC283" s="11" t="n">
        <v>7.6</v>
      </c>
      <c r="AD283" s="4" t="n">
        <f aca="false">IF(OR(AB283="",AC283=""),"",IFERROR(IF($K283="%",AC283-AB283,AC283/AB283-1),""))</f>
        <v>-0.073170731707317</v>
      </c>
      <c r="AE283" s="5" t="str">
        <f aca="false">IF(OR(AB283="",AC283=""),"",IF($F283="Maior Melhor",IF(AC283&gt;=AB283,"Sim","Não"),IF(AC283&lt;=AB283,"Sim","Não")))</f>
        <v>Não</v>
      </c>
      <c r="AF283" s="11" t="n">
        <v>8.2</v>
      </c>
      <c r="AG283" s="11" t="n">
        <v>9</v>
      </c>
      <c r="AH283" s="4" t="n">
        <f aca="false">IF(OR(AF283="",AG283=""),"",IFERROR(IF($K283="%",AG283-AF283,AG283/AF283-1),""))</f>
        <v>0.0975609756097562</v>
      </c>
      <c r="AI283" s="5" t="str">
        <f aca="false">IF(OR(AF283="",AG283=""),"",IF($F283="Maior Melhor",IF(AG283&gt;=AF283,"Sim","Não"),IF(AG283&lt;=AF283,"Sim","Não")))</f>
        <v>Sim</v>
      </c>
      <c r="AJ283" s="11" t="n">
        <v>8.2</v>
      </c>
      <c r="AK283" s="11" t="n">
        <v>8</v>
      </c>
      <c r="AL283" s="4" t="n">
        <f aca="false">IF(OR(AJ283="",AK283=""),"",IFERROR(IF($K283="%",AK283-AJ283,AK283/AJ283-1),""))</f>
        <v>-0.0243902439024389</v>
      </c>
      <c r="AM283" s="5" t="str">
        <f aca="false">IF(OR(AJ283="",AK283=""),"",IF($F283="Maior Melhor",IF(AK283&gt;=AJ283,"Sim","Não"),IF(AK283&lt;=AJ283,"Sim","Não")))</f>
        <v>Não</v>
      </c>
      <c r="AN283" s="11" t="n">
        <v>8.2</v>
      </c>
      <c r="AO283" s="11" t="n">
        <v>8.8</v>
      </c>
      <c r="AP283" s="4" t="n">
        <f aca="false">IF(OR(AN283="",AO283=""),"",IFERROR(IF($K283="%",AO283-AN283,AO283/AN283-1),""))</f>
        <v>0.0731707317073174</v>
      </c>
      <c r="AQ283" s="5" t="str">
        <f aca="false">IF(OR(AN283="",AO283=""),"",IF($F283="Maior Melhor",IF(AO283&gt;=AN283,"Sim","Não"),IF(AO283&lt;=AN283,"Sim","Não")))</f>
        <v>Sim</v>
      </c>
      <c r="AR283" s="11" t="n">
        <v>8.2</v>
      </c>
      <c r="AS283" s="11" t="n">
        <v>8.1</v>
      </c>
      <c r="AT283" s="4" t="n">
        <f aca="false">IF(OR(AR283="",AS283=""),"",IFERROR(IF($K283="%",AS283-AR283,AS283/AR283-1),""))</f>
        <v>-0.0121951219512195</v>
      </c>
      <c r="AU283" s="5" t="str">
        <f aca="false">IF(OR(AR283="",AS283=""),"",IF($F283="Maior Melhor",IF(AS283&gt;=AR283,"Sim","Não"),IF(AS283&lt;=AR283,"Sim","Não")))</f>
        <v>Não</v>
      </c>
      <c r="AV283" s="11" t="n">
        <v>8.2</v>
      </c>
      <c r="AW283" s="11" t="n">
        <v>9.1</v>
      </c>
      <c r="AX283" s="4" t="n">
        <f aca="false">IF(OR(AV283="",AW283=""),"",IFERROR(IF($K283="%",AW283-AV283,AW283/AV283-1),""))</f>
        <v>0.109756097560976</v>
      </c>
      <c r="AY283" s="5" t="str">
        <f aca="false">IF(OR(AV283="",AW283=""),"",IF($F283="Maior Melhor",IF(AW283&gt;=AV283,"Sim","Não"),IF(AW283&lt;=AV283,"Sim","Não")))</f>
        <v>Sim</v>
      </c>
      <c r="AZ283" s="11" t="n">
        <v>8.2</v>
      </c>
      <c r="BA283" s="11" t="n">
        <v>8.2</v>
      </c>
      <c r="BB283" s="4" t="n">
        <f aca="false">IF(OR(AZ283="",BA283=""),"",IFERROR(IF($K283="%",BA283-AZ283,BA283/AZ283-1),""))</f>
        <v>0</v>
      </c>
      <c r="BC283" s="5" t="str">
        <f aca="false">IF(OR(AZ283="",BA283=""),"",IF($F283="Maior Melhor",IF(BA283&gt;=AZ283,"Sim","Não"),IF(BA283&lt;=AZ283,"Sim","Não")))</f>
        <v>Sim</v>
      </c>
      <c r="BD283" s="11" t="n">
        <v>8.2</v>
      </c>
      <c r="BE283" s="11" t="n">
        <v>8.9</v>
      </c>
      <c r="BF283" s="4" t="n">
        <f aca="false">IF(OR(BD283="",BE283=""),"",IFERROR(IF($K283="%",BE283-BD283,BE283/BD283-1),""))</f>
        <v>0.0853658536585367</v>
      </c>
      <c r="BG283" s="5" t="str">
        <f aca="false">IF(OR(BD283="",BE283=""),"",IF($F283="Maior Melhor",IF(BE283&gt;=BD283,"Sim","Não"),IF(BE283&lt;=BD283,"Sim","Não")))</f>
        <v>Sim</v>
      </c>
      <c r="BH283" s="11" t="n">
        <v>8.2</v>
      </c>
      <c r="BI283" s="11" t="n">
        <v>8.3</v>
      </c>
      <c r="BJ283" s="4" t="n">
        <f aca="false">IF(OR(BH283="",BI283=""),"",IFERROR(IF($K283="%",BI283-BH283,BI283/BH283-1),""))</f>
        <v>0.0121951219512197</v>
      </c>
      <c r="BK283" s="5" t="str">
        <f aca="false">IF(OR(BH283="",BI283=""),"",IF($F283="Maior Melhor",IF(BI283&gt;=BH283,"Sim","Não"),IF(BI283&lt;=BH283,"Sim","Não")))</f>
        <v>Sim</v>
      </c>
      <c r="BL283" s="12"/>
      <c r="BM283" s="12"/>
      <c r="BN283" s="4" t="str">
        <f aca="false">IF(OR(BL283="",BM283=""),"",IFERROR(IF($K283="%",BM283-BL283,BM283/BL283-1),""))</f>
        <v/>
      </c>
      <c r="BO283" s="5" t="str">
        <f aca="false">IF(OR(BL283="",BM283=""),"",IF($F283="Maior Melhor",IF(BM283&gt;=BL283,"Sim","Não"),IF(BM283&lt;=BL283,"Sim","Não")))</f>
        <v/>
      </c>
      <c r="BP283" s="12"/>
      <c r="BQ283" s="12"/>
      <c r="BR283" s="4" t="str">
        <f aca="false">IF(OR(BP283="",BQ283=""),"",IFERROR(IF($K283="%",BQ283-BP283,BQ283/BP283-1),""))</f>
        <v/>
      </c>
      <c r="BS283" s="5" t="str">
        <f aca="false">IF(OR(BP283="",BQ283=""),"",IF($F283="Maior Melhor",IF(BQ283&gt;=BP283,"Sim","Não"),IF(BQ283&lt;=BP283,"Sim","Não")))</f>
        <v/>
      </c>
      <c r="BT283" s="12"/>
      <c r="BU283" s="12"/>
      <c r="BV283" s="4" t="str">
        <f aca="false">IF(OR(BT283="",BU283=""),"",IFERROR(IF($K283="%",BU283-BT283,BU283/BT283-1),""))</f>
        <v/>
      </c>
      <c r="BW283" s="5" t="str">
        <f aca="false">IF(OR(BT283="",BU283=""),"",IF($F283="Maior Melhor",IF(BU283&gt;=BT283,"Sim","Não"),IF(BU283&lt;=BT283,"Sim","Não")))</f>
        <v/>
      </c>
      <c r="BX283" s="12"/>
      <c r="BY283" s="12"/>
      <c r="BZ283" s="4" t="str">
        <f aca="false">IF(OR(BX283="",BY283=""),"",IFERROR(IF($K283="%",BY283-BX283,BY283/BX283-1),""))</f>
        <v/>
      </c>
      <c r="CA283" s="5" t="str">
        <f aca="false">IF(OR(BX283="",BY283=""),"",IF($F283="Maior Melhor",IF(BY283&gt;=BX283,"Sim","Não"),IF(BY283&lt;=BX283,"Sim","Não")))</f>
        <v/>
      </c>
      <c r="CB283" s="12"/>
      <c r="CC283" s="12"/>
      <c r="CD283" s="4" t="str">
        <f aca="false">IF(OR(CB283="",CC283=""),"",IFERROR(IF($K283="%",CC283-CB283,CC283/CB283-1),""))</f>
        <v/>
      </c>
      <c r="CE283" s="5" t="str">
        <f aca="false">IF(OR(CB283="",CC283=""),"",IF($F283="Maior Melhor",IF(CC283&gt;=CB283,"Sim","Não"),IF(CC283&lt;=CB283,"Sim","Não")))</f>
        <v/>
      </c>
      <c r="CF283" s="12"/>
      <c r="CG283" s="12"/>
      <c r="CH283" s="4" t="str">
        <f aca="false">IF(OR(CF283="",CG283=""),"",IFERROR(IF($K283="%",CG283-CF283,CG283/CF283-1),""))</f>
        <v/>
      </c>
      <c r="CI283" s="5" t="str">
        <f aca="false">IF(OR(CF283="",CG283=""),"",IF($F283="Maior Melhor",IF(CG283&gt;=CF283,"Sim","Não"),IF(CG283&lt;=CF283,"Sim","Não")))</f>
        <v/>
      </c>
      <c r="CJ283" s="12"/>
      <c r="CK283" s="12"/>
      <c r="CL283" s="4" t="str">
        <f aca="false">IF(OR(CJ283="",CK283=""),"",IFERROR(IF($K283="%",CK283-CJ283,CK283/CJ283-1),""))</f>
        <v/>
      </c>
      <c r="CM283" s="5" t="str">
        <f aca="false">IF(OR(CJ283="",CK283=""),"",IF($F283="Maior Melhor",IF(CK283&gt;=CJ283,"Sim","Não"),IF(CK283&lt;=CJ283,"Sim","Não")))</f>
        <v/>
      </c>
      <c r="CN283" s="12"/>
      <c r="CO283" s="12"/>
      <c r="CP283" s="4" t="str">
        <f aca="false">IF(OR(CN283="",CO283=""),"",IFERROR(IF($K283="%",CO283-CN283,CO283/CN283-1),""))</f>
        <v/>
      </c>
      <c r="CQ283" s="5" t="str">
        <f aca="false">IF(OR(CN283="",CO283=""),"",IF($F283="Maior Melhor",IF(CO283&gt;=CN283,"Sim","Não"),IF(CO283&lt;=CN283,"Sim","Não")))</f>
        <v/>
      </c>
      <c r="CR283" s="2" t="s">
        <v>105</v>
      </c>
    </row>
    <row r="284" customFormat="false" ht="15" hidden="false" customHeight="false" outlineLevel="0" collapsed="false">
      <c r="A284" s="2" t="s">
        <v>96</v>
      </c>
      <c r="B284" s="2" t="s">
        <v>97</v>
      </c>
      <c r="C284" s="2" t="s">
        <v>125</v>
      </c>
      <c r="D284" s="2" t="s">
        <v>189</v>
      </c>
      <c r="E284" s="2" t="str">
        <f aca="false">C284&amp;D284</f>
        <v>UTD JEQUIÉQualidade do TOI</v>
      </c>
      <c r="F284" s="2" t="s">
        <v>100</v>
      </c>
      <c r="G284" s="2" t="s">
        <v>190</v>
      </c>
      <c r="H284" s="2" t="s">
        <v>102</v>
      </c>
      <c r="I284" s="2" t="s">
        <v>103</v>
      </c>
      <c r="J284" s="2" t="n">
        <v>2</v>
      </c>
      <c r="K284" s="2" t="s">
        <v>191</v>
      </c>
      <c r="L284" s="11" t="n">
        <v>8.2</v>
      </c>
      <c r="M284" s="11" t="n">
        <v>8.8</v>
      </c>
      <c r="N284" s="4" t="n">
        <f aca="false">IF(OR(L284="",M284=""),"",IFERROR(IF($K284="%",M284-L284,M284/L284-1),""))</f>
        <v>0.0731707317073174</v>
      </c>
      <c r="O284" s="5" t="str">
        <f aca="false">IF(OR(L284="",M284=""),"",IF($F284="Maior Melhor",IF(M284&gt;=L284,"Sim","Não"),IF(M284&lt;=L284,"Sim","Não")))</f>
        <v>Sim</v>
      </c>
      <c r="P284" s="11" t="n">
        <v>8.2</v>
      </c>
      <c r="Q284" s="11" t="n">
        <v>9.9</v>
      </c>
      <c r="R284" s="4" t="n">
        <f aca="false">IF(OR(P284="",Q284=""),"",IFERROR(IF($K284="%",Q284-P284,Q284/P284-1),""))</f>
        <v>0.207317073170732</v>
      </c>
      <c r="S284" s="5" t="str">
        <f aca="false">IF(OR(P284="",Q284=""),"",IF($F284="Maior Melhor",IF(Q284&gt;=P284,"Sim","Não"),IF(Q284&lt;=P284,"Sim","Não")))</f>
        <v>Sim</v>
      </c>
      <c r="T284" s="11" t="n">
        <v>8.2</v>
      </c>
      <c r="U284" s="11" t="n">
        <v>7</v>
      </c>
      <c r="V284" s="4" t="n">
        <f aca="false">IF(OR(T284="",U284=""),"",IFERROR(IF($K284="%",U284-T284,U284/T284-1),""))</f>
        <v>-0.146341463414634</v>
      </c>
      <c r="W284" s="5" t="str">
        <f aca="false">IF(OR(T284="",U284=""),"",IF($F284="Maior Melhor",IF(U284&gt;=T284,"Sim","Não"),IF(U284&lt;=T284,"Sim","Não")))</f>
        <v>Não</v>
      </c>
      <c r="X284" s="11" t="n">
        <v>8.2</v>
      </c>
      <c r="Y284" s="11" t="n">
        <v>9.2</v>
      </c>
      <c r="Z284" s="4" t="n">
        <f aca="false">IF(OR(X284="",Y284=""),"",IFERROR(IF($K284="%",Y284-X284,Y284/X284-1),""))</f>
        <v>0.121951219512195</v>
      </c>
      <c r="AA284" s="5" t="str">
        <f aca="false">IF(OR(X284="",Y284=""),"",IF($F284="Maior Melhor",IF(Y284&gt;=X284,"Sim","Não"),IF(Y284&lt;=X284,"Sim","Não")))</f>
        <v>Sim</v>
      </c>
      <c r="AB284" s="11" t="n">
        <v>8.2</v>
      </c>
      <c r="AC284" s="11" t="n">
        <v>8.6</v>
      </c>
      <c r="AD284" s="4" t="n">
        <f aca="false">IF(OR(AB284="",AC284=""),"",IFERROR(IF($K284="%",AC284-AB284,AC284/AB284-1),""))</f>
        <v>0.0487804878048781</v>
      </c>
      <c r="AE284" s="5" t="str">
        <f aca="false">IF(OR(AB284="",AC284=""),"",IF($F284="Maior Melhor",IF(AC284&gt;=AB284,"Sim","Não"),IF(AC284&lt;=AB284,"Sim","Não")))</f>
        <v>Sim</v>
      </c>
      <c r="AF284" s="11" t="n">
        <v>8.2</v>
      </c>
      <c r="AG284" s="11" t="n">
        <v>10</v>
      </c>
      <c r="AH284" s="4" t="n">
        <f aca="false">IF(OR(AF284="",AG284=""),"",IFERROR(IF($K284="%",AG284-AF284,AG284/AF284-1),""))</f>
        <v>0.219512195121951</v>
      </c>
      <c r="AI284" s="5" t="str">
        <f aca="false">IF(OR(AF284="",AG284=""),"",IF($F284="Maior Melhor",IF(AG284&gt;=AF284,"Sim","Não"),IF(AG284&lt;=AF284,"Sim","Não")))</f>
        <v>Sim</v>
      </c>
      <c r="AJ284" s="11" t="n">
        <v>8.2</v>
      </c>
      <c r="AK284" s="11" t="n">
        <v>9</v>
      </c>
      <c r="AL284" s="4" t="n">
        <f aca="false">IF(OR(AJ284="",AK284=""),"",IFERROR(IF($K284="%",AK284-AJ284,AK284/AJ284-1),""))</f>
        <v>0.0975609756097562</v>
      </c>
      <c r="AM284" s="5" t="str">
        <f aca="false">IF(OR(AJ284="",AK284=""),"",IF($F284="Maior Melhor",IF(AK284&gt;=AJ284,"Sim","Não"),IF(AK284&lt;=AJ284,"Sim","Não")))</f>
        <v>Sim</v>
      </c>
      <c r="AN284" s="11" t="n">
        <v>8.2</v>
      </c>
      <c r="AO284" s="11" t="n">
        <v>8.8</v>
      </c>
      <c r="AP284" s="4" t="n">
        <f aca="false">IF(OR(AN284="",AO284=""),"",IFERROR(IF($K284="%",AO284-AN284,AO284/AN284-1),""))</f>
        <v>0.0731707317073174</v>
      </c>
      <c r="AQ284" s="5" t="str">
        <f aca="false">IF(OR(AN284="",AO284=""),"",IF($F284="Maior Melhor",IF(AO284&gt;=AN284,"Sim","Não"),IF(AO284&lt;=AN284,"Sim","Não")))</f>
        <v>Sim</v>
      </c>
      <c r="AR284" s="11" t="n">
        <v>8.2</v>
      </c>
      <c r="AS284" s="11" t="n">
        <v>9</v>
      </c>
      <c r="AT284" s="4" t="n">
        <f aca="false">IF(OR(AR284="",AS284=""),"",IFERROR(IF($K284="%",AS284-AR284,AS284/AR284-1),""))</f>
        <v>0.0975609756097562</v>
      </c>
      <c r="AU284" s="5" t="str">
        <f aca="false">IF(OR(AR284="",AS284=""),"",IF($F284="Maior Melhor",IF(AS284&gt;=AR284,"Sim","Não"),IF(AS284&lt;=AR284,"Sim","Não")))</f>
        <v>Sim</v>
      </c>
      <c r="AV284" s="11" t="n">
        <v>8.2</v>
      </c>
      <c r="AW284" s="11" t="n">
        <v>9.7</v>
      </c>
      <c r="AX284" s="4" t="n">
        <f aca="false">IF(OR(AV284="",AW284=""),"",IFERROR(IF($K284="%",AW284-AV284,AW284/AV284-1),""))</f>
        <v>0.182926829268293</v>
      </c>
      <c r="AY284" s="5" t="str">
        <f aca="false">IF(OR(AV284="",AW284=""),"",IF($F284="Maior Melhor",IF(AW284&gt;=AV284,"Sim","Não"),IF(AW284&lt;=AV284,"Sim","Não")))</f>
        <v>Sim</v>
      </c>
      <c r="AZ284" s="11" t="n">
        <v>8.2</v>
      </c>
      <c r="BA284" s="11" t="n">
        <v>9.1</v>
      </c>
      <c r="BB284" s="4" t="n">
        <f aca="false">IF(OR(AZ284="",BA284=""),"",IFERROR(IF($K284="%",BA284-AZ284,BA284/AZ284-1),""))</f>
        <v>0.109756097560976</v>
      </c>
      <c r="BC284" s="5" t="str">
        <f aca="false">IF(OR(AZ284="",BA284=""),"",IF($F284="Maior Melhor",IF(BA284&gt;=AZ284,"Sim","Não"),IF(BA284&lt;=AZ284,"Sim","Não")))</f>
        <v>Sim</v>
      </c>
      <c r="BD284" s="11" t="n">
        <v>8.2</v>
      </c>
      <c r="BE284" s="11" t="n">
        <v>10</v>
      </c>
      <c r="BF284" s="4" t="n">
        <f aca="false">IF(OR(BD284="",BE284=""),"",IFERROR(IF($K284="%",BE284-BD284,BE284/BD284-1),""))</f>
        <v>0.219512195121951</v>
      </c>
      <c r="BG284" s="5" t="str">
        <f aca="false">IF(OR(BD284="",BE284=""),"",IF($F284="Maior Melhor",IF(BE284&gt;=BD284,"Sim","Não"),IF(BE284&lt;=BD284,"Sim","Não")))</f>
        <v>Sim</v>
      </c>
      <c r="BH284" s="11" t="n">
        <v>8.2</v>
      </c>
      <c r="BI284" s="11" t="n">
        <v>9.2</v>
      </c>
      <c r="BJ284" s="4" t="n">
        <f aca="false">IF(OR(BH284="",BI284=""),"",IFERROR(IF($K284="%",BI284-BH284,BI284/BH284-1),""))</f>
        <v>0.121951219512195</v>
      </c>
      <c r="BK284" s="5" t="str">
        <f aca="false">IF(OR(BH284="",BI284=""),"",IF($F284="Maior Melhor",IF(BI284&gt;=BH284,"Sim","Não"),IF(BI284&lt;=BH284,"Sim","Não")))</f>
        <v>Sim</v>
      </c>
      <c r="BL284" s="12"/>
      <c r="BM284" s="12"/>
      <c r="BN284" s="4" t="str">
        <f aca="false">IF(OR(BL284="",BM284=""),"",IFERROR(IF($K284="%",BM284-BL284,BM284/BL284-1),""))</f>
        <v/>
      </c>
      <c r="BO284" s="5" t="str">
        <f aca="false">IF(OR(BL284="",BM284=""),"",IF($F284="Maior Melhor",IF(BM284&gt;=BL284,"Sim","Não"),IF(BM284&lt;=BL284,"Sim","Não")))</f>
        <v/>
      </c>
      <c r="BP284" s="12"/>
      <c r="BQ284" s="12"/>
      <c r="BR284" s="4" t="str">
        <f aca="false">IF(OR(BP284="",BQ284=""),"",IFERROR(IF($K284="%",BQ284-BP284,BQ284/BP284-1),""))</f>
        <v/>
      </c>
      <c r="BS284" s="5" t="str">
        <f aca="false">IF(OR(BP284="",BQ284=""),"",IF($F284="Maior Melhor",IF(BQ284&gt;=BP284,"Sim","Não"),IF(BQ284&lt;=BP284,"Sim","Não")))</f>
        <v/>
      </c>
      <c r="BT284" s="12"/>
      <c r="BU284" s="12"/>
      <c r="BV284" s="4" t="str">
        <f aca="false">IF(OR(BT284="",BU284=""),"",IFERROR(IF($K284="%",BU284-BT284,BU284/BT284-1),""))</f>
        <v/>
      </c>
      <c r="BW284" s="5" t="str">
        <f aca="false">IF(OR(BT284="",BU284=""),"",IF($F284="Maior Melhor",IF(BU284&gt;=BT284,"Sim","Não"),IF(BU284&lt;=BT284,"Sim","Não")))</f>
        <v/>
      </c>
      <c r="BX284" s="12"/>
      <c r="BY284" s="12"/>
      <c r="BZ284" s="4" t="str">
        <f aca="false">IF(OR(BX284="",BY284=""),"",IFERROR(IF($K284="%",BY284-BX284,BY284/BX284-1),""))</f>
        <v/>
      </c>
      <c r="CA284" s="5" t="str">
        <f aca="false">IF(OR(BX284="",BY284=""),"",IF($F284="Maior Melhor",IF(BY284&gt;=BX284,"Sim","Não"),IF(BY284&lt;=BX284,"Sim","Não")))</f>
        <v/>
      </c>
      <c r="CB284" s="12"/>
      <c r="CC284" s="12"/>
      <c r="CD284" s="4" t="str">
        <f aca="false">IF(OR(CB284="",CC284=""),"",IFERROR(IF($K284="%",CC284-CB284,CC284/CB284-1),""))</f>
        <v/>
      </c>
      <c r="CE284" s="5" t="str">
        <f aca="false">IF(OR(CB284="",CC284=""),"",IF($F284="Maior Melhor",IF(CC284&gt;=CB284,"Sim","Não"),IF(CC284&lt;=CB284,"Sim","Não")))</f>
        <v/>
      </c>
      <c r="CF284" s="12"/>
      <c r="CG284" s="12"/>
      <c r="CH284" s="4" t="str">
        <f aca="false">IF(OR(CF284="",CG284=""),"",IFERROR(IF($K284="%",CG284-CF284,CG284/CF284-1),""))</f>
        <v/>
      </c>
      <c r="CI284" s="5" t="str">
        <f aca="false">IF(OR(CF284="",CG284=""),"",IF($F284="Maior Melhor",IF(CG284&gt;=CF284,"Sim","Não"),IF(CG284&lt;=CF284,"Sim","Não")))</f>
        <v/>
      </c>
      <c r="CJ284" s="12"/>
      <c r="CK284" s="12"/>
      <c r="CL284" s="4" t="str">
        <f aca="false">IF(OR(CJ284="",CK284=""),"",IFERROR(IF($K284="%",CK284-CJ284,CK284/CJ284-1),""))</f>
        <v/>
      </c>
      <c r="CM284" s="5" t="str">
        <f aca="false">IF(OR(CJ284="",CK284=""),"",IF($F284="Maior Melhor",IF(CK284&gt;=CJ284,"Sim","Não"),IF(CK284&lt;=CJ284,"Sim","Não")))</f>
        <v/>
      </c>
      <c r="CN284" s="12"/>
      <c r="CO284" s="12"/>
      <c r="CP284" s="4" t="str">
        <f aca="false">IF(OR(CN284="",CO284=""),"",IFERROR(IF($K284="%",CO284-CN284,CO284/CN284-1),""))</f>
        <v/>
      </c>
      <c r="CQ284" s="5" t="str">
        <f aca="false">IF(OR(CN284="",CO284=""),"",IF($F284="Maior Melhor",IF(CO284&gt;=CN284,"Sim","Não"),IF(CO284&lt;=CN284,"Sim","Não")))</f>
        <v/>
      </c>
      <c r="CR284" s="2" t="s">
        <v>105</v>
      </c>
    </row>
    <row r="285" customFormat="false" ht="15" hidden="false" customHeight="false" outlineLevel="0" collapsed="false">
      <c r="A285" s="2" t="s">
        <v>96</v>
      </c>
      <c r="B285" s="2" t="s">
        <v>97</v>
      </c>
      <c r="C285" s="2" t="s">
        <v>126</v>
      </c>
      <c r="D285" s="2" t="s">
        <v>189</v>
      </c>
      <c r="E285" s="2" t="str">
        <f aca="false">C285&amp;D285</f>
        <v>UTD LIVRAMENTO DE NOSSA SENHORAQualidade do TOI</v>
      </c>
      <c r="F285" s="2" t="s">
        <v>100</v>
      </c>
      <c r="G285" s="2" t="s">
        <v>190</v>
      </c>
      <c r="H285" s="2" t="s">
        <v>102</v>
      </c>
      <c r="I285" s="2" t="s">
        <v>103</v>
      </c>
      <c r="J285" s="2" t="n">
        <v>2</v>
      </c>
      <c r="K285" s="2" t="s">
        <v>191</v>
      </c>
      <c r="L285" s="11" t="n">
        <v>8.2</v>
      </c>
      <c r="M285" s="11" t="n">
        <v>10</v>
      </c>
      <c r="N285" s="4" t="n">
        <f aca="false">IF(OR(L285="",M285=""),"",IFERROR(IF($K285="%",M285-L285,M285/L285-1),""))</f>
        <v>0.219512195121951</v>
      </c>
      <c r="O285" s="5" t="str">
        <f aca="false">IF(OR(L285="",M285=""),"",IF($F285="Maior Melhor",IF(M285&gt;=L285,"Sim","Não"),IF(M285&lt;=L285,"Sim","Não")))</f>
        <v>Sim</v>
      </c>
      <c r="P285" s="11" t="n">
        <v>8.2</v>
      </c>
      <c r="Q285" s="11" t="n">
        <v>10</v>
      </c>
      <c r="R285" s="4" t="n">
        <f aca="false">IF(OR(P285="",Q285=""),"",IFERROR(IF($K285="%",Q285-P285,Q285/P285-1),""))</f>
        <v>0.219512195121951</v>
      </c>
      <c r="S285" s="5" t="str">
        <f aca="false">IF(OR(P285="",Q285=""),"",IF($F285="Maior Melhor",IF(Q285&gt;=P285,"Sim","Não"),IF(Q285&lt;=P285,"Sim","Não")))</f>
        <v>Sim</v>
      </c>
      <c r="T285" s="11" t="n">
        <v>8.2</v>
      </c>
      <c r="U285" s="11" t="n">
        <v>9.9</v>
      </c>
      <c r="V285" s="4" t="n">
        <f aca="false">IF(OR(T285="",U285=""),"",IFERROR(IF($K285="%",U285-T285,U285/T285-1),""))</f>
        <v>0.207317073170732</v>
      </c>
      <c r="W285" s="5" t="str">
        <f aca="false">IF(OR(T285="",U285=""),"",IF($F285="Maior Melhor",IF(U285&gt;=T285,"Sim","Não"),IF(U285&lt;=T285,"Sim","Não")))</f>
        <v>Sim</v>
      </c>
      <c r="X285" s="11" t="n">
        <v>8.2</v>
      </c>
      <c r="Y285" s="11" t="n">
        <v>10</v>
      </c>
      <c r="Z285" s="4" t="n">
        <f aca="false">IF(OR(X285="",Y285=""),"",IFERROR(IF($K285="%",Y285-X285,Y285/X285-1),""))</f>
        <v>0.219512195121951</v>
      </c>
      <c r="AA285" s="5" t="str">
        <f aca="false">IF(OR(X285="",Y285=""),"",IF($F285="Maior Melhor",IF(Y285&gt;=X285,"Sim","Não"),IF(Y285&lt;=X285,"Sim","Não")))</f>
        <v>Sim</v>
      </c>
      <c r="AB285" s="11" t="n">
        <v>8.2</v>
      </c>
      <c r="AC285" s="11" t="n">
        <v>10</v>
      </c>
      <c r="AD285" s="4" t="n">
        <f aca="false">IF(OR(AB285="",AC285=""),"",IFERROR(IF($K285="%",AC285-AB285,AC285/AB285-1),""))</f>
        <v>0.219512195121951</v>
      </c>
      <c r="AE285" s="5" t="str">
        <f aca="false">IF(OR(AB285="",AC285=""),"",IF($F285="Maior Melhor",IF(AC285&gt;=AB285,"Sim","Não"),IF(AC285&lt;=AB285,"Sim","Não")))</f>
        <v>Sim</v>
      </c>
      <c r="AF285" s="11" t="n">
        <v>8.2</v>
      </c>
      <c r="AG285" s="11" t="n">
        <v>10</v>
      </c>
      <c r="AH285" s="4" t="n">
        <f aca="false">IF(OR(AF285="",AG285=""),"",IFERROR(IF($K285="%",AG285-AF285,AG285/AF285-1),""))</f>
        <v>0.219512195121951</v>
      </c>
      <c r="AI285" s="5" t="str">
        <f aca="false">IF(OR(AF285="",AG285=""),"",IF($F285="Maior Melhor",IF(AG285&gt;=AF285,"Sim","Não"),IF(AG285&lt;=AF285,"Sim","Não")))</f>
        <v>Sim</v>
      </c>
      <c r="AJ285" s="11" t="n">
        <v>8.2</v>
      </c>
      <c r="AK285" s="11" t="n">
        <v>10</v>
      </c>
      <c r="AL285" s="4" t="n">
        <f aca="false">IF(OR(AJ285="",AK285=""),"",IFERROR(IF($K285="%",AK285-AJ285,AK285/AJ285-1),""))</f>
        <v>0.219512195121951</v>
      </c>
      <c r="AM285" s="5" t="str">
        <f aca="false">IF(OR(AJ285="",AK285=""),"",IF($F285="Maior Melhor",IF(AK285&gt;=AJ285,"Sim","Não"),IF(AK285&lt;=AJ285,"Sim","Não")))</f>
        <v>Sim</v>
      </c>
      <c r="AN285" s="11" t="n">
        <v>8.2</v>
      </c>
      <c r="AO285" s="11" t="n">
        <v>9.7</v>
      </c>
      <c r="AP285" s="4" t="n">
        <f aca="false">IF(OR(AN285="",AO285=""),"",IFERROR(IF($K285="%",AO285-AN285,AO285/AN285-1),""))</f>
        <v>0.182926829268293</v>
      </c>
      <c r="AQ285" s="5" t="str">
        <f aca="false">IF(OR(AN285="",AO285=""),"",IF($F285="Maior Melhor",IF(AO285&gt;=AN285,"Sim","Não"),IF(AO285&lt;=AN285,"Sim","Não")))</f>
        <v>Sim</v>
      </c>
      <c r="AR285" s="11" t="n">
        <v>8.2</v>
      </c>
      <c r="AS285" s="11" t="n">
        <v>9.9</v>
      </c>
      <c r="AT285" s="4" t="n">
        <f aca="false">IF(OR(AR285="",AS285=""),"",IFERROR(IF($K285="%",AS285-AR285,AS285/AR285-1),""))</f>
        <v>0.207317073170732</v>
      </c>
      <c r="AU285" s="5" t="str">
        <f aca="false">IF(OR(AR285="",AS285=""),"",IF($F285="Maior Melhor",IF(AS285&gt;=AR285,"Sim","Não"),IF(AS285&lt;=AR285,"Sim","Não")))</f>
        <v>Sim</v>
      </c>
      <c r="AV285" s="11" t="n">
        <v>8.2</v>
      </c>
      <c r="AW285" s="11" t="n">
        <v>10</v>
      </c>
      <c r="AX285" s="4" t="n">
        <f aca="false">IF(OR(AV285="",AW285=""),"",IFERROR(IF($K285="%",AW285-AV285,AW285/AV285-1),""))</f>
        <v>0.219512195121951</v>
      </c>
      <c r="AY285" s="5" t="str">
        <f aca="false">IF(OR(AV285="",AW285=""),"",IF($F285="Maior Melhor",IF(AW285&gt;=AV285,"Sim","Não"),IF(AW285&lt;=AV285,"Sim","Não")))</f>
        <v>Sim</v>
      </c>
      <c r="AZ285" s="11" t="n">
        <v>8.2</v>
      </c>
      <c r="BA285" s="11" t="n">
        <v>9.9</v>
      </c>
      <c r="BB285" s="4" t="n">
        <f aca="false">IF(OR(AZ285="",BA285=""),"",IFERROR(IF($K285="%",BA285-AZ285,BA285/AZ285-1),""))</f>
        <v>0.207317073170732</v>
      </c>
      <c r="BC285" s="5" t="str">
        <f aca="false">IF(OR(AZ285="",BA285=""),"",IF($F285="Maior Melhor",IF(BA285&gt;=AZ285,"Sim","Não"),IF(BA285&lt;=AZ285,"Sim","Não")))</f>
        <v>Sim</v>
      </c>
      <c r="BD285" s="11" t="n">
        <v>8.2</v>
      </c>
      <c r="BE285" s="11" t="n">
        <v>10</v>
      </c>
      <c r="BF285" s="4" t="n">
        <f aca="false">IF(OR(BD285="",BE285=""),"",IFERROR(IF($K285="%",BE285-BD285,BE285/BD285-1),""))</f>
        <v>0.219512195121951</v>
      </c>
      <c r="BG285" s="5" t="str">
        <f aca="false">IF(OR(BD285="",BE285=""),"",IF($F285="Maior Melhor",IF(BE285&gt;=BD285,"Sim","Não"),IF(BE285&lt;=BD285,"Sim","Não")))</f>
        <v>Sim</v>
      </c>
      <c r="BH285" s="11" t="n">
        <v>8.2</v>
      </c>
      <c r="BI285" s="11" t="n">
        <v>9.9</v>
      </c>
      <c r="BJ285" s="4" t="n">
        <f aca="false">IF(OR(BH285="",BI285=""),"",IFERROR(IF($K285="%",BI285-BH285,BI285/BH285-1),""))</f>
        <v>0.207317073170732</v>
      </c>
      <c r="BK285" s="5" t="str">
        <f aca="false">IF(OR(BH285="",BI285=""),"",IF($F285="Maior Melhor",IF(BI285&gt;=BH285,"Sim","Não"),IF(BI285&lt;=BH285,"Sim","Não")))</f>
        <v>Sim</v>
      </c>
      <c r="BL285" s="12"/>
      <c r="BM285" s="12"/>
      <c r="BN285" s="4" t="str">
        <f aca="false">IF(OR(BL285="",BM285=""),"",IFERROR(IF($K285="%",BM285-BL285,BM285/BL285-1),""))</f>
        <v/>
      </c>
      <c r="BO285" s="5" t="str">
        <f aca="false">IF(OR(BL285="",BM285=""),"",IF($F285="Maior Melhor",IF(BM285&gt;=BL285,"Sim","Não"),IF(BM285&lt;=BL285,"Sim","Não")))</f>
        <v/>
      </c>
      <c r="BP285" s="12"/>
      <c r="BQ285" s="12"/>
      <c r="BR285" s="4" t="str">
        <f aca="false">IF(OR(BP285="",BQ285=""),"",IFERROR(IF($K285="%",BQ285-BP285,BQ285/BP285-1),""))</f>
        <v/>
      </c>
      <c r="BS285" s="5" t="str">
        <f aca="false">IF(OR(BP285="",BQ285=""),"",IF($F285="Maior Melhor",IF(BQ285&gt;=BP285,"Sim","Não"),IF(BQ285&lt;=BP285,"Sim","Não")))</f>
        <v/>
      </c>
      <c r="BT285" s="12"/>
      <c r="BU285" s="12"/>
      <c r="BV285" s="4" t="str">
        <f aca="false">IF(OR(BT285="",BU285=""),"",IFERROR(IF($K285="%",BU285-BT285,BU285/BT285-1),""))</f>
        <v/>
      </c>
      <c r="BW285" s="5" t="str">
        <f aca="false">IF(OR(BT285="",BU285=""),"",IF($F285="Maior Melhor",IF(BU285&gt;=BT285,"Sim","Não"),IF(BU285&lt;=BT285,"Sim","Não")))</f>
        <v/>
      </c>
      <c r="BX285" s="12"/>
      <c r="BY285" s="12"/>
      <c r="BZ285" s="4" t="str">
        <f aca="false">IF(OR(BX285="",BY285=""),"",IFERROR(IF($K285="%",BY285-BX285,BY285/BX285-1),""))</f>
        <v/>
      </c>
      <c r="CA285" s="5" t="str">
        <f aca="false">IF(OR(BX285="",BY285=""),"",IF($F285="Maior Melhor",IF(BY285&gt;=BX285,"Sim","Não"),IF(BY285&lt;=BX285,"Sim","Não")))</f>
        <v/>
      </c>
      <c r="CB285" s="12"/>
      <c r="CC285" s="12"/>
      <c r="CD285" s="4" t="str">
        <f aca="false">IF(OR(CB285="",CC285=""),"",IFERROR(IF($K285="%",CC285-CB285,CC285/CB285-1),""))</f>
        <v/>
      </c>
      <c r="CE285" s="5" t="str">
        <f aca="false">IF(OR(CB285="",CC285=""),"",IF($F285="Maior Melhor",IF(CC285&gt;=CB285,"Sim","Não"),IF(CC285&lt;=CB285,"Sim","Não")))</f>
        <v/>
      </c>
      <c r="CF285" s="12"/>
      <c r="CG285" s="12"/>
      <c r="CH285" s="4" t="str">
        <f aca="false">IF(OR(CF285="",CG285=""),"",IFERROR(IF($K285="%",CG285-CF285,CG285/CF285-1),""))</f>
        <v/>
      </c>
      <c r="CI285" s="5" t="str">
        <f aca="false">IF(OR(CF285="",CG285=""),"",IF($F285="Maior Melhor",IF(CG285&gt;=CF285,"Sim","Não"),IF(CG285&lt;=CF285,"Sim","Não")))</f>
        <v/>
      </c>
      <c r="CJ285" s="12"/>
      <c r="CK285" s="12"/>
      <c r="CL285" s="4" t="str">
        <f aca="false">IF(OR(CJ285="",CK285=""),"",IFERROR(IF($K285="%",CK285-CJ285,CK285/CJ285-1),""))</f>
        <v/>
      </c>
      <c r="CM285" s="5" t="str">
        <f aca="false">IF(OR(CJ285="",CK285=""),"",IF($F285="Maior Melhor",IF(CK285&gt;=CJ285,"Sim","Não"),IF(CK285&lt;=CJ285,"Sim","Não")))</f>
        <v/>
      </c>
      <c r="CN285" s="12"/>
      <c r="CO285" s="12"/>
      <c r="CP285" s="4" t="str">
        <f aca="false">IF(OR(CN285="",CO285=""),"",IFERROR(IF($K285="%",CO285-CN285,CO285/CN285-1),""))</f>
        <v/>
      </c>
      <c r="CQ285" s="5" t="str">
        <f aca="false">IF(OR(CN285="",CO285=""),"",IF($F285="Maior Melhor",IF(CO285&gt;=CN285,"Sim","Não"),IF(CO285&lt;=CN285,"Sim","Não")))</f>
        <v/>
      </c>
      <c r="CR285" s="2" t="s">
        <v>105</v>
      </c>
    </row>
    <row r="286" customFormat="false" ht="15" hidden="false" customHeight="false" outlineLevel="0" collapsed="false">
      <c r="A286" s="2" t="s">
        <v>96</v>
      </c>
      <c r="B286" s="2" t="s">
        <v>106</v>
      </c>
      <c r="C286" s="2" t="s">
        <v>127</v>
      </c>
      <c r="D286" s="2" t="s">
        <v>189</v>
      </c>
      <c r="E286" s="2" t="str">
        <f aca="false">C286&amp;D286</f>
        <v>UTD LUIS EDUARDO MAGALHAESQualidade do TOI</v>
      </c>
      <c r="F286" s="2" t="s">
        <v>100</v>
      </c>
      <c r="G286" s="2" t="s">
        <v>190</v>
      </c>
      <c r="H286" s="2" t="s">
        <v>102</v>
      </c>
      <c r="I286" s="2" t="s">
        <v>103</v>
      </c>
      <c r="J286" s="2" t="n">
        <v>2</v>
      </c>
      <c r="K286" s="2" t="s">
        <v>191</v>
      </c>
      <c r="L286" s="11" t="n">
        <v>8.2</v>
      </c>
      <c r="M286" s="11" t="n">
        <v>8.5</v>
      </c>
      <c r="N286" s="4" t="n">
        <f aca="false">IF(OR(L286="",M286=""),"",IFERROR(IF($K286="%",M286-L286,M286/L286-1),""))</f>
        <v>0.0365853658536586</v>
      </c>
      <c r="O286" s="5" t="str">
        <f aca="false">IF(OR(L286="",M286=""),"",IF($F286="Maior Melhor",IF(M286&gt;=L286,"Sim","Não"),IF(M286&lt;=L286,"Sim","Não")))</f>
        <v>Sim</v>
      </c>
      <c r="P286" s="11" t="n">
        <v>8.2</v>
      </c>
      <c r="Q286" s="11" t="n">
        <v>7.6</v>
      </c>
      <c r="R286" s="4" t="n">
        <f aca="false">IF(OR(P286="",Q286=""),"",IFERROR(IF($K286="%",Q286-P286,Q286/P286-1),""))</f>
        <v>-0.073170731707317</v>
      </c>
      <c r="S286" s="5" t="str">
        <f aca="false">IF(OR(P286="",Q286=""),"",IF($F286="Maior Melhor",IF(Q286&gt;=P286,"Sim","Não"),IF(Q286&lt;=P286,"Sim","Não")))</f>
        <v>Não</v>
      </c>
      <c r="T286" s="11" t="n">
        <v>8.2</v>
      </c>
      <c r="U286" s="11" t="n">
        <v>10</v>
      </c>
      <c r="V286" s="4" t="n">
        <f aca="false">IF(OR(T286="",U286=""),"",IFERROR(IF($K286="%",U286-T286,U286/T286-1),""))</f>
        <v>0.219512195121951</v>
      </c>
      <c r="W286" s="5" t="str">
        <f aca="false">IF(OR(T286="",U286=""),"",IF($F286="Maior Melhor",IF(U286&gt;=T286,"Sim","Não"),IF(U286&lt;=T286,"Sim","Não")))</f>
        <v>Sim</v>
      </c>
      <c r="X286" s="11" t="n">
        <v>8.2</v>
      </c>
      <c r="Y286" s="11" t="n">
        <v>8</v>
      </c>
      <c r="Z286" s="4" t="n">
        <f aca="false">IF(OR(X286="",Y286=""),"",IFERROR(IF($K286="%",Y286-X286,Y286/X286-1),""))</f>
        <v>-0.0243902439024389</v>
      </c>
      <c r="AA286" s="5" t="str">
        <f aca="false">IF(OR(X286="",Y286=""),"",IF($F286="Maior Melhor",IF(Y286&gt;=X286,"Sim","Não"),IF(Y286&lt;=X286,"Sim","Não")))</f>
        <v>Não</v>
      </c>
      <c r="AB286" s="11" t="n">
        <v>8.2</v>
      </c>
      <c r="AC286" s="11" t="n">
        <v>8.5</v>
      </c>
      <c r="AD286" s="4" t="n">
        <f aca="false">IF(OR(AB286="",AC286=""),"",IFERROR(IF($K286="%",AC286-AB286,AC286/AB286-1),""))</f>
        <v>0.0365853658536586</v>
      </c>
      <c r="AE286" s="5" t="str">
        <f aca="false">IF(OR(AB286="",AC286=""),"",IF($F286="Maior Melhor",IF(AC286&gt;=AB286,"Sim","Não"),IF(AC286&lt;=AB286,"Sim","Não")))</f>
        <v>Sim</v>
      </c>
      <c r="AF286" s="11" t="n">
        <v>8.2</v>
      </c>
      <c r="AG286" s="11" t="n">
        <v>8</v>
      </c>
      <c r="AH286" s="4" t="n">
        <f aca="false">IF(OR(AF286="",AG286=""),"",IFERROR(IF($K286="%",AG286-AF286,AG286/AF286-1),""))</f>
        <v>-0.0243902439024389</v>
      </c>
      <c r="AI286" s="5" t="str">
        <f aca="false">IF(OR(AF286="",AG286=""),"",IF($F286="Maior Melhor",IF(AG286&gt;=AF286,"Sim","Não"),IF(AG286&lt;=AF286,"Sim","Não")))</f>
        <v>Não</v>
      </c>
      <c r="AJ286" s="11" t="n">
        <v>8.2</v>
      </c>
      <c r="AK286" s="11" t="n">
        <v>8.4</v>
      </c>
      <c r="AL286" s="4" t="n">
        <f aca="false">IF(OR(AJ286="",AK286=""),"",IFERROR(IF($K286="%",AK286-AJ286,AK286/AJ286-1),""))</f>
        <v>0.024390243902439</v>
      </c>
      <c r="AM286" s="5" t="str">
        <f aca="false">IF(OR(AJ286="",AK286=""),"",IF($F286="Maior Melhor",IF(AK286&gt;=AJ286,"Sim","Não"),IF(AK286&lt;=AJ286,"Sim","Não")))</f>
        <v>Sim</v>
      </c>
      <c r="AN286" s="11" t="n">
        <v>8.2</v>
      </c>
      <c r="AO286" s="11" t="n">
        <v>7.9</v>
      </c>
      <c r="AP286" s="4" t="n">
        <f aca="false">IF(OR(AN286="",AO286=""),"",IFERROR(IF($K286="%",AO286-AN286,AO286/AN286-1),""))</f>
        <v>-0.0365853658536585</v>
      </c>
      <c r="AQ286" s="5" t="str">
        <f aca="false">IF(OR(AN286="",AO286=""),"",IF($F286="Maior Melhor",IF(AO286&gt;=AN286,"Sim","Não"),IF(AO286&lt;=AN286,"Sim","Não")))</f>
        <v>Não</v>
      </c>
      <c r="AR286" s="11" t="n">
        <v>8.2</v>
      </c>
      <c r="AS286" s="11" t="n">
        <v>8.3</v>
      </c>
      <c r="AT286" s="4" t="n">
        <f aca="false">IF(OR(AR286="",AS286=""),"",IFERROR(IF($K286="%",AS286-AR286,AS286/AR286-1),""))</f>
        <v>0.0121951219512197</v>
      </c>
      <c r="AU286" s="5" t="str">
        <f aca="false">IF(OR(AR286="",AS286=""),"",IF($F286="Maior Melhor",IF(AS286&gt;=AR286,"Sim","Não"),IF(AS286&lt;=AR286,"Sim","Não")))</f>
        <v>Sim</v>
      </c>
      <c r="AV286" s="11" t="n">
        <v>8.2</v>
      </c>
      <c r="AW286" s="11" t="n">
        <v>10</v>
      </c>
      <c r="AX286" s="4" t="n">
        <f aca="false">IF(OR(AV286="",AW286=""),"",IFERROR(IF($K286="%",AW286-AV286,AW286/AV286-1),""))</f>
        <v>0.219512195121951</v>
      </c>
      <c r="AY286" s="5" t="str">
        <f aca="false">IF(OR(AV286="",AW286=""),"",IF($F286="Maior Melhor",IF(AW286&gt;=AV286,"Sim","Não"),IF(AW286&lt;=AV286,"Sim","Não")))</f>
        <v>Sim</v>
      </c>
      <c r="AZ286" s="11" t="n">
        <v>8.2</v>
      </c>
      <c r="BA286" s="11" t="n">
        <v>8.6</v>
      </c>
      <c r="BB286" s="4" t="n">
        <f aca="false">IF(OR(AZ286="",BA286=""),"",IFERROR(IF($K286="%",BA286-AZ286,BA286/AZ286-1),""))</f>
        <v>0.0487804878048781</v>
      </c>
      <c r="BC286" s="5" t="str">
        <f aca="false">IF(OR(AZ286="",BA286=""),"",IF($F286="Maior Melhor",IF(BA286&gt;=AZ286,"Sim","Não"),IF(BA286&lt;=AZ286,"Sim","Não")))</f>
        <v>Sim</v>
      </c>
      <c r="BD286" s="11" t="n">
        <v>8.2</v>
      </c>
      <c r="BE286" s="11" t="n">
        <v>8</v>
      </c>
      <c r="BF286" s="4" t="n">
        <f aca="false">IF(OR(BD286="",BE286=""),"",IFERROR(IF($K286="%",BE286-BD286,BE286/BD286-1),""))</f>
        <v>-0.0243902439024389</v>
      </c>
      <c r="BG286" s="5" t="str">
        <f aca="false">IF(OR(BD286="",BE286=""),"",IF($F286="Maior Melhor",IF(BE286&gt;=BD286,"Sim","Não"),IF(BE286&lt;=BD286,"Sim","Não")))</f>
        <v>Não</v>
      </c>
      <c r="BH286" s="11" t="n">
        <v>8.2</v>
      </c>
      <c r="BI286" s="11" t="n">
        <v>8.5</v>
      </c>
      <c r="BJ286" s="4" t="n">
        <f aca="false">IF(OR(BH286="",BI286=""),"",IFERROR(IF($K286="%",BI286-BH286,BI286/BH286-1),""))</f>
        <v>0.0365853658536586</v>
      </c>
      <c r="BK286" s="5" t="str">
        <f aca="false">IF(OR(BH286="",BI286=""),"",IF($F286="Maior Melhor",IF(BI286&gt;=BH286,"Sim","Não"),IF(BI286&lt;=BH286,"Sim","Não")))</f>
        <v>Sim</v>
      </c>
      <c r="BL286" s="12"/>
      <c r="BM286" s="12"/>
      <c r="BN286" s="4" t="str">
        <f aca="false">IF(OR(BL286="",BM286=""),"",IFERROR(IF($K286="%",BM286-BL286,BM286/BL286-1),""))</f>
        <v/>
      </c>
      <c r="BO286" s="5" t="str">
        <f aca="false">IF(OR(BL286="",BM286=""),"",IF($F286="Maior Melhor",IF(BM286&gt;=BL286,"Sim","Não"),IF(BM286&lt;=BL286,"Sim","Não")))</f>
        <v/>
      </c>
      <c r="BP286" s="12"/>
      <c r="BQ286" s="12"/>
      <c r="BR286" s="4" t="str">
        <f aca="false">IF(OR(BP286="",BQ286=""),"",IFERROR(IF($K286="%",BQ286-BP286,BQ286/BP286-1),""))</f>
        <v/>
      </c>
      <c r="BS286" s="5" t="str">
        <f aca="false">IF(OR(BP286="",BQ286=""),"",IF($F286="Maior Melhor",IF(BQ286&gt;=BP286,"Sim","Não"),IF(BQ286&lt;=BP286,"Sim","Não")))</f>
        <v/>
      </c>
      <c r="BT286" s="12"/>
      <c r="BU286" s="12"/>
      <c r="BV286" s="4" t="str">
        <f aca="false">IF(OR(BT286="",BU286=""),"",IFERROR(IF($K286="%",BU286-BT286,BU286/BT286-1),""))</f>
        <v/>
      </c>
      <c r="BW286" s="5" t="str">
        <f aca="false">IF(OR(BT286="",BU286=""),"",IF($F286="Maior Melhor",IF(BU286&gt;=BT286,"Sim","Não"),IF(BU286&lt;=BT286,"Sim","Não")))</f>
        <v/>
      </c>
      <c r="BX286" s="12"/>
      <c r="BY286" s="12"/>
      <c r="BZ286" s="4" t="str">
        <f aca="false">IF(OR(BX286="",BY286=""),"",IFERROR(IF($K286="%",BY286-BX286,BY286/BX286-1),""))</f>
        <v/>
      </c>
      <c r="CA286" s="5" t="str">
        <f aca="false">IF(OR(BX286="",BY286=""),"",IF($F286="Maior Melhor",IF(BY286&gt;=BX286,"Sim","Não"),IF(BY286&lt;=BX286,"Sim","Não")))</f>
        <v/>
      </c>
      <c r="CB286" s="12"/>
      <c r="CC286" s="12"/>
      <c r="CD286" s="4" t="str">
        <f aca="false">IF(OR(CB286="",CC286=""),"",IFERROR(IF($K286="%",CC286-CB286,CC286/CB286-1),""))</f>
        <v/>
      </c>
      <c r="CE286" s="5" t="str">
        <f aca="false">IF(OR(CB286="",CC286=""),"",IF($F286="Maior Melhor",IF(CC286&gt;=CB286,"Sim","Não"),IF(CC286&lt;=CB286,"Sim","Não")))</f>
        <v/>
      </c>
      <c r="CF286" s="12"/>
      <c r="CG286" s="12"/>
      <c r="CH286" s="4" t="str">
        <f aca="false">IF(OR(CF286="",CG286=""),"",IFERROR(IF($K286="%",CG286-CF286,CG286/CF286-1),""))</f>
        <v/>
      </c>
      <c r="CI286" s="5" t="str">
        <f aca="false">IF(OR(CF286="",CG286=""),"",IF($F286="Maior Melhor",IF(CG286&gt;=CF286,"Sim","Não"),IF(CG286&lt;=CF286,"Sim","Não")))</f>
        <v/>
      </c>
      <c r="CJ286" s="12"/>
      <c r="CK286" s="12"/>
      <c r="CL286" s="4" t="str">
        <f aca="false">IF(OR(CJ286="",CK286=""),"",IFERROR(IF($K286="%",CK286-CJ286,CK286/CJ286-1),""))</f>
        <v/>
      </c>
      <c r="CM286" s="5" t="str">
        <f aca="false">IF(OR(CJ286="",CK286=""),"",IF($F286="Maior Melhor",IF(CK286&gt;=CJ286,"Sim","Não"),IF(CK286&lt;=CJ286,"Sim","Não")))</f>
        <v/>
      </c>
      <c r="CN286" s="12"/>
      <c r="CO286" s="12"/>
      <c r="CP286" s="4" t="str">
        <f aca="false">IF(OR(CN286="",CO286=""),"",IFERROR(IF($K286="%",CO286-CN286,CO286/CN286-1),""))</f>
        <v/>
      </c>
      <c r="CQ286" s="5" t="str">
        <f aca="false">IF(OR(CN286="",CO286=""),"",IF($F286="Maior Melhor",IF(CO286&gt;=CN286,"Sim","Não"),IF(CO286&lt;=CN286,"Sim","Não")))</f>
        <v/>
      </c>
      <c r="CR286" s="2" t="s">
        <v>105</v>
      </c>
    </row>
    <row r="287" customFormat="false" ht="15" hidden="false" customHeight="false" outlineLevel="0" collapsed="false">
      <c r="A287" s="2" t="s">
        <v>96</v>
      </c>
      <c r="B287" s="2" t="s">
        <v>106</v>
      </c>
      <c r="C287" s="2" t="s">
        <v>128</v>
      </c>
      <c r="D287" s="2" t="s">
        <v>189</v>
      </c>
      <c r="E287" s="2" t="str">
        <f aca="false">C287&amp;D287</f>
        <v>UTD SANTA MARIA DA VITORIAQualidade do TOI</v>
      </c>
      <c r="F287" s="2" t="s">
        <v>100</v>
      </c>
      <c r="G287" s="2" t="s">
        <v>190</v>
      </c>
      <c r="H287" s="2" t="s">
        <v>102</v>
      </c>
      <c r="I287" s="2" t="s">
        <v>103</v>
      </c>
      <c r="J287" s="2" t="n">
        <v>2</v>
      </c>
      <c r="K287" s="2" t="s">
        <v>191</v>
      </c>
      <c r="L287" s="11" t="n">
        <v>8.2</v>
      </c>
      <c r="M287" s="11" t="n">
        <v>7.9</v>
      </c>
      <c r="N287" s="4" t="n">
        <f aca="false">IF(OR(L287="",M287=""),"",IFERROR(IF($K287="%",M287-L287,M287/L287-1),""))</f>
        <v>-0.0365853658536585</v>
      </c>
      <c r="O287" s="5" t="str">
        <f aca="false">IF(OR(L287="",M287=""),"",IF($F287="Maior Melhor",IF(M287&gt;=L287,"Sim","Não"),IF(M287&lt;=L287,"Sim","Não")))</f>
        <v>Não</v>
      </c>
      <c r="P287" s="11" t="n">
        <v>8.2</v>
      </c>
      <c r="Q287" s="11" t="n">
        <v>8.5</v>
      </c>
      <c r="R287" s="4" t="n">
        <f aca="false">IF(OR(P287="",Q287=""),"",IFERROR(IF($K287="%",Q287-P287,Q287/P287-1),""))</f>
        <v>0.0365853658536586</v>
      </c>
      <c r="S287" s="5" t="str">
        <f aca="false">IF(OR(P287="",Q287=""),"",IF($F287="Maior Melhor",IF(Q287&gt;=P287,"Sim","Não"),IF(Q287&lt;=P287,"Sim","Não")))</f>
        <v>Sim</v>
      </c>
      <c r="T287" s="11" t="n">
        <v>8.2</v>
      </c>
      <c r="U287" s="11" t="n">
        <v>10</v>
      </c>
      <c r="V287" s="4" t="n">
        <f aca="false">IF(OR(T287="",U287=""),"",IFERROR(IF($K287="%",U287-T287,U287/T287-1),""))</f>
        <v>0.219512195121951</v>
      </c>
      <c r="W287" s="5" t="str">
        <f aca="false">IF(OR(T287="",U287=""),"",IF($F287="Maior Melhor",IF(U287&gt;=T287,"Sim","Não"),IF(U287&lt;=T287,"Sim","Não")))</f>
        <v>Sim</v>
      </c>
      <c r="X287" s="11" t="n">
        <v>8.2</v>
      </c>
      <c r="Y287" s="11" t="n">
        <v>10</v>
      </c>
      <c r="Z287" s="4" t="n">
        <f aca="false">IF(OR(X287="",Y287=""),"",IFERROR(IF($K287="%",Y287-X287,Y287/X287-1),""))</f>
        <v>0.219512195121951</v>
      </c>
      <c r="AA287" s="5" t="str">
        <f aca="false">IF(OR(X287="",Y287=""),"",IF($F287="Maior Melhor",IF(Y287&gt;=X287,"Sim","Não"),IF(Y287&lt;=X287,"Sim","Não")))</f>
        <v>Sim</v>
      </c>
      <c r="AB287" s="11" t="n">
        <v>8.2</v>
      </c>
      <c r="AC287" s="11" t="n">
        <v>9.1</v>
      </c>
      <c r="AD287" s="4" t="n">
        <f aca="false">IF(OR(AB287="",AC287=""),"",IFERROR(IF($K287="%",AC287-AB287,AC287/AB287-1),""))</f>
        <v>0.109756097560976</v>
      </c>
      <c r="AE287" s="5" t="str">
        <f aca="false">IF(OR(AB287="",AC287=""),"",IF($F287="Maior Melhor",IF(AC287&gt;=AB287,"Sim","Não"),IF(AC287&lt;=AB287,"Sim","Não")))</f>
        <v>Sim</v>
      </c>
      <c r="AF287" s="11" t="n">
        <v>8.2</v>
      </c>
      <c r="AG287" s="11" t="n">
        <v>7.3</v>
      </c>
      <c r="AH287" s="4" t="n">
        <f aca="false">IF(OR(AF287="",AG287=""),"",IFERROR(IF($K287="%",AG287-AF287,AG287/AF287-1),""))</f>
        <v>-0.109756097560976</v>
      </c>
      <c r="AI287" s="5" t="str">
        <f aca="false">IF(OR(AF287="",AG287=""),"",IF($F287="Maior Melhor",IF(AG287&gt;=AF287,"Sim","Não"),IF(AG287&lt;=AF287,"Sim","Não")))</f>
        <v>Não</v>
      </c>
      <c r="AJ287" s="11" t="n">
        <v>8.2</v>
      </c>
      <c r="AK287" s="11" t="n">
        <v>8.8</v>
      </c>
      <c r="AL287" s="4" t="n">
        <f aca="false">IF(OR(AJ287="",AK287=""),"",IFERROR(IF($K287="%",AK287-AJ287,AK287/AJ287-1),""))</f>
        <v>0.0731707317073174</v>
      </c>
      <c r="AM287" s="5" t="str">
        <f aca="false">IF(OR(AJ287="",AK287=""),"",IF($F287="Maior Melhor",IF(AK287&gt;=AJ287,"Sim","Não"),IF(AK287&lt;=AJ287,"Sim","Não")))</f>
        <v>Sim</v>
      </c>
      <c r="AN287" s="11" t="n">
        <v>8.2</v>
      </c>
      <c r="AO287" s="11" t="n">
        <v>10</v>
      </c>
      <c r="AP287" s="4" t="n">
        <f aca="false">IF(OR(AN287="",AO287=""),"",IFERROR(IF($K287="%",AO287-AN287,AO287/AN287-1),""))</f>
        <v>0.219512195121951</v>
      </c>
      <c r="AQ287" s="5" t="str">
        <f aca="false">IF(OR(AN287="",AO287=""),"",IF($F287="Maior Melhor",IF(AO287&gt;=AN287,"Sim","Não"),IF(AO287&lt;=AN287,"Sim","Não")))</f>
        <v>Sim</v>
      </c>
      <c r="AR287" s="11" t="n">
        <v>8.2</v>
      </c>
      <c r="AS287" s="11" t="n">
        <v>9</v>
      </c>
      <c r="AT287" s="4" t="n">
        <f aca="false">IF(OR(AR287="",AS287=""),"",IFERROR(IF($K287="%",AS287-AR287,AS287/AR287-1),""))</f>
        <v>0.0975609756097562</v>
      </c>
      <c r="AU287" s="5" t="str">
        <f aca="false">IF(OR(AR287="",AS287=""),"",IF($F287="Maior Melhor",IF(AS287&gt;=AR287,"Sim","Não"),IF(AS287&lt;=AR287,"Sim","Não")))</f>
        <v>Sim</v>
      </c>
      <c r="AV287" s="11" t="n">
        <v>8.2</v>
      </c>
      <c r="AW287" s="11" t="n">
        <v>10</v>
      </c>
      <c r="AX287" s="4" t="n">
        <f aca="false">IF(OR(AV287="",AW287=""),"",IFERROR(IF($K287="%",AW287-AV287,AW287/AV287-1),""))</f>
        <v>0.219512195121951</v>
      </c>
      <c r="AY287" s="5" t="str">
        <f aca="false">IF(OR(AV287="",AW287=""),"",IF($F287="Maior Melhor",IF(AW287&gt;=AV287,"Sim","Não"),IF(AW287&lt;=AV287,"Sim","Não")))</f>
        <v>Sim</v>
      </c>
      <c r="AZ287" s="11" t="n">
        <v>8.2</v>
      </c>
      <c r="BA287" s="11" t="n">
        <v>9.1</v>
      </c>
      <c r="BB287" s="4" t="n">
        <f aca="false">IF(OR(AZ287="",BA287=""),"",IFERROR(IF($K287="%",BA287-AZ287,BA287/AZ287-1),""))</f>
        <v>0.109756097560976</v>
      </c>
      <c r="BC287" s="5" t="str">
        <f aca="false">IF(OR(AZ287="",BA287=""),"",IF($F287="Maior Melhor",IF(BA287&gt;=AZ287,"Sim","Não"),IF(BA287&lt;=AZ287,"Sim","Não")))</f>
        <v>Sim</v>
      </c>
      <c r="BD287" s="11" t="n">
        <v>8.2</v>
      </c>
      <c r="BE287" s="11" t="n">
        <v>9.9</v>
      </c>
      <c r="BF287" s="4" t="n">
        <f aca="false">IF(OR(BD287="",BE287=""),"",IFERROR(IF($K287="%",BE287-BD287,BE287/BD287-1),""))</f>
        <v>0.207317073170732</v>
      </c>
      <c r="BG287" s="5" t="str">
        <f aca="false">IF(OR(BD287="",BE287=""),"",IF($F287="Maior Melhor",IF(BE287&gt;=BD287,"Sim","Não"),IF(BE287&lt;=BD287,"Sim","Não")))</f>
        <v>Sim</v>
      </c>
      <c r="BH287" s="11" t="n">
        <v>8.2</v>
      </c>
      <c r="BI287" s="11" t="n">
        <v>9.2</v>
      </c>
      <c r="BJ287" s="4" t="n">
        <f aca="false">IF(OR(BH287="",BI287=""),"",IFERROR(IF($K287="%",BI287-BH287,BI287/BH287-1),""))</f>
        <v>0.121951219512195</v>
      </c>
      <c r="BK287" s="5" t="str">
        <f aca="false">IF(OR(BH287="",BI287=""),"",IF($F287="Maior Melhor",IF(BI287&gt;=BH287,"Sim","Não"),IF(BI287&lt;=BH287,"Sim","Não")))</f>
        <v>Sim</v>
      </c>
      <c r="BL287" s="12"/>
      <c r="BM287" s="12"/>
      <c r="BN287" s="4" t="str">
        <f aca="false">IF(OR(BL287="",BM287=""),"",IFERROR(IF($K287="%",BM287-BL287,BM287/BL287-1),""))</f>
        <v/>
      </c>
      <c r="BO287" s="5" t="str">
        <f aca="false">IF(OR(BL287="",BM287=""),"",IF($F287="Maior Melhor",IF(BM287&gt;=BL287,"Sim","Não"),IF(BM287&lt;=BL287,"Sim","Não")))</f>
        <v/>
      </c>
      <c r="BP287" s="12"/>
      <c r="BQ287" s="12"/>
      <c r="BR287" s="4" t="str">
        <f aca="false">IF(OR(BP287="",BQ287=""),"",IFERROR(IF($K287="%",BQ287-BP287,BQ287/BP287-1),""))</f>
        <v/>
      </c>
      <c r="BS287" s="5" t="str">
        <f aca="false">IF(OR(BP287="",BQ287=""),"",IF($F287="Maior Melhor",IF(BQ287&gt;=BP287,"Sim","Não"),IF(BQ287&lt;=BP287,"Sim","Não")))</f>
        <v/>
      </c>
      <c r="BT287" s="12"/>
      <c r="BU287" s="12"/>
      <c r="BV287" s="4" t="str">
        <f aca="false">IF(OR(BT287="",BU287=""),"",IFERROR(IF($K287="%",BU287-BT287,BU287/BT287-1),""))</f>
        <v/>
      </c>
      <c r="BW287" s="5" t="str">
        <f aca="false">IF(OR(BT287="",BU287=""),"",IF($F287="Maior Melhor",IF(BU287&gt;=BT287,"Sim","Não"),IF(BU287&lt;=BT287,"Sim","Não")))</f>
        <v/>
      </c>
      <c r="BX287" s="12"/>
      <c r="BY287" s="12"/>
      <c r="BZ287" s="4" t="str">
        <f aca="false">IF(OR(BX287="",BY287=""),"",IFERROR(IF($K287="%",BY287-BX287,BY287/BX287-1),""))</f>
        <v/>
      </c>
      <c r="CA287" s="5" t="str">
        <f aca="false">IF(OR(BX287="",BY287=""),"",IF($F287="Maior Melhor",IF(BY287&gt;=BX287,"Sim","Não"),IF(BY287&lt;=BX287,"Sim","Não")))</f>
        <v/>
      </c>
      <c r="CB287" s="12"/>
      <c r="CC287" s="12"/>
      <c r="CD287" s="4" t="str">
        <f aca="false">IF(OR(CB287="",CC287=""),"",IFERROR(IF($K287="%",CC287-CB287,CC287/CB287-1),""))</f>
        <v/>
      </c>
      <c r="CE287" s="5" t="str">
        <f aca="false">IF(OR(CB287="",CC287=""),"",IF($F287="Maior Melhor",IF(CC287&gt;=CB287,"Sim","Não"),IF(CC287&lt;=CB287,"Sim","Não")))</f>
        <v/>
      </c>
      <c r="CF287" s="12"/>
      <c r="CG287" s="12"/>
      <c r="CH287" s="4" t="str">
        <f aca="false">IF(OR(CF287="",CG287=""),"",IFERROR(IF($K287="%",CG287-CF287,CG287/CF287-1),""))</f>
        <v/>
      </c>
      <c r="CI287" s="5" t="str">
        <f aca="false">IF(OR(CF287="",CG287=""),"",IF($F287="Maior Melhor",IF(CG287&gt;=CF287,"Sim","Não"),IF(CG287&lt;=CF287,"Sim","Não")))</f>
        <v/>
      </c>
      <c r="CJ287" s="12"/>
      <c r="CK287" s="12"/>
      <c r="CL287" s="4" t="str">
        <f aca="false">IF(OR(CJ287="",CK287=""),"",IFERROR(IF($K287="%",CK287-CJ287,CK287/CJ287-1),""))</f>
        <v/>
      </c>
      <c r="CM287" s="5" t="str">
        <f aca="false">IF(OR(CJ287="",CK287=""),"",IF($F287="Maior Melhor",IF(CK287&gt;=CJ287,"Sim","Não"),IF(CK287&lt;=CJ287,"Sim","Não")))</f>
        <v/>
      </c>
      <c r="CN287" s="12"/>
      <c r="CO287" s="12"/>
      <c r="CP287" s="4" t="str">
        <f aca="false">IF(OR(CN287="",CO287=""),"",IFERROR(IF($K287="%",CO287-CN287,CO287/CN287-1),""))</f>
        <v/>
      </c>
      <c r="CQ287" s="5" t="str">
        <f aca="false">IF(OR(CN287="",CO287=""),"",IF($F287="Maior Melhor",IF(CO287&gt;=CN287,"Sim","Não"),IF(CO287&lt;=CN287,"Sim","Não")))</f>
        <v/>
      </c>
      <c r="CR287" s="2" t="s">
        <v>193</v>
      </c>
    </row>
    <row r="288" customFormat="false" ht="15" hidden="false" customHeight="false" outlineLevel="0" collapsed="false">
      <c r="A288" s="2" t="s">
        <v>96</v>
      </c>
      <c r="B288" s="2" t="s">
        <v>97</v>
      </c>
      <c r="C288" s="2" t="s">
        <v>130</v>
      </c>
      <c r="D288" s="2" t="s">
        <v>189</v>
      </c>
      <c r="E288" s="2" t="str">
        <f aca="false">C288&amp;D288</f>
        <v>UTD SEABRAQualidade do TOI</v>
      </c>
      <c r="F288" s="2" t="s">
        <v>100</v>
      </c>
      <c r="G288" s="2" t="s">
        <v>190</v>
      </c>
      <c r="H288" s="2" t="s">
        <v>102</v>
      </c>
      <c r="I288" s="2" t="s">
        <v>103</v>
      </c>
      <c r="J288" s="2" t="n">
        <v>2</v>
      </c>
      <c r="K288" s="2" t="s">
        <v>191</v>
      </c>
      <c r="L288" s="11" t="n">
        <v>8.2</v>
      </c>
      <c r="M288" s="11" t="n">
        <v>6.9</v>
      </c>
      <c r="N288" s="4" t="n">
        <f aca="false">IF(OR(L288="",M288=""),"",IFERROR(IF($K288="%",M288-L288,M288/L288-1),""))</f>
        <v>-0.158536585365854</v>
      </c>
      <c r="O288" s="5" t="str">
        <f aca="false">IF(OR(L288="",M288=""),"",IF($F288="Maior Melhor",IF(M288&gt;=L288,"Sim","Não"),IF(M288&lt;=L288,"Sim","Não")))</f>
        <v>Não</v>
      </c>
      <c r="P288" s="11" t="n">
        <v>8.2</v>
      </c>
      <c r="Q288" s="11" t="n">
        <v>10</v>
      </c>
      <c r="R288" s="4" t="n">
        <f aca="false">IF(OR(P288="",Q288=""),"",IFERROR(IF($K288="%",Q288-P288,Q288/P288-1),""))</f>
        <v>0.219512195121951</v>
      </c>
      <c r="S288" s="5" t="str">
        <f aca="false">IF(OR(P288="",Q288=""),"",IF($F288="Maior Melhor",IF(Q288&gt;=P288,"Sim","Não"),IF(Q288&lt;=P288,"Sim","Não")))</f>
        <v>Sim</v>
      </c>
      <c r="T288" s="11" t="n">
        <v>8.2</v>
      </c>
      <c r="U288" s="11" t="n">
        <v>9.3</v>
      </c>
      <c r="V288" s="4" t="n">
        <f aca="false">IF(OR(T288="",U288=""),"",IFERROR(IF($K288="%",U288-T288,U288/T288-1),""))</f>
        <v>0.134146341463415</v>
      </c>
      <c r="W288" s="5" t="str">
        <f aca="false">IF(OR(T288="",U288=""),"",IF($F288="Maior Melhor",IF(U288&gt;=T288,"Sim","Não"),IF(U288&lt;=T288,"Sim","Não")))</f>
        <v>Sim</v>
      </c>
      <c r="X288" s="11" t="n">
        <v>8.2</v>
      </c>
      <c r="Y288" s="11" t="n">
        <v>6.6</v>
      </c>
      <c r="Z288" s="4" t="n">
        <f aca="false">IF(OR(X288="",Y288=""),"",IFERROR(IF($K288="%",Y288-X288,Y288/X288-1),""))</f>
        <v>-0.195121951219512</v>
      </c>
      <c r="AA288" s="5" t="str">
        <f aca="false">IF(OR(X288="",Y288=""),"",IF($F288="Maior Melhor",IF(Y288&gt;=X288,"Sim","Não"),IF(Y288&lt;=X288,"Sim","Não")))</f>
        <v>Não</v>
      </c>
      <c r="AB288" s="11" t="n">
        <v>8.2</v>
      </c>
      <c r="AC288" s="11" t="n">
        <v>8.2</v>
      </c>
      <c r="AD288" s="4" t="n">
        <f aca="false">IF(OR(AB288="",AC288=""),"",IFERROR(IF($K288="%",AC288-AB288,AC288/AB288-1),""))</f>
        <v>0</v>
      </c>
      <c r="AE288" s="5" t="str">
        <f aca="false">IF(OR(AB288="",AC288=""),"",IF($F288="Maior Melhor",IF(AC288&gt;=AB288,"Sim","Não"),IF(AC288&lt;=AB288,"Sim","Não")))</f>
        <v>Sim</v>
      </c>
      <c r="AF288" s="11" t="n">
        <v>8.2</v>
      </c>
      <c r="AG288" s="11" t="n">
        <v>9.1</v>
      </c>
      <c r="AH288" s="4" t="n">
        <f aca="false">IF(OR(AF288="",AG288=""),"",IFERROR(IF($K288="%",AG288-AF288,AG288/AF288-1),""))</f>
        <v>0.109756097560976</v>
      </c>
      <c r="AI288" s="5" t="str">
        <f aca="false">IF(OR(AF288="",AG288=""),"",IF($F288="Maior Melhor",IF(AG288&gt;=AF288,"Sim","Não"),IF(AG288&lt;=AF288,"Sim","Não")))</f>
        <v>Sim</v>
      </c>
      <c r="AJ288" s="11" t="n">
        <v>8.2</v>
      </c>
      <c r="AK288" s="11" t="n">
        <v>8.4</v>
      </c>
      <c r="AL288" s="4" t="n">
        <f aca="false">IF(OR(AJ288="",AK288=""),"",IFERROR(IF($K288="%",AK288-AJ288,AK288/AJ288-1),""))</f>
        <v>0.024390243902439</v>
      </c>
      <c r="AM288" s="5" t="str">
        <f aca="false">IF(OR(AJ288="",AK288=""),"",IF($F288="Maior Melhor",IF(AK288&gt;=AJ288,"Sim","Não"),IF(AK288&lt;=AJ288,"Sim","Não")))</f>
        <v>Sim</v>
      </c>
      <c r="AN288" s="11" t="n">
        <v>8.2</v>
      </c>
      <c r="AO288" s="11" t="n">
        <v>9.5</v>
      </c>
      <c r="AP288" s="4" t="n">
        <f aca="false">IF(OR(AN288="",AO288=""),"",IFERROR(IF($K288="%",AO288-AN288,AO288/AN288-1),""))</f>
        <v>0.158536585365854</v>
      </c>
      <c r="AQ288" s="5" t="str">
        <f aca="false">IF(OR(AN288="",AO288=""),"",IF($F288="Maior Melhor",IF(AO288&gt;=AN288,"Sim","Não"),IF(AO288&lt;=AN288,"Sim","Não")))</f>
        <v>Sim</v>
      </c>
      <c r="AR288" s="11" t="n">
        <v>8.2</v>
      </c>
      <c r="AS288" s="11" t="n">
        <v>8.7</v>
      </c>
      <c r="AT288" s="4" t="n">
        <f aca="false">IF(OR(AR288="",AS288=""),"",IFERROR(IF($K288="%",AS288-AR288,AS288/AR288-1),""))</f>
        <v>0.0609756097560976</v>
      </c>
      <c r="AU288" s="5" t="str">
        <f aca="false">IF(OR(AR288="",AS288=""),"",IF($F288="Maior Melhor",IF(AS288&gt;=AR288,"Sim","Não"),IF(AS288&lt;=AR288,"Sim","Não")))</f>
        <v>Sim</v>
      </c>
      <c r="AV288" s="11" t="n">
        <v>8.2</v>
      </c>
      <c r="AW288" s="11" t="n">
        <v>10</v>
      </c>
      <c r="AX288" s="4" t="n">
        <f aca="false">IF(OR(AV288="",AW288=""),"",IFERROR(IF($K288="%",AW288-AV288,AW288/AV288-1),""))</f>
        <v>0.219512195121951</v>
      </c>
      <c r="AY288" s="5" t="str">
        <f aca="false">IF(OR(AV288="",AW288=""),"",IF($F288="Maior Melhor",IF(AW288&gt;=AV288,"Sim","Não"),IF(AW288&lt;=AV288,"Sim","Não")))</f>
        <v>Sim</v>
      </c>
      <c r="AZ288" s="11" t="n">
        <v>8.2</v>
      </c>
      <c r="BA288" s="11" t="n">
        <v>8.8</v>
      </c>
      <c r="BB288" s="4" t="n">
        <f aca="false">IF(OR(AZ288="",BA288=""),"",IFERROR(IF($K288="%",BA288-AZ288,BA288/AZ288-1),""))</f>
        <v>0.0731707317073174</v>
      </c>
      <c r="BC288" s="5" t="str">
        <f aca="false">IF(OR(AZ288="",BA288=""),"",IF($F288="Maior Melhor",IF(BA288&gt;=AZ288,"Sim","Não"),IF(BA288&lt;=AZ288,"Sim","Não")))</f>
        <v>Sim</v>
      </c>
      <c r="BD288" s="11" t="n">
        <v>8.2</v>
      </c>
      <c r="BE288" s="11" t="n">
        <v>8.9</v>
      </c>
      <c r="BF288" s="4" t="n">
        <f aca="false">IF(OR(BD288="",BE288=""),"",IFERROR(IF($K288="%",BE288-BD288,BE288/BD288-1),""))</f>
        <v>0.0853658536585367</v>
      </c>
      <c r="BG288" s="5" t="str">
        <f aca="false">IF(OR(BD288="",BE288=""),"",IF($F288="Maior Melhor",IF(BE288&gt;=BD288,"Sim","Não"),IF(BE288&lt;=BD288,"Sim","Não")))</f>
        <v>Sim</v>
      </c>
      <c r="BH288" s="11" t="n">
        <v>8.2</v>
      </c>
      <c r="BI288" s="11" t="n">
        <v>8.8</v>
      </c>
      <c r="BJ288" s="4" t="n">
        <f aca="false">IF(OR(BH288="",BI288=""),"",IFERROR(IF($K288="%",BI288-BH288,BI288/BH288-1),""))</f>
        <v>0.0731707317073174</v>
      </c>
      <c r="BK288" s="5" t="str">
        <f aca="false">IF(OR(BH288="",BI288=""),"",IF($F288="Maior Melhor",IF(BI288&gt;=BH288,"Sim","Não"),IF(BI288&lt;=BH288,"Sim","Não")))</f>
        <v>Sim</v>
      </c>
      <c r="BL288" s="12"/>
      <c r="BM288" s="12"/>
      <c r="BN288" s="4" t="str">
        <f aca="false">IF(OR(BL288="",BM288=""),"",IFERROR(IF($K288="%",BM288-BL288,BM288/BL288-1),""))</f>
        <v/>
      </c>
      <c r="BO288" s="5" t="str">
        <f aca="false">IF(OR(BL288="",BM288=""),"",IF($F288="Maior Melhor",IF(BM288&gt;=BL288,"Sim","Não"),IF(BM288&lt;=BL288,"Sim","Não")))</f>
        <v/>
      </c>
      <c r="BP288" s="12"/>
      <c r="BQ288" s="12"/>
      <c r="BR288" s="4" t="str">
        <f aca="false">IF(OR(BP288="",BQ288=""),"",IFERROR(IF($K288="%",BQ288-BP288,BQ288/BP288-1),""))</f>
        <v/>
      </c>
      <c r="BS288" s="5" t="str">
        <f aca="false">IF(OR(BP288="",BQ288=""),"",IF($F288="Maior Melhor",IF(BQ288&gt;=BP288,"Sim","Não"),IF(BQ288&lt;=BP288,"Sim","Não")))</f>
        <v/>
      </c>
      <c r="BT288" s="12"/>
      <c r="BU288" s="12"/>
      <c r="BV288" s="4" t="str">
        <f aca="false">IF(OR(BT288="",BU288=""),"",IFERROR(IF($K288="%",BU288-BT288,BU288/BT288-1),""))</f>
        <v/>
      </c>
      <c r="BW288" s="5" t="str">
        <f aca="false">IF(OR(BT288="",BU288=""),"",IF($F288="Maior Melhor",IF(BU288&gt;=BT288,"Sim","Não"),IF(BU288&lt;=BT288,"Sim","Não")))</f>
        <v/>
      </c>
      <c r="BX288" s="12"/>
      <c r="BY288" s="12"/>
      <c r="BZ288" s="4" t="str">
        <f aca="false">IF(OR(BX288="",BY288=""),"",IFERROR(IF($K288="%",BY288-BX288,BY288/BX288-1),""))</f>
        <v/>
      </c>
      <c r="CA288" s="5" t="str">
        <f aca="false">IF(OR(BX288="",BY288=""),"",IF($F288="Maior Melhor",IF(BY288&gt;=BX288,"Sim","Não"),IF(BY288&lt;=BX288,"Sim","Não")))</f>
        <v/>
      </c>
      <c r="CB288" s="12"/>
      <c r="CC288" s="12"/>
      <c r="CD288" s="4" t="str">
        <f aca="false">IF(OR(CB288="",CC288=""),"",IFERROR(IF($K288="%",CC288-CB288,CC288/CB288-1),""))</f>
        <v/>
      </c>
      <c r="CE288" s="5" t="str">
        <f aca="false">IF(OR(CB288="",CC288=""),"",IF($F288="Maior Melhor",IF(CC288&gt;=CB288,"Sim","Não"),IF(CC288&lt;=CB288,"Sim","Não")))</f>
        <v/>
      </c>
      <c r="CF288" s="12"/>
      <c r="CG288" s="12"/>
      <c r="CH288" s="4" t="str">
        <f aca="false">IF(OR(CF288="",CG288=""),"",IFERROR(IF($K288="%",CG288-CF288,CG288/CF288-1),""))</f>
        <v/>
      </c>
      <c r="CI288" s="5" t="str">
        <f aca="false">IF(OR(CF288="",CG288=""),"",IF($F288="Maior Melhor",IF(CG288&gt;=CF288,"Sim","Não"),IF(CG288&lt;=CF288,"Sim","Não")))</f>
        <v/>
      </c>
      <c r="CJ288" s="12"/>
      <c r="CK288" s="12"/>
      <c r="CL288" s="4" t="str">
        <f aca="false">IF(OR(CJ288="",CK288=""),"",IFERROR(IF($K288="%",CK288-CJ288,CK288/CJ288-1),""))</f>
        <v/>
      </c>
      <c r="CM288" s="5" t="str">
        <f aca="false">IF(OR(CJ288="",CK288=""),"",IF($F288="Maior Melhor",IF(CK288&gt;=CJ288,"Sim","Não"),IF(CK288&lt;=CJ288,"Sim","Não")))</f>
        <v/>
      </c>
      <c r="CN288" s="12"/>
      <c r="CO288" s="12"/>
      <c r="CP288" s="4" t="str">
        <f aca="false">IF(OR(CN288="",CO288=""),"",IFERROR(IF($K288="%",CO288-CN288,CO288/CN288-1),""))</f>
        <v/>
      </c>
      <c r="CQ288" s="5" t="str">
        <f aca="false">IF(OR(CN288="",CO288=""),"",IF($F288="Maior Melhor",IF(CO288&gt;=CN288,"Sim","Não"),IF(CO288&lt;=CN288,"Sim","Não")))</f>
        <v/>
      </c>
      <c r="CR288" s="2" t="s">
        <v>105</v>
      </c>
    </row>
    <row r="289" customFormat="false" ht="15" hidden="false" customHeight="false" outlineLevel="0" collapsed="false">
      <c r="A289" s="2" t="s">
        <v>96</v>
      </c>
      <c r="B289" s="2" t="s">
        <v>108</v>
      </c>
      <c r="C289" s="2" t="s">
        <v>131</v>
      </c>
      <c r="D289" s="2" t="s">
        <v>189</v>
      </c>
      <c r="E289" s="2" t="str">
        <f aca="false">C289&amp;D289</f>
        <v>UTD VITORIA DA CONQUISTAQualidade do TOI</v>
      </c>
      <c r="F289" s="2" t="s">
        <v>100</v>
      </c>
      <c r="G289" s="2" t="s">
        <v>190</v>
      </c>
      <c r="H289" s="2" t="s">
        <v>102</v>
      </c>
      <c r="I289" s="2" t="s">
        <v>103</v>
      </c>
      <c r="J289" s="2" t="n">
        <v>2</v>
      </c>
      <c r="K289" s="2" t="s">
        <v>191</v>
      </c>
      <c r="L289" s="11" t="n">
        <v>8.2</v>
      </c>
      <c r="M289" s="11" t="n">
        <v>8.6</v>
      </c>
      <c r="N289" s="4" t="n">
        <f aca="false">IF(OR(L289="",M289=""),"",IFERROR(IF($K289="%",M289-L289,M289/L289-1),""))</f>
        <v>0.0487804878048781</v>
      </c>
      <c r="O289" s="5" t="str">
        <f aca="false">IF(OR(L289="",M289=""),"",IF($F289="Maior Melhor",IF(M289&gt;=L289,"Sim","Não"),IF(M289&lt;=L289,"Sim","Não")))</f>
        <v>Sim</v>
      </c>
      <c r="P289" s="11" t="n">
        <v>8.2</v>
      </c>
      <c r="Q289" s="11" t="n">
        <v>10</v>
      </c>
      <c r="R289" s="4" t="n">
        <f aca="false">IF(OR(P289="",Q289=""),"",IFERROR(IF($K289="%",Q289-P289,Q289/P289-1),""))</f>
        <v>0.219512195121951</v>
      </c>
      <c r="S289" s="5" t="str">
        <f aca="false">IF(OR(P289="",Q289=""),"",IF($F289="Maior Melhor",IF(Q289&gt;=P289,"Sim","Não"),IF(Q289&lt;=P289,"Sim","Não")))</f>
        <v>Sim</v>
      </c>
      <c r="T289" s="11" t="n">
        <v>8.2</v>
      </c>
      <c r="U289" s="11" t="n">
        <v>8.9</v>
      </c>
      <c r="V289" s="4" t="n">
        <f aca="false">IF(OR(T289="",U289=""),"",IFERROR(IF($K289="%",U289-T289,U289/T289-1),""))</f>
        <v>0.0853658536585367</v>
      </c>
      <c r="W289" s="5" t="str">
        <f aca="false">IF(OR(T289="",U289=""),"",IF($F289="Maior Melhor",IF(U289&gt;=T289,"Sim","Não"),IF(U289&lt;=T289,"Sim","Não")))</f>
        <v>Sim</v>
      </c>
      <c r="X289" s="11" t="n">
        <v>8.2</v>
      </c>
      <c r="Y289" s="11" t="n">
        <v>9.9</v>
      </c>
      <c r="Z289" s="4" t="n">
        <f aca="false">IF(OR(X289="",Y289=""),"",IFERROR(IF($K289="%",Y289-X289,Y289/X289-1),""))</f>
        <v>0.207317073170732</v>
      </c>
      <c r="AA289" s="5" t="str">
        <f aca="false">IF(OR(X289="",Y289=""),"",IF($F289="Maior Melhor",IF(Y289&gt;=X289,"Sim","Não"),IF(Y289&lt;=X289,"Sim","Não")))</f>
        <v>Sim</v>
      </c>
      <c r="AB289" s="11" t="n">
        <v>8.2</v>
      </c>
      <c r="AC289" s="11" t="n">
        <v>9.3</v>
      </c>
      <c r="AD289" s="4" t="n">
        <f aca="false">IF(OR(AB289="",AC289=""),"",IFERROR(IF($K289="%",AC289-AB289,AC289/AB289-1),""))</f>
        <v>0.134146341463415</v>
      </c>
      <c r="AE289" s="5" t="str">
        <f aca="false">IF(OR(AB289="",AC289=""),"",IF($F289="Maior Melhor",IF(AC289&gt;=AB289,"Sim","Não"),IF(AC289&lt;=AB289,"Sim","Não")))</f>
        <v>Sim</v>
      </c>
      <c r="AF289" s="11" t="n">
        <v>8.2</v>
      </c>
      <c r="AG289" s="11" t="n">
        <v>10</v>
      </c>
      <c r="AH289" s="4" t="n">
        <f aca="false">IF(OR(AF289="",AG289=""),"",IFERROR(IF($K289="%",AG289-AF289,AG289/AF289-1),""))</f>
        <v>0.219512195121951</v>
      </c>
      <c r="AI289" s="5" t="str">
        <f aca="false">IF(OR(AF289="",AG289=""),"",IF($F289="Maior Melhor",IF(AG289&gt;=AF289,"Sim","Não"),IF(AG289&lt;=AF289,"Sim","Não")))</f>
        <v>Sim</v>
      </c>
      <c r="AJ289" s="11" t="n">
        <v>8.2</v>
      </c>
      <c r="AK289" s="11" t="n">
        <v>9.5</v>
      </c>
      <c r="AL289" s="4" t="n">
        <f aca="false">IF(OR(AJ289="",AK289=""),"",IFERROR(IF($K289="%",AK289-AJ289,AK289/AJ289-1),""))</f>
        <v>0.158536585365854</v>
      </c>
      <c r="AM289" s="5" t="str">
        <f aca="false">IF(OR(AJ289="",AK289=""),"",IF($F289="Maior Melhor",IF(AK289&gt;=AJ289,"Sim","Não"),IF(AK289&lt;=AJ289,"Sim","Não")))</f>
        <v>Sim</v>
      </c>
      <c r="AN289" s="11" t="n">
        <v>8.2</v>
      </c>
      <c r="AO289" s="11" t="n">
        <v>9.6</v>
      </c>
      <c r="AP289" s="4" t="n">
        <f aca="false">IF(OR(AN289="",AO289=""),"",IFERROR(IF($K289="%",AO289-AN289,AO289/AN289-1),""))</f>
        <v>0.170731707317073</v>
      </c>
      <c r="AQ289" s="5" t="str">
        <f aca="false">IF(OR(AN289="",AO289=""),"",IF($F289="Maior Melhor",IF(AO289&gt;=AN289,"Sim","Não"),IF(AO289&lt;=AN289,"Sim","Não")))</f>
        <v>Sim</v>
      </c>
      <c r="AR289" s="11" t="n">
        <v>8.2</v>
      </c>
      <c r="AS289" s="11" t="n">
        <v>9.5</v>
      </c>
      <c r="AT289" s="4" t="n">
        <f aca="false">IF(OR(AR289="",AS289=""),"",IFERROR(IF($K289="%",AS289-AR289,AS289/AR289-1),""))</f>
        <v>0.158536585365854</v>
      </c>
      <c r="AU289" s="5" t="str">
        <f aca="false">IF(OR(AR289="",AS289=""),"",IF($F289="Maior Melhor",IF(AS289&gt;=AR289,"Sim","Não"),IF(AS289&lt;=AR289,"Sim","Não")))</f>
        <v>Sim</v>
      </c>
      <c r="AV289" s="11" t="n">
        <v>8.2</v>
      </c>
      <c r="AW289" s="11" t="n">
        <v>10</v>
      </c>
      <c r="AX289" s="4" t="n">
        <f aca="false">IF(OR(AV289="",AW289=""),"",IFERROR(IF($K289="%",AW289-AV289,AW289/AV289-1),""))</f>
        <v>0.219512195121951</v>
      </c>
      <c r="AY289" s="5" t="str">
        <f aca="false">IF(OR(AV289="",AW289=""),"",IF($F289="Maior Melhor",IF(AW289&gt;=AV289,"Sim","Não"),IF(AW289&lt;=AV289,"Sim","Não")))</f>
        <v>Sim</v>
      </c>
      <c r="AZ289" s="11" t="n">
        <v>8.2</v>
      </c>
      <c r="BA289" s="11" t="n">
        <v>9.6</v>
      </c>
      <c r="BB289" s="4" t="n">
        <f aca="false">IF(OR(AZ289="",BA289=""),"",IFERROR(IF($K289="%",BA289-AZ289,BA289/AZ289-1),""))</f>
        <v>0.170731707317073</v>
      </c>
      <c r="BC289" s="5" t="str">
        <f aca="false">IF(OR(AZ289="",BA289=""),"",IF($F289="Maior Melhor",IF(BA289&gt;=AZ289,"Sim","Não"),IF(BA289&lt;=AZ289,"Sim","Não")))</f>
        <v>Sim</v>
      </c>
      <c r="BD289" s="11" t="n">
        <v>8.2</v>
      </c>
      <c r="BE289" s="11" t="n">
        <v>10</v>
      </c>
      <c r="BF289" s="4" t="n">
        <f aca="false">IF(OR(BD289="",BE289=""),"",IFERROR(IF($K289="%",BE289-BD289,BE289/BD289-1),""))</f>
        <v>0.219512195121951</v>
      </c>
      <c r="BG289" s="5" t="str">
        <f aca="false">IF(OR(BD289="",BE289=""),"",IF($F289="Maior Melhor",IF(BE289&gt;=BD289,"Sim","Não"),IF(BE289&lt;=BD289,"Sim","Não")))</f>
        <v>Sim</v>
      </c>
      <c r="BH289" s="11" t="n">
        <v>8.2</v>
      </c>
      <c r="BI289" s="11" t="n">
        <v>9.6</v>
      </c>
      <c r="BJ289" s="4" t="n">
        <f aca="false">IF(OR(BH289="",BI289=""),"",IFERROR(IF($K289="%",BI289-BH289,BI289/BH289-1),""))</f>
        <v>0.170731707317073</v>
      </c>
      <c r="BK289" s="5" t="str">
        <f aca="false">IF(OR(BH289="",BI289=""),"",IF($F289="Maior Melhor",IF(BI289&gt;=BH289,"Sim","Não"),IF(BI289&lt;=BH289,"Sim","Não")))</f>
        <v>Sim</v>
      </c>
      <c r="BL289" s="12"/>
      <c r="BM289" s="12"/>
      <c r="BN289" s="4" t="str">
        <f aca="false">IF(OR(BL289="",BM289=""),"",IFERROR(IF($K289="%",BM289-BL289,BM289/BL289-1),""))</f>
        <v/>
      </c>
      <c r="BO289" s="5" t="str">
        <f aca="false">IF(OR(BL289="",BM289=""),"",IF($F289="Maior Melhor",IF(BM289&gt;=BL289,"Sim","Não"),IF(BM289&lt;=BL289,"Sim","Não")))</f>
        <v/>
      </c>
      <c r="BP289" s="12"/>
      <c r="BQ289" s="12"/>
      <c r="BR289" s="4" t="str">
        <f aca="false">IF(OR(BP289="",BQ289=""),"",IFERROR(IF($K289="%",BQ289-BP289,BQ289/BP289-1),""))</f>
        <v/>
      </c>
      <c r="BS289" s="5" t="str">
        <f aca="false">IF(OR(BP289="",BQ289=""),"",IF($F289="Maior Melhor",IF(BQ289&gt;=BP289,"Sim","Não"),IF(BQ289&lt;=BP289,"Sim","Não")))</f>
        <v/>
      </c>
      <c r="BT289" s="12"/>
      <c r="BU289" s="12"/>
      <c r="BV289" s="4" t="str">
        <f aca="false">IF(OR(BT289="",BU289=""),"",IFERROR(IF($K289="%",BU289-BT289,BU289/BT289-1),""))</f>
        <v/>
      </c>
      <c r="BW289" s="5" t="str">
        <f aca="false">IF(OR(BT289="",BU289=""),"",IF($F289="Maior Melhor",IF(BU289&gt;=BT289,"Sim","Não"),IF(BU289&lt;=BT289,"Sim","Não")))</f>
        <v/>
      </c>
      <c r="BX289" s="12"/>
      <c r="BY289" s="12"/>
      <c r="BZ289" s="4" t="str">
        <f aca="false">IF(OR(BX289="",BY289=""),"",IFERROR(IF($K289="%",BY289-BX289,BY289/BX289-1),""))</f>
        <v/>
      </c>
      <c r="CA289" s="5" t="str">
        <f aca="false">IF(OR(BX289="",BY289=""),"",IF($F289="Maior Melhor",IF(BY289&gt;=BX289,"Sim","Não"),IF(BY289&lt;=BX289,"Sim","Não")))</f>
        <v/>
      </c>
      <c r="CB289" s="12"/>
      <c r="CC289" s="12"/>
      <c r="CD289" s="4" t="str">
        <f aca="false">IF(OR(CB289="",CC289=""),"",IFERROR(IF($K289="%",CC289-CB289,CC289/CB289-1),""))</f>
        <v/>
      </c>
      <c r="CE289" s="5" t="str">
        <f aca="false">IF(OR(CB289="",CC289=""),"",IF($F289="Maior Melhor",IF(CC289&gt;=CB289,"Sim","Não"),IF(CC289&lt;=CB289,"Sim","Não")))</f>
        <v/>
      </c>
      <c r="CF289" s="12"/>
      <c r="CG289" s="12"/>
      <c r="CH289" s="4" t="str">
        <f aca="false">IF(OR(CF289="",CG289=""),"",IFERROR(IF($K289="%",CG289-CF289,CG289/CF289-1),""))</f>
        <v/>
      </c>
      <c r="CI289" s="5" t="str">
        <f aca="false">IF(OR(CF289="",CG289=""),"",IF($F289="Maior Melhor",IF(CG289&gt;=CF289,"Sim","Não"),IF(CG289&lt;=CF289,"Sim","Não")))</f>
        <v/>
      </c>
      <c r="CJ289" s="12"/>
      <c r="CK289" s="12"/>
      <c r="CL289" s="4" t="str">
        <f aca="false">IF(OR(CJ289="",CK289=""),"",IFERROR(IF($K289="%",CK289-CJ289,CK289/CJ289-1),""))</f>
        <v/>
      </c>
      <c r="CM289" s="5" t="str">
        <f aca="false">IF(OR(CJ289="",CK289=""),"",IF($F289="Maior Melhor",IF(CK289&gt;=CJ289,"Sim","Não"),IF(CK289&lt;=CJ289,"Sim","Não")))</f>
        <v/>
      </c>
      <c r="CN289" s="12"/>
      <c r="CO289" s="12"/>
      <c r="CP289" s="4" t="str">
        <f aca="false">IF(OR(CN289="",CO289=""),"",IFERROR(IF($K289="%",CO289-CN289,CO289/CN289-1),""))</f>
        <v/>
      </c>
      <c r="CQ289" s="5" t="str">
        <f aca="false">IF(OR(CN289="",CO289=""),"",IF($F289="Maior Melhor",IF(CO289&gt;=CN289,"Sim","Não"),IF(CO289&lt;=CN289,"Sim","Não")))</f>
        <v/>
      </c>
      <c r="CR289" s="2" t="s">
        <v>105</v>
      </c>
    </row>
    <row r="290" customFormat="false" ht="15" hidden="false" customHeight="false" outlineLevel="0" collapsed="false">
      <c r="A290" s="2" t="s">
        <v>161</v>
      </c>
      <c r="B290" s="2" t="s">
        <v>97</v>
      </c>
      <c r="C290" s="2" t="s">
        <v>98</v>
      </c>
      <c r="D290" s="2" t="s">
        <v>194</v>
      </c>
      <c r="E290" s="2" t="str">
        <f aca="false">C290&amp;D290</f>
        <v>Gerência Centro OesteQuantidade de notas reguladas Pendentes FP</v>
      </c>
      <c r="F290" s="2" t="s">
        <v>167</v>
      </c>
      <c r="G290" s="2" t="s">
        <v>195</v>
      </c>
      <c r="H290" s="2" t="s">
        <v>102</v>
      </c>
      <c r="I290" s="2" t="s">
        <v>169</v>
      </c>
      <c r="J290" s="2" t="n">
        <v>1</v>
      </c>
      <c r="K290" s="2" t="s">
        <v>104</v>
      </c>
      <c r="L290" s="3" t="n">
        <v>0.03</v>
      </c>
      <c r="M290" s="3" t="n">
        <v>0.112</v>
      </c>
      <c r="N290" s="4" t="n">
        <f aca="false">IF(OR(L290="",M290=""),"",IFERROR(IF($K290="%",M290-L290,M290/L290-1),""))</f>
        <v>0.082</v>
      </c>
      <c r="O290" s="5" t="str">
        <f aca="false">IF(OR(L290="",M290=""),"",IF($F290="Maior Melhor",IF(M290&gt;=L290,"Sim","Não"),IF(M290&lt;=L290,"Sim","Não")))</f>
        <v>Não</v>
      </c>
      <c r="P290" s="3" t="n">
        <v>0.03</v>
      </c>
      <c r="Q290" s="3" t="n">
        <v>0.14</v>
      </c>
      <c r="R290" s="4" t="n">
        <f aca="false">IF(OR(P290="",Q290=""),"",IFERROR(IF($K290="%",Q290-P290,Q290/P290-1),""))</f>
        <v>0.11</v>
      </c>
      <c r="S290" s="5" t="str">
        <f aca="false">IF(OR(P290="",Q290=""),"",IF($F290="Maior Melhor",IF(Q290&gt;=P290,"Sim","Não"),IF(Q290&lt;=P290,"Sim","Não")))</f>
        <v>Não</v>
      </c>
      <c r="T290" s="3" t="n">
        <v>0.03</v>
      </c>
      <c r="U290" s="3" t="n">
        <v>0.138</v>
      </c>
      <c r="V290" s="4" t="n">
        <f aca="false">IF(OR(T290="",U290=""),"",IFERROR(IF($K290="%",U290-T290,U290/T290-1),""))</f>
        <v>0.108</v>
      </c>
      <c r="W290" s="5" t="str">
        <f aca="false">IF(OR(T290="",U290=""),"",IF($F290="Maior Melhor",IF(U290&gt;=T290,"Sim","Não"),IF(U290&lt;=T290,"Sim","Não")))</f>
        <v>Não</v>
      </c>
      <c r="X290" s="3" t="n">
        <v>0.03</v>
      </c>
      <c r="Y290" s="3" t="n">
        <v>0.0179</v>
      </c>
      <c r="Z290" s="4" t="n">
        <f aca="false">IF(OR(X290="",Y290=""),"",IFERROR(IF($K290="%",Y290-X290,Y290/X290-1),""))</f>
        <v>-0.0121</v>
      </c>
      <c r="AA290" s="5" t="str">
        <f aca="false">IF(OR(X290="",Y290=""),"",IF($F290="Maior Melhor",IF(Y290&gt;=X290,"Sim","Não"),IF(Y290&lt;=X290,"Sim","Não")))</f>
        <v>Sim</v>
      </c>
      <c r="AB290" s="3" t="n">
        <v>0.03</v>
      </c>
      <c r="AC290" s="3" t="n">
        <v>0.0179</v>
      </c>
      <c r="AD290" s="4" t="n">
        <f aca="false">IF(OR(AB290="",AC290=""),"",IFERROR(IF($K290="%",AC290-AB290,AC290/AB290-1),""))</f>
        <v>-0.0121</v>
      </c>
      <c r="AE290" s="5" t="str">
        <f aca="false">IF(OR(AB290="",AC290=""),"",IF($F290="Maior Melhor",IF(AC290&gt;=AB290,"Sim","Não"),IF(AC290&lt;=AB290,"Sim","Não")))</f>
        <v>Sim</v>
      </c>
      <c r="AF290" s="3" t="n">
        <v>0.03</v>
      </c>
      <c r="AG290" s="3" t="n">
        <v>0.008896797</v>
      </c>
      <c r="AH290" s="4" t="n">
        <f aca="false">IF(OR(AF290="",AG290=""),"",IFERROR(IF($K290="%",AG290-AF290,AG290/AF290-1),""))</f>
        <v>-0.021103203</v>
      </c>
      <c r="AI290" s="5" t="str">
        <f aca="false">IF(OR(AF290="",AG290=""),"",IF($F290="Maior Melhor",IF(AG290&gt;=AF290,"Sim","Não"),IF(AG290&lt;=AF290,"Sim","Não")))</f>
        <v>Sim</v>
      </c>
      <c r="AJ290" s="3" t="n">
        <v>0.03</v>
      </c>
      <c r="AK290" s="3" t="n">
        <v>0.008896797</v>
      </c>
      <c r="AL290" s="4" t="n">
        <f aca="false">IF(OR(AJ290="",AK290=""),"",IFERROR(IF($K290="%",AK290-AJ290,AK290/AJ290-1),""))</f>
        <v>-0.021103203</v>
      </c>
      <c r="AM290" s="5" t="str">
        <f aca="false">IF(OR(AJ290="",AK290=""),"",IF($F290="Maior Melhor",IF(AK290&gt;=AJ290,"Sim","Não"),IF(AK290&lt;=AJ290,"Sim","Não")))</f>
        <v>Sim</v>
      </c>
      <c r="AN290" s="3" t="n">
        <v>0.03</v>
      </c>
      <c r="AO290" s="3" t="n">
        <v>0.013316424</v>
      </c>
      <c r="AP290" s="4" t="n">
        <f aca="false">IF(OR(AN290="",AO290=""),"",IFERROR(IF($K290="%",AO290-AN290,AO290/AN290-1),""))</f>
        <v>-0.016683576</v>
      </c>
      <c r="AQ290" s="5" t="str">
        <f aca="false">IF(OR(AN290="",AO290=""),"",IF($F290="Maior Melhor",IF(AO290&gt;=AN290,"Sim","Não"),IF(AO290&lt;=AN290,"Sim","Não")))</f>
        <v>Sim</v>
      </c>
      <c r="AR290" s="3" t="n">
        <v>0.03</v>
      </c>
      <c r="AS290" s="3" t="n">
        <v>0.013316424</v>
      </c>
      <c r="AT290" s="4" t="n">
        <f aca="false">IF(OR(AR290="",AS290=""),"",IFERROR(IF($K290="%",AS290-AR290,AS290/AR290-1),""))</f>
        <v>-0.016683576</v>
      </c>
      <c r="AU290" s="5" t="str">
        <f aca="false">IF(OR(AR290="",AS290=""),"",IF($F290="Maior Melhor",IF(AS290&gt;=AR290,"Sim","Não"),IF(AS290&lt;=AR290,"Sim","Não")))</f>
        <v>Sim</v>
      </c>
      <c r="AV290" s="3" t="n">
        <v>0.03</v>
      </c>
      <c r="AW290" s="3" t="n">
        <v>0.007</v>
      </c>
      <c r="AX290" s="4" t="n">
        <f aca="false">IF(OR(AV290="",AW290=""),"",IFERROR(IF($K290="%",AW290-AV290,AW290/AV290-1),""))</f>
        <v>-0.023</v>
      </c>
      <c r="AY290" s="5" t="str">
        <f aca="false">IF(OR(AV290="",AW290=""),"",IF($F290="Maior Melhor",IF(AW290&gt;=AV290,"Sim","Não"),IF(AW290&lt;=AV290,"Sim","Não")))</f>
        <v>Sim</v>
      </c>
      <c r="AZ290" s="3" t="n">
        <v>0.03</v>
      </c>
      <c r="BA290" s="3" t="n">
        <v>0.007</v>
      </c>
      <c r="BB290" s="4" t="n">
        <f aca="false">IF(OR(AZ290="",BA290=""),"",IFERROR(IF($K290="%",BA290-AZ290,BA290/AZ290-1),""))</f>
        <v>-0.023</v>
      </c>
      <c r="BC290" s="5" t="str">
        <f aca="false">IF(OR(AZ290="",BA290=""),"",IF($F290="Maior Melhor",IF(BA290&gt;=AZ290,"Sim","Não"),IF(BA290&lt;=AZ290,"Sim","Não")))</f>
        <v>Sim</v>
      </c>
      <c r="BD290" s="3" t="n">
        <v>0.03</v>
      </c>
      <c r="BE290" s="3" t="n">
        <v>0.004964539</v>
      </c>
      <c r="BF290" s="4" t="n">
        <f aca="false">IF(OR(BD290="",BE290=""),"",IFERROR(IF($K290="%",BE290-BD290,BE290/BD290-1),""))</f>
        <v>-0.025035461</v>
      </c>
      <c r="BG290" s="5" t="str">
        <f aca="false">IF(OR(BD290="",BE290=""),"",IF($F290="Maior Melhor",IF(BE290&gt;=BD290,"Sim","Não"),IF(BE290&lt;=BD290,"Sim","Não")))</f>
        <v>Sim</v>
      </c>
      <c r="BH290" s="3" t="n">
        <v>0.03</v>
      </c>
      <c r="BI290" s="3" t="n">
        <v>0.004964539</v>
      </c>
      <c r="BJ290" s="4" t="n">
        <f aca="false">IF(OR(BH290="",BI290=""),"",IFERROR(IF($K290="%",BI290-BH290,BI290/BH290-1),""))</f>
        <v>-0.025035461</v>
      </c>
      <c r="BK290" s="5" t="str">
        <f aca="false">IF(OR(BH290="",BI290=""),"",IF($F290="Maior Melhor",IF(BI290&gt;=BH290,"Sim","Não"),IF(BI290&lt;=BH290,"Sim","Não")))</f>
        <v>Sim</v>
      </c>
      <c r="BL290" s="6"/>
      <c r="BM290" s="6"/>
      <c r="BN290" s="4" t="str">
        <f aca="false">IF(OR(BL290="",BM290=""),"",IFERROR(IF($K290="%",BM290-BL290,BM290/BL290-1),""))</f>
        <v/>
      </c>
      <c r="BO290" s="5" t="str">
        <f aca="false">IF(OR(BL290="",BM290=""),"",IF($F290="Maior Melhor",IF(BM290&gt;=BL290,"Sim","Não"),IF(BM290&lt;=BL290,"Sim","Não")))</f>
        <v/>
      </c>
      <c r="BP290" s="6"/>
      <c r="BQ290" s="6"/>
      <c r="BR290" s="4" t="str">
        <f aca="false">IF(OR(BP290="",BQ290=""),"",IFERROR(IF($K290="%",BQ290-BP290,BQ290/BP290-1),""))</f>
        <v/>
      </c>
      <c r="BS290" s="5" t="str">
        <f aca="false">IF(OR(BP290="",BQ290=""),"",IF($F290="Maior Melhor",IF(BQ290&gt;=BP290,"Sim","Não"),IF(BQ290&lt;=BP290,"Sim","Não")))</f>
        <v/>
      </c>
      <c r="BT290" s="6"/>
      <c r="BU290" s="6"/>
      <c r="BV290" s="4" t="str">
        <f aca="false">IF(OR(BT290="",BU290=""),"",IFERROR(IF($K290="%",BU290-BT290,BU290/BT290-1),""))</f>
        <v/>
      </c>
      <c r="BW290" s="5" t="str">
        <f aca="false">IF(OR(BT290="",BU290=""),"",IF($F290="Maior Melhor",IF(BU290&gt;=BT290,"Sim","Não"),IF(BU290&lt;=BT290,"Sim","Não")))</f>
        <v/>
      </c>
      <c r="BX290" s="6"/>
      <c r="BY290" s="6"/>
      <c r="BZ290" s="4" t="str">
        <f aca="false">IF(OR(BX290="",BY290=""),"",IFERROR(IF($K290="%",BY290-BX290,BY290/BX290-1),""))</f>
        <v/>
      </c>
      <c r="CA290" s="5" t="str">
        <f aca="false">IF(OR(BX290="",BY290=""),"",IF($F290="Maior Melhor",IF(BY290&gt;=BX290,"Sim","Não"),IF(BY290&lt;=BX290,"Sim","Não")))</f>
        <v/>
      </c>
      <c r="CB290" s="6"/>
      <c r="CC290" s="6"/>
      <c r="CD290" s="4" t="str">
        <f aca="false">IF(OR(CB290="",CC290=""),"",IFERROR(IF($K290="%",CC290-CB290,CC290/CB290-1),""))</f>
        <v/>
      </c>
      <c r="CE290" s="5" t="str">
        <f aca="false">IF(OR(CB290="",CC290=""),"",IF($F290="Maior Melhor",IF(CC290&gt;=CB290,"Sim","Não"),IF(CC290&lt;=CB290,"Sim","Não")))</f>
        <v/>
      </c>
      <c r="CF290" s="6"/>
      <c r="CG290" s="6"/>
      <c r="CH290" s="4" t="str">
        <f aca="false">IF(OR(CF290="",CG290=""),"",IFERROR(IF($K290="%",CG290-CF290,CG290/CF290-1),""))</f>
        <v/>
      </c>
      <c r="CI290" s="5" t="str">
        <f aca="false">IF(OR(CF290="",CG290=""),"",IF($F290="Maior Melhor",IF(CG290&gt;=CF290,"Sim","Não"),IF(CG290&lt;=CF290,"Sim","Não")))</f>
        <v/>
      </c>
      <c r="CJ290" s="6"/>
      <c r="CK290" s="6"/>
      <c r="CL290" s="4" t="str">
        <f aca="false">IF(OR(CJ290="",CK290=""),"",IFERROR(IF($K290="%",CK290-CJ290,CK290/CJ290-1),""))</f>
        <v/>
      </c>
      <c r="CM290" s="5" t="str">
        <f aca="false">IF(OR(CJ290="",CK290=""),"",IF($F290="Maior Melhor",IF(CK290&gt;=CJ290,"Sim","Não"),IF(CK290&lt;=CJ290,"Sim","Não")))</f>
        <v/>
      </c>
      <c r="CN290" s="6"/>
      <c r="CO290" s="6"/>
      <c r="CP290" s="4" t="str">
        <f aca="false">IF(OR(CN290="",CO290=""),"",IFERROR(IF($K290="%",CO290-CN290,CO290/CN290-1),""))</f>
        <v/>
      </c>
      <c r="CQ290" s="5" t="str">
        <f aca="false">IF(OR(CN290="",CO290=""),"",IF($F290="Maior Melhor",IF(CO290&gt;=CN290,"Sim","Não"),IF(CO290&lt;=CN290,"Sim","Não")))</f>
        <v/>
      </c>
      <c r="CR290" s="2" t="s">
        <v>105</v>
      </c>
    </row>
    <row r="291" customFormat="false" ht="15" hidden="false" customHeight="false" outlineLevel="0" collapsed="false">
      <c r="A291" s="2" t="s">
        <v>161</v>
      </c>
      <c r="B291" s="2" t="s">
        <v>106</v>
      </c>
      <c r="C291" s="2" t="s">
        <v>107</v>
      </c>
      <c r="D291" s="2" t="s">
        <v>194</v>
      </c>
      <c r="E291" s="2" t="str">
        <f aca="false">C291&amp;D291</f>
        <v>Gerência OesteQuantidade de notas reguladas Pendentes FP</v>
      </c>
      <c r="F291" s="2" t="s">
        <v>167</v>
      </c>
      <c r="G291" s="2" t="s">
        <v>195</v>
      </c>
      <c r="H291" s="2" t="s">
        <v>102</v>
      </c>
      <c r="I291" s="2" t="s">
        <v>169</v>
      </c>
      <c r="J291" s="2" t="n">
        <v>1</v>
      </c>
      <c r="K291" s="2" t="s">
        <v>104</v>
      </c>
      <c r="L291" s="3" t="n">
        <v>0.03</v>
      </c>
      <c r="M291" s="3" t="n">
        <v>0.057</v>
      </c>
      <c r="N291" s="4" t="n">
        <f aca="false">IF(OR(L291="",M291=""),"",IFERROR(IF($K291="%",M291-L291,M291/L291-1),""))</f>
        <v>0.027</v>
      </c>
      <c r="O291" s="5" t="str">
        <f aca="false">IF(OR(L291="",M291=""),"",IF($F291="Maior Melhor",IF(M291&gt;=L291,"Sim","Não"),IF(M291&lt;=L291,"Sim","Não")))</f>
        <v>Não</v>
      </c>
      <c r="P291" s="3" t="n">
        <v>0.03</v>
      </c>
      <c r="Q291" s="3" t="n">
        <v>0.073</v>
      </c>
      <c r="R291" s="4" t="n">
        <f aca="false">IF(OR(P291="",Q291=""),"",IFERROR(IF($K291="%",Q291-P291,Q291/P291-1),""))</f>
        <v>0.043</v>
      </c>
      <c r="S291" s="5" t="str">
        <f aca="false">IF(OR(P291="",Q291=""),"",IF($F291="Maior Melhor",IF(Q291&gt;=P291,"Sim","Não"),IF(Q291&lt;=P291,"Sim","Não")))</f>
        <v>Não</v>
      </c>
      <c r="T291" s="3" t="n">
        <v>0.03</v>
      </c>
      <c r="U291" s="3" t="n">
        <v>0.02</v>
      </c>
      <c r="V291" s="4" t="n">
        <f aca="false">IF(OR(T291="",U291=""),"",IFERROR(IF($K291="%",U291-T291,U291/T291-1),""))</f>
        <v>-0.01</v>
      </c>
      <c r="W291" s="5" t="str">
        <f aca="false">IF(OR(T291="",U291=""),"",IF($F291="Maior Melhor",IF(U291&gt;=T291,"Sim","Não"),IF(U291&lt;=T291,"Sim","Não")))</f>
        <v>Sim</v>
      </c>
      <c r="X291" s="3" t="n">
        <v>0.03</v>
      </c>
      <c r="Y291" s="3" t="n">
        <v>0.0081</v>
      </c>
      <c r="Z291" s="4" t="n">
        <f aca="false">IF(OR(X291="",Y291=""),"",IFERROR(IF($K291="%",Y291-X291,Y291/X291-1),""))</f>
        <v>-0.0219</v>
      </c>
      <c r="AA291" s="5" t="str">
        <f aca="false">IF(OR(X291="",Y291=""),"",IF($F291="Maior Melhor",IF(Y291&gt;=X291,"Sim","Não"),IF(Y291&lt;=X291,"Sim","Não")))</f>
        <v>Sim</v>
      </c>
      <c r="AB291" s="3" t="n">
        <v>0.03</v>
      </c>
      <c r="AC291" s="3" t="n">
        <v>0.0081</v>
      </c>
      <c r="AD291" s="4" t="n">
        <f aca="false">IF(OR(AB291="",AC291=""),"",IFERROR(IF($K291="%",AC291-AB291,AC291/AB291-1),""))</f>
        <v>-0.0219</v>
      </c>
      <c r="AE291" s="5" t="str">
        <f aca="false">IF(OR(AB291="",AC291=""),"",IF($F291="Maior Melhor",IF(AC291&gt;=AB291,"Sim","Não"),IF(AC291&lt;=AB291,"Sim","Não")))</f>
        <v>Sim</v>
      </c>
      <c r="AF291" s="3" t="n">
        <v>0.03</v>
      </c>
      <c r="AG291" s="3" t="n">
        <v>0.003215434</v>
      </c>
      <c r="AH291" s="4" t="n">
        <f aca="false">IF(OR(AF291="",AG291=""),"",IFERROR(IF($K291="%",AG291-AF291,AG291/AF291-1),""))</f>
        <v>-0.026784566</v>
      </c>
      <c r="AI291" s="5" t="str">
        <f aca="false">IF(OR(AF291="",AG291=""),"",IF($F291="Maior Melhor",IF(AG291&gt;=AF291,"Sim","Não"),IF(AG291&lt;=AF291,"Sim","Não")))</f>
        <v>Sim</v>
      </c>
      <c r="AJ291" s="3" t="n">
        <v>0.03</v>
      </c>
      <c r="AK291" s="3" t="n">
        <v>0.003215434</v>
      </c>
      <c r="AL291" s="4" t="n">
        <f aca="false">IF(OR(AJ291="",AK291=""),"",IFERROR(IF($K291="%",AK291-AJ291,AK291/AJ291-1),""))</f>
        <v>-0.026784566</v>
      </c>
      <c r="AM291" s="5" t="str">
        <f aca="false">IF(OR(AJ291="",AK291=""),"",IF($F291="Maior Melhor",IF(AK291&gt;=AJ291,"Sim","Não"),IF(AK291&lt;=AJ291,"Sim","Não")))</f>
        <v>Sim</v>
      </c>
      <c r="AN291" s="3" t="n">
        <v>0.03</v>
      </c>
      <c r="AO291" s="3" t="n">
        <v>0.007352941</v>
      </c>
      <c r="AP291" s="4" t="n">
        <f aca="false">IF(OR(AN291="",AO291=""),"",IFERROR(IF($K291="%",AO291-AN291,AO291/AN291-1),""))</f>
        <v>-0.022647059</v>
      </c>
      <c r="AQ291" s="5" t="str">
        <f aca="false">IF(OR(AN291="",AO291=""),"",IF($F291="Maior Melhor",IF(AO291&gt;=AN291,"Sim","Não"),IF(AO291&lt;=AN291,"Sim","Não")))</f>
        <v>Sim</v>
      </c>
      <c r="AR291" s="3" t="n">
        <v>0.03</v>
      </c>
      <c r="AS291" s="3" t="n">
        <v>0.007352941</v>
      </c>
      <c r="AT291" s="4" t="n">
        <f aca="false">IF(OR(AR291="",AS291=""),"",IFERROR(IF($K291="%",AS291-AR291,AS291/AR291-1),""))</f>
        <v>-0.022647059</v>
      </c>
      <c r="AU291" s="5" t="str">
        <f aca="false">IF(OR(AR291="",AS291=""),"",IF($F291="Maior Melhor",IF(AS291&gt;=AR291,"Sim","Não"),IF(AS291&lt;=AR291,"Sim","Não")))</f>
        <v>Sim</v>
      </c>
      <c r="AV291" s="3" t="n">
        <v>0.03</v>
      </c>
      <c r="AW291" s="3" t="n">
        <v>0.007</v>
      </c>
      <c r="AX291" s="4" t="n">
        <f aca="false">IF(OR(AV291="",AW291=""),"",IFERROR(IF($K291="%",AW291-AV291,AW291/AV291-1),""))</f>
        <v>-0.023</v>
      </c>
      <c r="AY291" s="5" t="str">
        <f aca="false">IF(OR(AV291="",AW291=""),"",IF($F291="Maior Melhor",IF(AW291&gt;=AV291,"Sim","Não"),IF(AW291&lt;=AV291,"Sim","Não")))</f>
        <v>Sim</v>
      </c>
      <c r="AZ291" s="3" t="n">
        <v>0.03</v>
      </c>
      <c r="BA291" s="3" t="n">
        <v>0.007</v>
      </c>
      <c r="BB291" s="4" t="n">
        <f aca="false">IF(OR(AZ291="",BA291=""),"",IFERROR(IF($K291="%",BA291-AZ291,BA291/AZ291-1),""))</f>
        <v>-0.023</v>
      </c>
      <c r="BC291" s="5" t="str">
        <f aca="false">IF(OR(AZ291="",BA291=""),"",IF($F291="Maior Melhor",IF(BA291&gt;=AZ291,"Sim","Não"),IF(BA291&lt;=AZ291,"Sim","Não")))</f>
        <v>Sim</v>
      </c>
      <c r="BD291" s="3" t="n">
        <v>0.03</v>
      </c>
      <c r="BE291" s="3" t="n">
        <v>0.005780347</v>
      </c>
      <c r="BF291" s="4" t="n">
        <f aca="false">IF(OR(BD291="",BE291=""),"",IFERROR(IF($K291="%",BE291-BD291,BE291/BD291-1),""))</f>
        <v>-0.024219653</v>
      </c>
      <c r="BG291" s="5" t="str">
        <f aca="false">IF(OR(BD291="",BE291=""),"",IF($F291="Maior Melhor",IF(BE291&gt;=BD291,"Sim","Não"),IF(BE291&lt;=BD291,"Sim","Não")))</f>
        <v>Sim</v>
      </c>
      <c r="BH291" s="3" t="n">
        <v>0.03</v>
      </c>
      <c r="BI291" s="3" t="n">
        <v>0.005780347</v>
      </c>
      <c r="BJ291" s="4" t="n">
        <f aca="false">IF(OR(BH291="",BI291=""),"",IFERROR(IF($K291="%",BI291-BH291,BI291/BH291-1),""))</f>
        <v>-0.024219653</v>
      </c>
      <c r="BK291" s="5" t="str">
        <f aca="false">IF(OR(BH291="",BI291=""),"",IF($F291="Maior Melhor",IF(BI291&gt;=BH291,"Sim","Não"),IF(BI291&lt;=BH291,"Sim","Não")))</f>
        <v>Sim</v>
      </c>
      <c r="BL291" s="6"/>
      <c r="BM291" s="6"/>
      <c r="BN291" s="4" t="str">
        <f aca="false">IF(OR(BL291="",BM291=""),"",IFERROR(IF($K291="%",BM291-BL291,BM291/BL291-1),""))</f>
        <v/>
      </c>
      <c r="BO291" s="5" t="str">
        <f aca="false">IF(OR(BL291="",BM291=""),"",IF($F291="Maior Melhor",IF(BM291&gt;=BL291,"Sim","Não"),IF(BM291&lt;=BL291,"Sim","Não")))</f>
        <v/>
      </c>
      <c r="BP291" s="6"/>
      <c r="BQ291" s="6"/>
      <c r="BR291" s="4" t="str">
        <f aca="false">IF(OR(BP291="",BQ291=""),"",IFERROR(IF($K291="%",BQ291-BP291,BQ291/BP291-1),""))</f>
        <v/>
      </c>
      <c r="BS291" s="5" t="str">
        <f aca="false">IF(OR(BP291="",BQ291=""),"",IF($F291="Maior Melhor",IF(BQ291&gt;=BP291,"Sim","Não"),IF(BQ291&lt;=BP291,"Sim","Não")))</f>
        <v/>
      </c>
      <c r="BT291" s="6"/>
      <c r="BU291" s="6"/>
      <c r="BV291" s="4" t="str">
        <f aca="false">IF(OR(BT291="",BU291=""),"",IFERROR(IF($K291="%",BU291-BT291,BU291/BT291-1),""))</f>
        <v/>
      </c>
      <c r="BW291" s="5" t="str">
        <f aca="false">IF(OR(BT291="",BU291=""),"",IF($F291="Maior Melhor",IF(BU291&gt;=BT291,"Sim","Não"),IF(BU291&lt;=BT291,"Sim","Não")))</f>
        <v/>
      </c>
      <c r="BX291" s="6"/>
      <c r="BY291" s="6"/>
      <c r="BZ291" s="4" t="str">
        <f aca="false">IF(OR(BX291="",BY291=""),"",IFERROR(IF($K291="%",BY291-BX291,BY291/BX291-1),""))</f>
        <v/>
      </c>
      <c r="CA291" s="5" t="str">
        <f aca="false">IF(OR(BX291="",BY291=""),"",IF($F291="Maior Melhor",IF(BY291&gt;=BX291,"Sim","Não"),IF(BY291&lt;=BX291,"Sim","Não")))</f>
        <v/>
      </c>
      <c r="CB291" s="6"/>
      <c r="CC291" s="6"/>
      <c r="CD291" s="4" t="str">
        <f aca="false">IF(OR(CB291="",CC291=""),"",IFERROR(IF($K291="%",CC291-CB291,CC291/CB291-1),""))</f>
        <v/>
      </c>
      <c r="CE291" s="5" t="str">
        <f aca="false">IF(OR(CB291="",CC291=""),"",IF($F291="Maior Melhor",IF(CC291&gt;=CB291,"Sim","Não"),IF(CC291&lt;=CB291,"Sim","Não")))</f>
        <v/>
      </c>
      <c r="CF291" s="6"/>
      <c r="CG291" s="6"/>
      <c r="CH291" s="4" t="str">
        <f aca="false">IF(OR(CF291="",CG291=""),"",IFERROR(IF($K291="%",CG291-CF291,CG291/CF291-1),""))</f>
        <v/>
      </c>
      <c r="CI291" s="5" t="str">
        <f aca="false">IF(OR(CF291="",CG291=""),"",IF($F291="Maior Melhor",IF(CG291&gt;=CF291,"Sim","Não"),IF(CG291&lt;=CF291,"Sim","Não")))</f>
        <v/>
      </c>
      <c r="CJ291" s="6"/>
      <c r="CK291" s="6"/>
      <c r="CL291" s="4" t="str">
        <f aca="false">IF(OR(CJ291="",CK291=""),"",IFERROR(IF($K291="%",CK291-CJ291,CK291/CJ291-1),""))</f>
        <v/>
      </c>
      <c r="CM291" s="5" t="str">
        <f aca="false">IF(OR(CJ291="",CK291=""),"",IF($F291="Maior Melhor",IF(CK291&gt;=CJ291,"Sim","Não"),IF(CK291&lt;=CJ291,"Sim","Não")))</f>
        <v/>
      </c>
      <c r="CN291" s="6"/>
      <c r="CO291" s="6"/>
      <c r="CP291" s="4" t="str">
        <f aca="false">IF(OR(CN291="",CO291=""),"",IFERROR(IF($K291="%",CO291-CN291,CO291/CN291-1),""))</f>
        <v/>
      </c>
      <c r="CQ291" s="5" t="str">
        <f aca="false">IF(OR(CN291="",CO291=""),"",IF($F291="Maior Melhor",IF(CO291&gt;=CN291,"Sim","Não"),IF(CO291&lt;=CN291,"Sim","Não")))</f>
        <v/>
      </c>
      <c r="CR291" s="2" t="s">
        <v>105</v>
      </c>
    </row>
    <row r="292" customFormat="false" ht="15" hidden="false" customHeight="false" outlineLevel="0" collapsed="false">
      <c r="A292" s="2" t="s">
        <v>161</v>
      </c>
      <c r="B292" s="2" t="s">
        <v>108</v>
      </c>
      <c r="C292" s="2" t="s">
        <v>109</v>
      </c>
      <c r="D292" s="2" t="s">
        <v>194</v>
      </c>
      <c r="E292" s="2" t="str">
        <f aca="false">C292&amp;D292</f>
        <v>Gerência SudoesteQuantidade de notas reguladas Pendentes FP</v>
      </c>
      <c r="F292" s="2" t="s">
        <v>167</v>
      </c>
      <c r="G292" s="2" t="s">
        <v>195</v>
      </c>
      <c r="H292" s="2" t="s">
        <v>102</v>
      </c>
      <c r="I292" s="2" t="s">
        <v>169</v>
      </c>
      <c r="J292" s="2" t="n">
        <v>1</v>
      </c>
      <c r="K292" s="2" t="s">
        <v>104</v>
      </c>
      <c r="L292" s="3" t="n">
        <v>0.03</v>
      </c>
      <c r="M292" s="3" t="n">
        <v>0.06</v>
      </c>
      <c r="N292" s="4" t="n">
        <f aca="false">IF(OR(L292="",M292=""),"",IFERROR(IF($K292="%",M292-L292,M292/L292-1),""))</f>
        <v>0.03</v>
      </c>
      <c r="O292" s="5" t="str">
        <f aca="false">IF(OR(L292="",M292=""),"",IF($F292="Maior Melhor",IF(M292&gt;=L292,"Sim","Não"),IF(M292&lt;=L292,"Sim","Não")))</f>
        <v>Não</v>
      </c>
      <c r="P292" s="3" t="n">
        <v>0.03</v>
      </c>
      <c r="Q292" s="3" t="n">
        <v>0.042</v>
      </c>
      <c r="R292" s="4" t="n">
        <f aca="false">IF(OR(P292="",Q292=""),"",IFERROR(IF($K292="%",Q292-P292,Q292/P292-1),""))</f>
        <v>0.012</v>
      </c>
      <c r="S292" s="5" t="str">
        <f aca="false">IF(OR(P292="",Q292=""),"",IF($F292="Maior Melhor",IF(Q292&gt;=P292,"Sim","Não"),IF(Q292&lt;=P292,"Sim","Não")))</f>
        <v>Não</v>
      </c>
      <c r="T292" s="3" t="n">
        <v>0.03</v>
      </c>
      <c r="U292" s="3" t="n">
        <v>0.046</v>
      </c>
      <c r="V292" s="4" t="n">
        <f aca="false">IF(OR(T292="",U292=""),"",IFERROR(IF($K292="%",U292-T292,U292/T292-1),""))</f>
        <v>0.016</v>
      </c>
      <c r="W292" s="5" t="str">
        <f aca="false">IF(OR(T292="",U292=""),"",IF($F292="Maior Melhor",IF(U292&gt;=T292,"Sim","Não"),IF(U292&lt;=T292,"Sim","Não")))</f>
        <v>Não</v>
      </c>
      <c r="X292" s="3" t="n">
        <v>0.03</v>
      </c>
      <c r="Y292" s="3" t="n">
        <v>0.0187</v>
      </c>
      <c r="Z292" s="4" t="n">
        <f aca="false">IF(OR(X292="",Y292=""),"",IFERROR(IF($K292="%",Y292-X292,Y292/X292-1),""))</f>
        <v>-0.0113</v>
      </c>
      <c r="AA292" s="5" t="str">
        <f aca="false">IF(OR(X292="",Y292=""),"",IF($F292="Maior Melhor",IF(Y292&gt;=X292,"Sim","Não"),IF(Y292&lt;=X292,"Sim","Não")))</f>
        <v>Sim</v>
      </c>
      <c r="AB292" s="3" t="n">
        <v>0.03</v>
      </c>
      <c r="AC292" s="3" t="n">
        <v>0.0187</v>
      </c>
      <c r="AD292" s="4" t="n">
        <f aca="false">IF(OR(AB292="",AC292=""),"",IFERROR(IF($K292="%",AC292-AB292,AC292/AB292-1),""))</f>
        <v>-0.0113</v>
      </c>
      <c r="AE292" s="5" t="str">
        <f aca="false">IF(OR(AB292="",AC292=""),"",IF($F292="Maior Melhor",IF(AC292&gt;=AB292,"Sim","Não"),IF(AC292&lt;=AB292,"Sim","Não")))</f>
        <v>Sim</v>
      </c>
      <c r="AF292" s="3" t="n">
        <v>0.03</v>
      </c>
      <c r="AG292" s="3" t="n">
        <v>0.031782066</v>
      </c>
      <c r="AH292" s="4" t="n">
        <f aca="false">IF(OR(AF292="",AG292=""),"",IFERROR(IF($K292="%",AG292-AF292,AG292/AF292-1),""))</f>
        <v>0.001782066</v>
      </c>
      <c r="AI292" s="5" t="str">
        <f aca="false">IF(OR(AF292="",AG292=""),"",IF($F292="Maior Melhor",IF(AG292&gt;=AF292,"Sim","Não"),IF(AG292&lt;=AF292,"Sim","Não")))</f>
        <v>Não</v>
      </c>
      <c r="AJ292" s="3" t="n">
        <v>0.03</v>
      </c>
      <c r="AK292" s="3" t="n">
        <v>0.031782066</v>
      </c>
      <c r="AL292" s="4" t="n">
        <f aca="false">IF(OR(AJ292="",AK292=""),"",IFERROR(IF($K292="%",AK292-AJ292,AK292/AJ292-1),""))</f>
        <v>0.001782066</v>
      </c>
      <c r="AM292" s="5" t="str">
        <f aca="false">IF(OR(AJ292="",AK292=""),"",IF($F292="Maior Melhor",IF(AK292&gt;=AJ292,"Sim","Não"),IF(AK292&lt;=AJ292,"Sim","Não")))</f>
        <v>Não</v>
      </c>
      <c r="AN292" s="3" t="n">
        <v>0.03</v>
      </c>
      <c r="AO292" s="3" t="n">
        <v>0.027171018</v>
      </c>
      <c r="AP292" s="4" t="n">
        <f aca="false">IF(OR(AN292="",AO292=""),"",IFERROR(IF($K292="%",AO292-AN292,AO292/AN292-1),""))</f>
        <v>-0.002828982</v>
      </c>
      <c r="AQ292" s="5" t="str">
        <f aca="false">IF(OR(AN292="",AO292=""),"",IF($F292="Maior Melhor",IF(AO292&gt;=AN292,"Sim","Não"),IF(AO292&lt;=AN292,"Sim","Não")))</f>
        <v>Sim</v>
      </c>
      <c r="AR292" s="3" t="n">
        <v>0.03</v>
      </c>
      <c r="AS292" s="3" t="n">
        <v>0.027171018</v>
      </c>
      <c r="AT292" s="4" t="n">
        <f aca="false">IF(OR(AR292="",AS292=""),"",IFERROR(IF($K292="%",AS292-AR292,AS292/AR292-1),""))</f>
        <v>-0.002828982</v>
      </c>
      <c r="AU292" s="5" t="str">
        <f aca="false">IF(OR(AR292="",AS292=""),"",IF($F292="Maior Melhor",IF(AS292&gt;=AR292,"Sim","Não"),IF(AS292&lt;=AR292,"Sim","Não")))</f>
        <v>Sim</v>
      </c>
      <c r="AV292" s="3" t="n">
        <v>0.03</v>
      </c>
      <c r="AW292" s="3" t="n">
        <v>0.006</v>
      </c>
      <c r="AX292" s="4" t="n">
        <f aca="false">IF(OR(AV292="",AW292=""),"",IFERROR(IF($K292="%",AW292-AV292,AW292/AV292-1),""))</f>
        <v>-0.024</v>
      </c>
      <c r="AY292" s="5" t="str">
        <f aca="false">IF(OR(AV292="",AW292=""),"",IF($F292="Maior Melhor",IF(AW292&gt;=AV292,"Sim","Não"),IF(AW292&lt;=AV292,"Sim","Não")))</f>
        <v>Sim</v>
      </c>
      <c r="AZ292" s="3" t="n">
        <v>0.03</v>
      </c>
      <c r="BA292" s="3" t="n">
        <v>0.006</v>
      </c>
      <c r="BB292" s="4" t="n">
        <f aca="false">IF(OR(AZ292="",BA292=""),"",IFERROR(IF($K292="%",BA292-AZ292,BA292/AZ292-1),""))</f>
        <v>-0.024</v>
      </c>
      <c r="BC292" s="5" t="str">
        <f aca="false">IF(OR(AZ292="",BA292=""),"",IF($F292="Maior Melhor",IF(BA292&gt;=AZ292,"Sim","Não"),IF(BA292&lt;=AZ292,"Sim","Não")))</f>
        <v>Sim</v>
      </c>
      <c r="BD292" s="3" t="n">
        <v>0.03</v>
      </c>
      <c r="BE292" s="3" t="n">
        <v>0.010650888</v>
      </c>
      <c r="BF292" s="4" t="n">
        <f aca="false">IF(OR(BD292="",BE292=""),"",IFERROR(IF($K292="%",BE292-BD292,BE292/BD292-1),""))</f>
        <v>-0.019349112</v>
      </c>
      <c r="BG292" s="5" t="str">
        <f aca="false">IF(OR(BD292="",BE292=""),"",IF($F292="Maior Melhor",IF(BE292&gt;=BD292,"Sim","Não"),IF(BE292&lt;=BD292,"Sim","Não")))</f>
        <v>Sim</v>
      </c>
      <c r="BH292" s="3" t="n">
        <v>0.03</v>
      </c>
      <c r="BI292" s="3" t="n">
        <v>0.010650888</v>
      </c>
      <c r="BJ292" s="4" t="n">
        <f aca="false">IF(OR(BH292="",BI292=""),"",IFERROR(IF($K292="%",BI292-BH292,BI292/BH292-1),""))</f>
        <v>-0.019349112</v>
      </c>
      <c r="BK292" s="5" t="str">
        <f aca="false">IF(OR(BH292="",BI292=""),"",IF($F292="Maior Melhor",IF(BI292&gt;=BH292,"Sim","Não"),IF(BI292&lt;=BH292,"Sim","Não")))</f>
        <v>Sim</v>
      </c>
      <c r="BL292" s="6"/>
      <c r="BM292" s="6"/>
      <c r="BN292" s="4" t="str">
        <f aca="false">IF(OR(BL292="",BM292=""),"",IFERROR(IF($K292="%",BM292-BL292,BM292/BL292-1),""))</f>
        <v/>
      </c>
      <c r="BO292" s="5" t="str">
        <f aca="false">IF(OR(BL292="",BM292=""),"",IF($F292="Maior Melhor",IF(BM292&gt;=BL292,"Sim","Não"),IF(BM292&lt;=BL292,"Sim","Não")))</f>
        <v/>
      </c>
      <c r="BP292" s="6"/>
      <c r="BQ292" s="6"/>
      <c r="BR292" s="4" t="str">
        <f aca="false">IF(OR(BP292="",BQ292=""),"",IFERROR(IF($K292="%",BQ292-BP292,BQ292/BP292-1),""))</f>
        <v/>
      </c>
      <c r="BS292" s="5" t="str">
        <f aca="false">IF(OR(BP292="",BQ292=""),"",IF($F292="Maior Melhor",IF(BQ292&gt;=BP292,"Sim","Não"),IF(BQ292&lt;=BP292,"Sim","Não")))</f>
        <v/>
      </c>
      <c r="BT292" s="6"/>
      <c r="BU292" s="6"/>
      <c r="BV292" s="4" t="str">
        <f aca="false">IF(OR(BT292="",BU292=""),"",IFERROR(IF($K292="%",BU292-BT292,BU292/BT292-1),""))</f>
        <v/>
      </c>
      <c r="BW292" s="5" t="str">
        <f aca="false">IF(OR(BT292="",BU292=""),"",IF($F292="Maior Melhor",IF(BU292&gt;=BT292,"Sim","Não"),IF(BU292&lt;=BT292,"Sim","Não")))</f>
        <v/>
      </c>
      <c r="BX292" s="6"/>
      <c r="BY292" s="6"/>
      <c r="BZ292" s="4" t="str">
        <f aca="false">IF(OR(BX292="",BY292=""),"",IFERROR(IF($K292="%",BY292-BX292,BY292/BX292-1),""))</f>
        <v/>
      </c>
      <c r="CA292" s="5" t="str">
        <f aca="false">IF(OR(BX292="",BY292=""),"",IF($F292="Maior Melhor",IF(BY292&gt;=BX292,"Sim","Não"),IF(BY292&lt;=BX292,"Sim","Não")))</f>
        <v/>
      </c>
      <c r="CB292" s="6"/>
      <c r="CC292" s="6"/>
      <c r="CD292" s="4" t="str">
        <f aca="false">IF(OR(CB292="",CC292=""),"",IFERROR(IF($K292="%",CC292-CB292,CC292/CB292-1),""))</f>
        <v/>
      </c>
      <c r="CE292" s="5" t="str">
        <f aca="false">IF(OR(CB292="",CC292=""),"",IF($F292="Maior Melhor",IF(CC292&gt;=CB292,"Sim","Não"),IF(CC292&lt;=CB292,"Sim","Não")))</f>
        <v/>
      </c>
      <c r="CF292" s="6"/>
      <c r="CG292" s="6"/>
      <c r="CH292" s="4" t="str">
        <f aca="false">IF(OR(CF292="",CG292=""),"",IFERROR(IF($K292="%",CG292-CF292,CG292/CF292-1),""))</f>
        <v/>
      </c>
      <c r="CI292" s="5" t="str">
        <f aca="false">IF(OR(CF292="",CG292=""),"",IF($F292="Maior Melhor",IF(CG292&gt;=CF292,"Sim","Não"),IF(CG292&lt;=CF292,"Sim","Não")))</f>
        <v/>
      </c>
      <c r="CJ292" s="6"/>
      <c r="CK292" s="6"/>
      <c r="CL292" s="4" t="str">
        <f aca="false">IF(OR(CJ292="",CK292=""),"",IFERROR(IF($K292="%",CK292-CJ292,CK292/CJ292-1),""))</f>
        <v/>
      </c>
      <c r="CM292" s="5" t="str">
        <f aca="false">IF(OR(CJ292="",CK292=""),"",IF($F292="Maior Melhor",IF(CK292&gt;=CJ292,"Sim","Não"),IF(CK292&lt;=CJ292,"Sim","Não")))</f>
        <v/>
      </c>
      <c r="CN292" s="6"/>
      <c r="CO292" s="6"/>
      <c r="CP292" s="4" t="str">
        <f aca="false">IF(OR(CN292="",CO292=""),"",IFERROR(IF($K292="%",CO292-CN292,CO292/CN292-1),""))</f>
        <v/>
      </c>
      <c r="CQ292" s="5" t="str">
        <f aca="false">IF(OR(CN292="",CO292=""),"",IF($F292="Maior Melhor",IF(CO292&gt;=CN292,"Sim","Não"),IF(CO292&lt;=CN292,"Sim","Não")))</f>
        <v/>
      </c>
      <c r="CR292" s="2" t="s">
        <v>105</v>
      </c>
    </row>
    <row r="293" customFormat="false" ht="15" hidden="false" customHeight="false" outlineLevel="0" collapsed="false">
      <c r="A293" s="2" t="s">
        <v>161</v>
      </c>
      <c r="B293" s="2" t="s">
        <v>110</v>
      </c>
      <c r="C293" s="2" t="s">
        <v>110</v>
      </c>
      <c r="D293" s="2" t="s">
        <v>194</v>
      </c>
      <c r="E293" s="2" t="str">
        <f aca="false">C293&amp;D293</f>
        <v>Sup OesteQuantidade de notas reguladas Pendentes FP</v>
      </c>
      <c r="F293" s="2" t="s">
        <v>167</v>
      </c>
      <c r="G293" s="2" t="s">
        <v>195</v>
      </c>
      <c r="H293" s="2" t="s">
        <v>102</v>
      </c>
      <c r="I293" s="2" t="s">
        <v>169</v>
      </c>
      <c r="J293" s="2" t="n">
        <v>1</v>
      </c>
      <c r="K293" s="2" t="s">
        <v>104</v>
      </c>
      <c r="L293" s="3" t="n">
        <v>0.03</v>
      </c>
      <c r="M293" s="3" t="n">
        <v>0.077</v>
      </c>
      <c r="N293" s="4" t="n">
        <f aca="false">IF(OR(L293="",M293=""),"",IFERROR(IF($K293="%",M293-L293,M293/L293-1),""))</f>
        <v>0.047</v>
      </c>
      <c r="O293" s="5" t="str">
        <f aca="false">IF(OR(L293="",M293=""),"",IF($F293="Maior Melhor",IF(M293&gt;=L293,"Sim","Não"),IF(M293&lt;=L293,"Sim","Não")))</f>
        <v>Não</v>
      </c>
      <c r="P293" s="3" t="n">
        <v>0.03</v>
      </c>
      <c r="Q293" s="3" t="n">
        <v>0.084</v>
      </c>
      <c r="R293" s="4" t="n">
        <f aca="false">IF(OR(P293="",Q293=""),"",IFERROR(IF($K293="%",Q293-P293,Q293/P293-1),""))</f>
        <v>0.054</v>
      </c>
      <c r="S293" s="5" t="str">
        <f aca="false">IF(OR(P293="",Q293=""),"",IF($F293="Maior Melhor",IF(Q293&gt;=P293,"Sim","Não"),IF(Q293&lt;=P293,"Sim","Não")))</f>
        <v>Não</v>
      </c>
      <c r="T293" s="3" t="n">
        <v>0.03</v>
      </c>
      <c r="U293" s="3" t="n">
        <v>0.074</v>
      </c>
      <c r="V293" s="4" t="n">
        <f aca="false">IF(OR(T293="",U293=""),"",IFERROR(IF($K293="%",U293-T293,U293/T293-1),""))</f>
        <v>0.044</v>
      </c>
      <c r="W293" s="5" t="str">
        <f aca="false">IF(OR(T293="",U293=""),"",IF($F293="Maior Melhor",IF(U293&gt;=T293,"Sim","Não"),IF(U293&lt;=T293,"Sim","Não")))</f>
        <v>Não</v>
      </c>
      <c r="X293" s="3" t="n">
        <v>0.03</v>
      </c>
      <c r="Y293" s="3" t="n">
        <v>0.0158</v>
      </c>
      <c r="Z293" s="4" t="n">
        <f aca="false">IF(OR(X293="",Y293=""),"",IFERROR(IF($K293="%",Y293-X293,Y293/X293-1),""))</f>
        <v>-0.0142</v>
      </c>
      <c r="AA293" s="5" t="str">
        <f aca="false">IF(OR(X293="",Y293=""),"",IF($F293="Maior Melhor",IF(Y293&gt;=X293,"Sim","Não"),IF(Y293&lt;=X293,"Sim","Não")))</f>
        <v>Sim</v>
      </c>
      <c r="AB293" s="3" t="n">
        <v>0.03</v>
      </c>
      <c r="AC293" s="3" t="n">
        <v>0.0158</v>
      </c>
      <c r="AD293" s="4" t="n">
        <f aca="false">IF(OR(AB293="",AC293=""),"",IFERROR(IF($K293="%",AC293-AB293,AC293/AB293-1),""))</f>
        <v>-0.0142</v>
      </c>
      <c r="AE293" s="5" t="str">
        <f aca="false">IF(OR(AB293="",AC293=""),"",IF($F293="Maior Melhor",IF(AC293&gt;=AB293,"Sim","Não"),IF(AC293&lt;=AB293,"Sim","Não")))</f>
        <v>Sim</v>
      </c>
      <c r="AF293" s="3" t="n">
        <v>0.03</v>
      </c>
      <c r="AG293" s="3" t="n">
        <v>0.016949153</v>
      </c>
      <c r="AH293" s="4" t="n">
        <f aca="false">IF(OR(AF293="",AG293=""),"",IFERROR(IF($K293="%",AG293-AF293,AG293/AF293-1),""))</f>
        <v>-0.013050847</v>
      </c>
      <c r="AI293" s="5" t="str">
        <f aca="false">IF(OR(AF293="",AG293=""),"",IF($F293="Maior Melhor",IF(AG293&gt;=AF293,"Sim","Não"),IF(AG293&lt;=AF293,"Sim","Não")))</f>
        <v>Sim</v>
      </c>
      <c r="AJ293" s="3" t="n">
        <v>0.03</v>
      </c>
      <c r="AK293" s="3" t="n">
        <v>0.016949153</v>
      </c>
      <c r="AL293" s="4" t="n">
        <f aca="false">IF(OR(AJ293="",AK293=""),"",IFERROR(IF($K293="%",AK293-AJ293,AK293/AJ293-1),""))</f>
        <v>-0.013050847</v>
      </c>
      <c r="AM293" s="5" t="str">
        <f aca="false">IF(OR(AJ293="",AK293=""),"",IF($F293="Maior Melhor",IF(AK293&gt;=AJ293,"Sim","Não"),IF(AK293&lt;=AJ293,"Sim","Não")))</f>
        <v>Sim</v>
      </c>
      <c r="AN293" s="3" t="n">
        <v>0.03</v>
      </c>
      <c r="AO293" s="3" t="n">
        <v>0.017033652</v>
      </c>
      <c r="AP293" s="4" t="n">
        <f aca="false">IF(OR(AN293="",AO293=""),"",IFERROR(IF($K293="%",AO293-AN293,AO293/AN293-1),""))</f>
        <v>-0.012966348</v>
      </c>
      <c r="AQ293" s="5" t="str">
        <f aca="false">IF(OR(AN293="",AO293=""),"",IF($F293="Maior Melhor",IF(AO293&gt;=AN293,"Sim","Não"),IF(AO293&lt;=AN293,"Sim","Não")))</f>
        <v>Sim</v>
      </c>
      <c r="AR293" s="3" t="n">
        <v>0.03</v>
      </c>
      <c r="AS293" s="3" t="n">
        <v>0.017033652</v>
      </c>
      <c r="AT293" s="4" t="n">
        <f aca="false">IF(OR(AR293="",AS293=""),"",IFERROR(IF($K293="%",AS293-AR293,AS293/AR293-1),""))</f>
        <v>-0.012966348</v>
      </c>
      <c r="AU293" s="5" t="str">
        <f aca="false">IF(OR(AR293="",AS293=""),"",IF($F293="Maior Melhor",IF(AS293&gt;=AR293,"Sim","Não"),IF(AS293&lt;=AR293,"Sim","Não")))</f>
        <v>Sim</v>
      </c>
      <c r="AV293" s="3" t="n">
        <v>0.03</v>
      </c>
      <c r="AW293" s="3" t="n">
        <v>0.007</v>
      </c>
      <c r="AX293" s="4" t="n">
        <f aca="false">IF(OR(AV293="",AW293=""),"",IFERROR(IF($K293="%",AW293-AV293,AW293/AV293-1),""))</f>
        <v>-0.023</v>
      </c>
      <c r="AY293" s="5" t="str">
        <f aca="false">IF(OR(AV293="",AW293=""),"",IF($F293="Maior Melhor",IF(AW293&gt;=AV293,"Sim","Não"),IF(AW293&lt;=AV293,"Sim","Não")))</f>
        <v>Sim</v>
      </c>
      <c r="AZ293" s="3" t="n">
        <v>0.03</v>
      </c>
      <c r="BA293" s="3" t="n">
        <v>0.007</v>
      </c>
      <c r="BB293" s="4" t="n">
        <f aca="false">IF(OR(AZ293="",BA293=""),"",IFERROR(IF($K293="%",BA293-AZ293,BA293/AZ293-1),""))</f>
        <v>-0.023</v>
      </c>
      <c r="BC293" s="5" t="str">
        <f aca="false">IF(OR(AZ293="",BA293=""),"",IF($F293="Maior Melhor",IF(BA293&gt;=AZ293,"Sim","Não"),IF(BA293&lt;=AZ293,"Sim","Não")))</f>
        <v>Sim</v>
      </c>
      <c r="BD293" s="3" t="n">
        <v>0.03</v>
      </c>
      <c r="BE293" s="3" t="n">
        <v>0.007422872</v>
      </c>
      <c r="BF293" s="4" t="n">
        <f aca="false">IF(OR(BD293="",BE293=""),"",IFERROR(IF($K293="%",BE293-BD293,BE293/BD293-1),""))</f>
        <v>-0.022577128</v>
      </c>
      <c r="BG293" s="5" t="str">
        <f aca="false">IF(OR(BD293="",BE293=""),"",IF($F293="Maior Melhor",IF(BE293&gt;=BD293,"Sim","Não"),IF(BE293&lt;=BD293,"Sim","Não")))</f>
        <v>Sim</v>
      </c>
      <c r="BH293" s="3" t="n">
        <v>0.03</v>
      </c>
      <c r="BI293" s="3" t="n">
        <v>0.007422872</v>
      </c>
      <c r="BJ293" s="4" t="n">
        <f aca="false">IF(OR(BH293="",BI293=""),"",IFERROR(IF($K293="%",BI293-BH293,BI293/BH293-1),""))</f>
        <v>-0.022577128</v>
      </c>
      <c r="BK293" s="5" t="str">
        <f aca="false">IF(OR(BH293="",BI293=""),"",IF($F293="Maior Melhor",IF(BI293&gt;=BH293,"Sim","Não"),IF(BI293&lt;=BH293,"Sim","Não")))</f>
        <v>Sim</v>
      </c>
      <c r="BL293" s="6"/>
      <c r="BM293" s="6"/>
      <c r="BN293" s="4" t="str">
        <f aca="false">IF(OR(BL293="",BM293=""),"",IFERROR(IF($K293="%",BM293-BL293,BM293/BL293-1),""))</f>
        <v/>
      </c>
      <c r="BO293" s="5" t="str">
        <f aca="false">IF(OR(BL293="",BM293=""),"",IF($F293="Maior Melhor",IF(BM293&gt;=BL293,"Sim","Não"),IF(BM293&lt;=BL293,"Sim","Não")))</f>
        <v/>
      </c>
      <c r="BP293" s="6"/>
      <c r="BQ293" s="6"/>
      <c r="BR293" s="4" t="str">
        <f aca="false">IF(OR(BP293="",BQ293=""),"",IFERROR(IF($K293="%",BQ293-BP293,BQ293/BP293-1),""))</f>
        <v/>
      </c>
      <c r="BS293" s="5" t="str">
        <f aca="false">IF(OR(BP293="",BQ293=""),"",IF($F293="Maior Melhor",IF(BQ293&gt;=BP293,"Sim","Não"),IF(BQ293&lt;=BP293,"Sim","Não")))</f>
        <v/>
      </c>
      <c r="BT293" s="6"/>
      <c r="BU293" s="6"/>
      <c r="BV293" s="4" t="str">
        <f aca="false">IF(OR(BT293="",BU293=""),"",IFERROR(IF($K293="%",BU293-BT293,BU293/BT293-1),""))</f>
        <v/>
      </c>
      <c r="BW293" s="5" t="str">
        <f aca="false">IF(OR(BT293="",BU293=""),"",IF($F293="Maior Melhor",IF(BU293&gt;=BT293,"Sim","Não"),IF(BU293&lt;=BT293,"Sim","Não")))</f>
        <v/>
      </c>
      <c r="BX293" s="6"/>
      <c r="BY293" s="6"/>
      <c r="BZ293" s="4" t="str">
        <f aca="false">IF(OR(BX293="",BY293=""),"",IFERROR(IF($K293="%",BY293-BX293,BY293/BX293-1),""))</f>
        <v/>
      </c>
      <c r="CA293" s="5" t="str">
        <f aca="false">IF(OR(BX293="",BY293=""),"",IF($F293="Maior Melhor",IF(BY293&gt;=BX293,"Sim","Não"),IF(BY293&lt;=BX293,"Sim","Não")))</f>
        <v/>
      </c>
      <c r="CB293" s="6"/>
      <c r="CC293" s="6"/>
      <c r="CD293" s="4" t="str">
        <f aca="false">IF(OR(CB293="",CC293=""),"",IFERROR(IF($K293="%",CC293-CB293,CC293/CB293-1),""))</f>
        <v/>
      </c>
      <c r="CE293" s="5" t="str">
        <f aca="false">IF(OR(CB293="",CC293=""),"",IF($F293="Maior Melhor",IF(CC293&gt;=CB293,"Sim","Não"),IF(CC293&lt;=CB293,"Sim","Não")))</f>
        <v/>
      </c>
      <c r="CF293" s="6"/>
      <c r="CG293" s="6"/>
      <c r="CH293" s="4" t="str">
        <f aca="false">IF(OR(CF293="",CG293=""),"",IFERROR(IF($K293="%",CG293-CF293,CG293/CF293-1),""))</f>
        <v/>
      </c>
      <c r="CI293" s="5" t="str">
        <f aca="false">IF(OR(CF293="",CG293=""),"",IF($F293="Maior Melhor",IF(CG293&gt;=CF293,"Sim","Não"),IF(CG293&lt;=CF293,"Sim","Não")))</f>
        <v/>
      </c>
      <c r="CJ293" s="6"/>
      <c r="CK293" s="6"/>
      <c r="CL293" s="4" t="str">
        <f aca="false">IF(OR(CJ293="",CK293=""),"",IFERROR(IF($K293="%",CK293-CJ293,CK293/CJ293-1),""))</f>
        <v/>
      </c>
      <c r="CM293" s="5" t="str">
        <f aca="false">IF(OR(CJ293="",CK293=""),"",IF($F293="Maior Melhor",IF(CK293&gt;=CJ293,"Sim","Não"),IF(CK293&lt;=CJ293,"Sim","Não")))</f>
        <v/>
      </c>
      <c r="CN293" s="6"/>
      <c r="CO293" s="6"/>
      <c r="CP293" s="4" t="str">
        <f aca="false">IF(OR(CN293="",CO293=""),"",IFERROR(IF($K293="%",CO293-CN293,CO293/CN293-1),""))</f>
        <v/>
      </c>
      <c r="CQ293" s="5" t="str">
        <f aca="false">IF(OR(CN293="",CO293=""),"",IF($F293="Maior Melhor",IF(CO293&gt;=CN293,"Sim","Não"),IF(CO293&lt;=CN293,"Sim","Não")))</f>
        <v/>
      </c>
      <c r="CR293" s="2" t="s">
        <v>105</v>
      </c>
    </row>
    <row r="294" customFormat="false" ht="15" hidden="false" customHeight="false" outlineLevel="0" collapsed="false">
      <c r="A294" s="2" t="s">
        <v>161</v>
      </c>
      <c r="B294" s="2" t="s">
        <v>106</v>
      </c>
      <c r="C294" s="2" t="s">
        <v>111</v>
      </c>
      <c r="D294" s="2" t="s">
        <v>194</v>
      </c>
      <c r="E294" s="2" t="str">
        <f aca="false">C294&amp;D294</f>
        <v>UTD BARREIRASQuantidade de notas reguladas Pendentes FP</v>
      </c>
      <c r="F294" s="2" t="s">
        <v>167</v>
      </c>
      <c r="G294" s="2" t="s">
        <v>195</v>
      </c>
      <c r="H294" s="2" t="s">
        <v>102</v>
      </c>
      <c r="I294" s="2" t="s">
        <v>169</v>
      </c>
      <c r="J294" s="2" t="n">
        <v>1</v>
      </c>
      <c r="K294" s="2" t="s">
        <v>104</v>
      </c>
      <c r="L294" s="3" t="n">
        <v>0.03</v>
      </c>
      <c r="M294" s="3" t="n">
        <v>0.048</v>
      </c>
      <c r="N294" s="4" t="n">
        <f aca="false">IF(OR(L294="",M294=""),"",IFERROR(IF($K294="%",M294-L294,M294/L294-1),""))</f>
        <v>0.018</v>
      </c>
      <c r="O294" s="5" t="str">
        <f aca="false">IF(OR(L294="",M294=""),"",IF($F294="Maior Melhor",IF(M294&gt;=L294,"Sim","Não"),IF(M294&lt;=L294,"Sim","Não")))</f>
        <v>Não</v>
      </c>
      <c r="P294" s="3" t="n">
        <v>0.03</v>
      </c>
      <c r="Q294" s="3" t="n">
        <v>0.176</v>
      </c>
      <c r="R294" s="4" t="n">
        <f aca="false">IF(OR(P294="",Q294=""),"",IFERROR(IF($K294="%",Q294-P294,Q294/P294-1),""))</f>
        <v>0.146</v>
      </c>
      <c r="S294" s="5" t="str">
        <f aca="false">IF(OR(P294="",Q294=""),"",IF($F294="Maior Melhor",IF(Q294&gt;=P294,"Sim","Não"),IF(Q294&lt;=P294,"Sim","Não")))</f>
        <v>Não</v>
      </c>
      <c r="T294" s="3" t="n">
        <v>0.03</v>
      </c>
      <c r="U294" s="3" t="n">
        <v>0.038</v>
      </c>
      <c r="V294" s="4" t="n">
        <f aca="false">IF(OR(T294="",U294=""),"",IFERROR(IF($K294="%",U294-T294,U294/T294-1),""))</f>
        <v>0.008</v>
      </c>
      <c r="W294" s="5" t="str">
        <f aca="false">IF(OR(T294="",U294=""),"",IF($F294="Maior Melhor",IF(U294&gt;=T294,"Sim","Não"),IF(U294&lt;=T294,"Sim","Não")))</f>
        <v>Não</v>
      </c>
      <c r="X294" s="3" t="n">
        <v>0.03</v>
      </c>
      <c r="Y294" s="3" t="n">
        <v>0</v>
      </c>
      <c r="Z294" s="4" t="n">
        <f aca="false">IF(OR(X294="",Y294=""),"",IFERROR(IF($K294="%",Y294-X294,Y294/X294-1),""))</f>
        <v>-0.03</v>
      </c>
      <c r="AA294" s="5" t="str">
        <f aca="false">IF(OR(X294="",Y294=""),"",IF($F294="Maior Melhor",IF(Y294&gt;=X294,"Sim","Não"),IF(Y294&lt;=X294,"Sim","Não")))</f>
        <v>Sim</v>
      </c>
      <c r="AB294" s="3" t="n">
        <v>0.03</v>
      </c>
      <c r="AC294" s="3" t="n">
        <v>0</v>
      </c>
      <c r="AD294" s="4" t="n">
        <f aca="false">IF(OR(AB294="",AC294=""),"",IFERROR(IF($K294="%",AC294-AB294,AC294/AB294-1),""))</f>
        <v>-0.03</v>
      </c>
      <c r="AE294" s="5" t="str">
        <f aca="false">IF(OR(AB294="",AC294=""),"",IF($F294="Maior Melhor",IF(AC294&gt;=AB294,"Sim","Não"),IF(AC294&lt;=AB294,"Sim","Não")))</f>
        <v>Sim</v>
      </c>
      <c r="AF294" s="3" t="n">
        <v>0.03</v>
      </c>
      <c r="AG294" s="3" t="n">
        <v>0.004149378</v>
      </c>
      <c r="AH294" s="4" t="n">
        <f aca="false">IF(OR(AF294="",AG294=""),"",IFERROR(IF($K294="%",AG294-AF294,AG294/AF294-1),""))</f>
        <v>-0.025850622</v>
      </c>
      <c r="AI294" s="5" t="str">
        <f aca="false">IF(OR(AF294="",AG294=""),"",IF($F294="Maior Melhor",IF(AG294&gt;=AF294,"Sim","Não"),IF(AG294&lt;=AF294,"Sim","Não")))</f>
        <v>Sim</v>
      </c>
      <c r="AJ294" s="3" t="n">
        <v>0.03</v>
      </c>
      <c r="AK294" s="3" t="n">
        <v>0.004149378</v>
      </c>
      <c r="AL294" s="4" t="n">
        <f aca="false">IF(OR(AJ294="",AK294=""),"",IFERROR(IF($K294="%",AK294-AJ294,AK294/AJ294-1),""))</f>
        <v>-0.025850622</v>
      </c>
      <c r="AM294" s="5" t="str">
        <f aca="false">IF(OR(AJ294="",AK294=""),"",IF($F294="Maior Melhor",IF(AK294&gt;=AJ294,"Sim","Não"),IF(AK294&lt;=AJ294,"Sim","Não")))</f>
        <v>Sim</v>
      </c>
      <c r="AN294" s="3" t="n">
        <v>0.03</v>
      </c>
      <c r="AO294" s="3" t="n">
        <v>0.007462687</v>
      </c>
      <c r="AP294" s="4" t="n">
        <f aca="false">IF(OR(AN294="",AO294=""),"",IFERROR(IF($K294="%",AO294-AN294,AO294/AN294-1),""))</f>
        <v>-0.022537313</v>
      </c>
      <c r="AQ294" s="5" t="str">
        <f aca="false">IF(OR(AN294="",AO294=""),"",IF($F294="Maior Melhor",IF(AO294&gt;=AN294,"Sim","Não"),IF(AO294&lt;=AN294,"Sim","Não")))</f>
        <v>Sim</v>
      </c>
      <c r="AR294" s="3" t="n">
        <v>0.03</v>
      </c>
      <c r="AS294" s="3" t="n">
        <v>0.007462687</v>
      </c>
      <c r="AT294" s="4" t="n">
        <f aca="false">IF(OR(AR294="",AS294=""),"",IFERROR(IF($K294="%",AS294-AR294,AS294/AR294-1),""))</f>
        <v>-0.022537313</v>
      </c>
      <c r="AU294" s="5" t="str">
        <f aca="false">IF(OR(AR294="",AS294=""),"",IF($F294="Maior Melhor",IF(AS294&gt;=AR294,"Sim","Não"),IF(AS294&lt;=AR294,"Sim","Não")))</f>
        <v>Sim</v>
      </c>
      <c r="AV294" s="3" t="n">
        <v>0.03</v>
      </c>
      <c r="AW294" s="3" t="n">
        <v>0.016</v>
      </c>
      <c r="AX294" s="4" t="n">
        <f aca="false">IF(OR(AV294="",AW294=""),"",IFERROR(IF($K294="%",AW294-AV294,AW294/AV294-1),""))</f>
        <v>-0.014</v>
      </c>
      <c r="AY294" s="5" t="str">
        <f aca="false">IF(OR(AV294="",AW294=""),"",IF($F294="Maior Melhor",IF(AW294&gt;=AV294,"Sim","Não"),IF(AW294&lt;=AV294,"Sim","Não")))</f>
        <v>Sim</v>
      </c>
      <c r="AZ294" s="3" t="n">
        <v>0.03</v>
      </c>
      <c r="BA294" s="3" t="n">
        <v>0.016</v>
      </c>
      <c r="BB294" s="4" t="n">
        <f aca="false">IF(OR(AZ294="",BA294=""),"",IFERROR(IF($K294="%",BA294-AZ294,BA294/AZ294-1),""))</f>
        <v>-0.014</v>
      </c>
      <c r="BC294" s="5" t="str">
        <f aca="false">IF(OR(AZ294="",BA294=""),"",IF($F294="Maior Melhor",IF(BA294&gt;=AZ294,"Sim","Não"),IF(BA294&lt;=AZ294,"Sim","Não")))</f>
        <v>Sim</v>
      </c>
      <c r="BD294" s="3" t="n">
        <v>0.03</v>
      </c>
      <c r="BE294" s="3" t="n">
        <v>0</v>
      </c>
      <c r="BF294" s="4" t="n">
        <f aca="false">IF(OR(BD294="",BE294=""),"",IFERROR(IF($K294="%",BE294-BD294,BE294/BD294-1),""))</f>
        <v>-0.03</v>
      </c>
      <c r="BG294" s="5" t="str">
        <f aca="false">IF(OR(BD294="",BE294=""),"",IF($F294="Maior Melhor",IF(BE294&gt;=BD294,"Sim","Não"),IF(BE294&lt;=BD294,"Sim","Não")))</f>
        <v>Sim</v>
      </c>
      <c r="BH294" s="3" t="n">
        <v>0.03</v>
      </c>
      <c r="BI294" s="3" t="n">
        <v>0</v>
      </c>
      <c r="BJ294" s="4" t="n">
        <f aca="false">IF(OR(BH294="",BI294=""),"",IFERROR(IF($K294="%",BI294-BH294,BI294/BH294-1),""))</f>
        <v>-0.03</v>
      </c>
      <c r="BK294" s="5" t="str">
        <f aca="false">IF(OR(BH294="",BI294=""),"",IF($F294="Maior Melhor",IF(BI294&gt;=BH294,"Sim","Não"),IF(BI294&lt;=BH294,"Sim","Não")))</f>
        <v>Sim</v>
      </c>
      <c r="BL294" s="6"/>
      <c r="BM294" s="6"/>
      <c r="BN294" s="4" t="str">
        <f aca="false">IF(OR(BL294="",BM294=""),"",IFERROR(IF($K294="%",BM294-BL294,BM294/BL294-1),""))</f>
        <v/>
      </c>
      <c r="BO294" s="5" t="str">
        <f aca="false">IF(OR(BL294="",BM294=""),"",IF($F294="Maior Melhor",IF(BM294&gt;=BL294,"Sim","Não"),IF(BM294&lt;=BL294,"Sim","Não")))</f>
        <v/>
      </c>
      <c r="BP294" s="6"/>
      <c r="BQ294" s="6"/>
      <c r="BR294" s="4" t="str">
        <f aca="false">IF(OR(BP294="",BQ294=""),"",IFERROR(IF($K294="%",BQ294-BP294,BQ294/BP294-1),""))</f>
        <v/>
      </c>
      <c r="BS294" s="5" t="str">
        <f aca="false">IF(OR(BP294="",BQ294=""),"",IF($F294="Maior Melhor",IF(BQ294&gt;=BP294,"Sim","Não"),IF(BQ294&lt;=BP294,"Sim","Não")))</f>
        <v/>
      </c>
      <c r="BT294" s="6"/>
      <c r="BU294" s="6"/>
      <c r="BV294" s="4" t="str">
        <f aca="false">IF(OR(BT294="",BU294=""),"",IFERROR(IF($K294="%",BU294-BT294,BU294/BT294-1),""))</f>
        <v/>
      </c>
      <c r="BW294" s="5" t="str">
        <f aca="false">IF(OR(BT294="",BU294=""),"",IF($F294="Maior Melhor",IF(BU294&gt;=BT294,"Sim","Não"),IF(BU294&lt;=BT294,"Sim","Não")))</f>
        <v/>
      </c>
      <c r="BX294" s="6"/>
      <c r="BY294" s="6"/>
      <c r="BZ294" s="4" t="str">
        <f aca="false">IF(OR(BX294="",BY294=""),"",IFERROR(IF($K294="%",BY294-BX294,BY294/BX294-1),""))</f>
        <v/>
      </c>
      <c r="CA294" s="5" t="str">
        <f aca="false">IF(OR(BX294="",BY294=""),"",IF($F294="Maior Melhor",IF(BY294&gt;=BX294,"Sim","Não"),IF(BY294&lt;=BX294,"Sim","Não")))</f>
        <v/>
      </c>
      <c r="CB294" s="6"/>
      <c r="CC294" s="6"/>
      <c r="CD294" s="4" t="str">
        <f aca="false">IF(OR(CB294="",CC294=""),"",IFERROR(IF($K294="%",CC294-CB294,CC294/CB294-1),""))</f>
        <v/>
      </c>
      <c r="CE294" s="5" t="str">
        <f aca="false">IF(OR(CB294="",CC294=""),"",IF($F294="Maior Melhor",IF(CC294&gt;=CB294,"Sim","Não"),IF(CC294&lt;=CB294,"Sim","Não")))</f>
        <v/>
      </c>
      <c r="CF294" s="6"/>
      <c r="CG294" s="6"/>
      <c r="CH294" s="4" t="str">
        <f aca="false">IF(OR(CF294="",CG294=""),"",IFERROR(IF($K294="%",CG294-CF294,CG294/CF294-1),""))</f>
        <v/>
      </c>
      <c r="CI294" s="5" t="str">
        <f aca="false">IF(OR(CF294="",CG294=""),"",IF($F294="Maior Melhor",IF(CG294&gt;=CF294,"Sim","Não"),IF(CG294&lt;=CF294,"Sim","Não")))</f>
        <v/>
      </c>
      <c r="CJ294" s="6"/>
      <c r="CK294" s="6"/>
      <c r="CL294" s="4" t="str">
        <f aca="false">IF(OR(CJ294="",CK294=""),"",IFERROR(IF($K294="%",CK294-CJ294,CK294/CJ294-1),""))</f>
        <v/>
      </c>
      <c r="CM294" s="5" t="str">
        <f aca="false">IF(OR(CJ294="",CK294=""),"",IF($F294="Maior Melhor",IF(CK294&gt;=CJ294,"Sim","Não"),IF(CK294&lt;=CJ294,"Sim","Não")))</f>
        <v/>
      </c>
      <c r="CN294" s="6"/>
      <c r="CO294" s="6"/>
      <c r="CP294" s="4" t="str">
        <f aca="false">IF(OR(CN294="",CO294=""),"",IFERROR(IF($K294="%",CO294-CN294,CO294/CN294-1),""))</f>
        <v/>
      </c>
      <c r="CQ294" s="5" t="str">
        <f aca="false">IF(OR(CN294="",CO294=""),"",IF($F294="Maior Melhor",IF(CO294&gt;=CN294,"Sim","Não"),IF(CO294&lt;=CN294,"Sim","Não")))</f>
        <v/>
      </c>
      <c r="CR294" s="2" t="s">
        <v>112</v>
      </c>
    </row>
    <row r="295" customFormat="false" ht="15" hidden="false" customHeight="false" outlineLevel="0" collapsed="false">
      <c r="A295" s="2" t="s">
        <v>161</v>
      </c>
      <c r="B295" s="2" t="s">
        <v>106</v>
      </c>
      <c r="C295" s="2" t="s">
        <v>113</v>
      </c>
      <c r="D295" s="2" t="s">
        <v>194</v>
      </c>
      <c r="E295" s="2" t="str">
        <f aca="false">C295&amp;D295</f>
        <v>UTD BOM JESUS DA LAPAQuantidade de notas reguladas Pendentes FP</v>
      </c>
      <c r="F295" s="2" t="s">
        <v>167</v>
      </c>
      <c r="G295" s="2" t="s">
        <v>195</v>
      </c>
      <c r="H295" s="2" t="s">
        <v>102</v>
      </c>
      <c r="I295" s="2" t="s">
        <v>169</v>
      </c>
      <c r="J295" s="2" t="n">
        <v>1</v>
      </c>
      <c r="K295" s="2" t="s">
        <v>104</v>
      </c>
      <c r="L295" s="3" t="n">
        <v>0.03</v>
      </c>
      <c r="M295" s="3" t="n">
        <v>0.042</v>
      </c>
      <c r="N295" s="4" t="n">
        <f aca="false">IF(OR(L295="",M295=""),"",IFERROR(IF($K295="%",M295-L295,M295/L295-1),""))</f>
        <v>0.012</v>
      </c>
      <c r="O295" s="5" t="str">
        <f aca="false">IF(OR(L295="",M295=""),"",IF($F295="Maior Melhor",IF(M295&gt;=L295,"Sim","Não"),IF(M295&lt;=L295,"Sim","Não")))</f>
        <v>Não</v>
      </c>
      <c r="P295" s="3" t="n">
        <v>0.03</v>
      </c>
      <c r="Q295" s="3" t="n">
        <v>0.005</v>
      </c>
      <c r="R295" s="4" t="n">
        <f aca="false">IF(OR(P295="",Q295=""),"",IFERROR(IF($K295="%",Q295-P295,Q295/P295-1),""))</f>
        <v>-0.025</v>
      </c>
      <c r="S295" s="5" t="str">
        <f aca="false">IF(OR(P295="",Q295=""),"",IF($F295="Maior Melhor",IF(Q295&gt;=P295,"Sim","Não"),IF(Q295&lt;=P295,"Sim","Não")))</f>
        <v>Sim</v>
      </c>
      <c r="T295" s="3" t="n">
        <v>0.03</v>
      </c>
      <c r="U295" s="3" t="n">
        <v>0.019</v>
      </c>
      <c r="V295" s="4" t="n">
        <f aca="false">IF(OR(T295="",U295=""),"",IFERROR(IF($K295="%",U295-T295,U295/T295-1),""))</f>
        <v>-0.011</v>
      </c>
      <c r="W295" s="5" t="str">
        <f aca="false">IF(OR(T295="",U295=""),"",IF($F295="Maior Melhor",IF(U295&gt;=T295,"Sim","Não"),IF(U295&lt;=T295,"Sim","Não")))</f>
        <v>Sim</v>
      </c>
      <c r="X295" s="3" t="n">
        <v>0.03</v>
      </c>
      <c r="Y295" s="3" t="n">
        <v>0.014</v>
      </c>
      <c r="Z295" s="4" t="n">
        <f aca="false">IF(OR(X295="",Y295=""),"",IFERROR(IF($K295="%",Y295-X295,Y295/X295-1),""))</f>
        <v>-0.016</v>
      </c>
      <c r="AA295" s="5" t="str">
        <f aca="false">IF(OR(X295="",Y295=""),"",IF($F295="Maior Melhor",IF(Y295&gt;=X295,"Sim","Não"),IF(Y295&lt;=X295,"Sim","Não")))</f>
        <v>Sim</v>
      </c>
      <c r="AB295" s="3" t="n">
        <v>0.03</v>
      </c>
      <c r="AC295" s="3" t="n">
        <v>0.014</v>
      </c>
      <c r="AD295" s="4" t="n">
        <f aca="false">IF(OR(AB295="",AC295=""),"",IFERROR(IF($K295="%",AC295-AB295,AC295/AB295-1),""))</f>
        <v>-0.016</v>
      </c>
      <c r="AE295" s="5" t="str">
        <f aca="false">IF(OR(AB295="",AC295=""),"",IF($F295="Maior Melhor",IF(AC295&gt;=AB295,"Sim","Não"),IF(AC295&lt;=AB295,"Sim","Não")))</f>
        <v>Sim</v>
      </c>
      <c r="AF295" s="3" t="n">
        <v>0.03</v>
      </c>
      <c r="AG295" s="3" t="n">
        <v>0.004854369</v>
      </c>
      <c r="AH295" s="4" t="n">
        <f aca="false">IF(OR(AF295="",AG295=""),"",IFERROR(IF($K295="%",AG295-AF295,AG295/AF295-1),""))</f>
        <v>-0.025145631</v>
      </c>
      <c r="AI295" s="5" t="str">
        <f aca="false">IF(OR(AF295="",AG295=""),"",IF($F295="Maior Melhor",IF(AG295&gt;=AF295,"Sim","Não"),IF(AG295&lt;=AF295,"Sim","Não")))</f>
        <v>Sim</v>
      </c>
      <c r="AJ295" s="3" t="n">
        <v>0.03</v>
      </c>
      <c r="AK295" s="3" t="n">
        <v>0.004854369</v>
      </c>
      <c r="AL295" s="4" t="n">
        <f aca="false">IF(OR(AJ295="",AK295=""),"",IFERROR(IF($K295="%",AK295-AJ295,AK295/AJ295-1),""))</f>
        <v>-0.025145631</v>
      </c>
      <c r="AM295" s="5" t="str">
        <f aca="false">IF(OR(AJ295="",AK295=""),"",IF($F295="Maior Melhor",IF(AK295&gt;=AJ295,"Sim","Não"),IF(AK295&lt;=AJ295,"Sim","Não")))</f>
        <v>Sim</v>
      </c>
      <c r="AN295" s="3" t="n">
        <v>0.03</v>
      </c>
      <c r="AO295" s="3" t="n">
        <v>0.017985612</v>
      </c>
      <c r="AP295" s="4" t="n">
        <f aca="false">IF(OR(AN295="",AO295=""),"",IFERROR(IF($K295="%",AO295-AN295,AO295/AN295-1),""))</f>
        <v>-0.012014388</v>
      </c>
      <c r="AQ295" s="5" t="str">
        <f aca="false">IF(OR(AN295="",AO295=""),"",IF($F295="Maior Melhor",IF(AO295&gt;=AN295,"Sim","Não"),IF(AO295&lt;=AN295,"Sim","Não")))</f>
        <v>Sim</v>
      </c>
      <c r="AR295" s="3" t="n">
        <v>0.03</v>
      </c>
      <c r="AS295" s="3" t="n">
        <v>0.017985612</v>
      </c>
      <c r="AT295" s="4" t="n">
        <f aca="false">IF(OR(AR295="",AS295=""),"",IFERROR(IF($K295="%",AS295-AR295,AS295/AR295-1),""))</f>
        <v>-0.012014388</v>
      </c>
      <c r="AU295" s="5" t="str">
        <f aca="false">IF(OR(AR295="",AS295=""),"",IF($F295="Maior Melhor",IF(AS295&gt;=AR295,"Sim","Não"),IF(AS295&lt;=AR295,"Sim","Não")))</f>
        <v>Sim</v>
      </c>
      <c r="AV295" s="3" t="n">
        <v>0.03</v>
      </c>
      <c r="AW295" s="3" t="n">
        <v>0.005</v>
      </c>
      <c r="AX295" s="4" t="n">
        <f aca="false">IF(OR(AV295="",AW295=""),"",IFERROR(IF($K295="%",AW295-AV295,AW295/AV295-1),""))</f>
        <v>-0.025</v>
      </c>
      <c r="AY295" s="5" t="str">
        <f aca="false">IF(OR(AV295="",AW295=""),"",IF($F295="Maior Melhor",IF(AW295&gt;=AV295,"Sim","Não"),IF(AW295&lt;=AV295,"Sim","Não")))</f>
        <v>Sim</v>
      </c>
      <c r="AZ295" s="3" t="n">
        <v>0.03</v>
      </c>
      <c r="BA295" s="3" t="n">
        <v>0.005</v>
      </c>
      <c r="BB295" s="4" t="n">
        <f aca="false">IF(OR(AZ295="",BA295=""),"",IFERROR(IF($K295="%",BA295-AZ295,BA295/AZ295-1),""))</f>
        <v>-0.025</v>
      </c>
      <c r="BC295" s="5" t="str">
        <f aca="false">IF(OR(AZ295="",BA295=""),"",IF($F295="Maior Melhor",IF(BA295&gt;=AZ295,"Sim","Não"),IF(BA295&lt;=AZ295,"Sim","Não")))</f>
        <v>Sim</v>
      </c>
      <c r="BD295" s="3" t="n">
        <v>0.03</v>
      </c>
      <c r="BE295" s="3" t="n">
        <v>0.008333333</v>
      </c>
      <c r="BF295" s="4" t="n">
        <f aca="false">IF(OR(BD295="",BE295=""),"",IFERROR(IF($K295="%",BE295-BD295,BE295/BD295-1),""))</f>
        <v>-0.021666667</v>
      </c>
      <c r="BG295" s="5" t="str">
        <f aca="false">IF(OR(BD295="",BE295=""),"",IF($F295="Maior Melhor",IF(BE295&gt;=BD295,"Sim","Não"),IF(BE295&lt;=BD295,"Sim","Não")))</f>
        <v>Sim</v>
      </c>
      <c r="BH295" s="3" t="n">
        <v>0.03</v>
      </c>
      <c r="BI295" s="3" t="n">
        <v>0.008333333</v>
      </c>
      <c r="BJ295" s="4" t="n">
        <f aca="false">IF(OR(BH295="",BI295=""),"",IFERROR(IF($K295="%",BI295-BH295,BI295/BH295-1),""))</f>
        <v>-0.021666667</v>
      </c>
      <c r="BK295" s="5" t="str">
        <f aca="false">IF(OR(BH295="",BI295=""),"",IF($F295="Maior Melhor",IF(BI295&gt;=BH295,"Sim","Não"),IF(BI295&lt;=BH295,"Sim","Não")))</f>
        <v>Sim</v>
      </c>
      <c r="BL295" s="6"/>
      <c r="BM295" s="6"/>
      <c r="BN295" s="4" t="str">
        <f aca="false">IF(OR(BL295="",BM295=""),"",IFERROR(IF($K295="%",BM295-BL295,BM295/BL295-1),""))</f>
        <v/>
      </c>
      <c r="BO295" s="5" t="str">
        <f aca="false">IF(OR(BL295="",BM295=""),"",IF($F295="Maior Melhor",IF(BM295&gt;=BL295,"Sim","Não"),IF(BM295&lt;=BL295,"Sim","Não")))</f>
        <v/>
      </c>
      <c r="BP295" s="6"/>
      <c r="BQ295" s="6"/>
      <c r="BR295" s="4" t="str">
        <f aca="false">IF(OR(BP295="",BQ295=""),"",IFERROR(IF($K295="%",BQ295-BP295,BQ295/BP295-1),""))</f>
        <v/>
      </c>
      <c r="BS295" s="5" t="str">
        <f aca="false">IF(OR(BP295="",BQ295=""),"",IF($F295="Maior Melhor",IF(BQ295&gt;=BP295,"Sim","Não"),IF(BQ295&lt;=BP295,"Sim","Não")))</f>
        <v/>
      </c>
      <c r="BT295" s="6"/>
      <c r="BU295" s="6"/>
      <c r="BV295" s="4" t="str">
        <f aca="false">IF(OR(BT295="",BU295=""),"",IFERROR(IF($K295="%",BU295-BT295,BU295/BT295-1),""))</f>
        <v/>
      </c>
      <c r="BW295" s="5" t="str">
        <f aca="false">IF(OR(BT295="",BU295=""),"",IF($F295="Maior Melhor",IF(BU295&gt;=BT295,"Sim","Não"),IF(BU295&lt;=BT295,"Sim","Não")))</f>
        <v/>
      </c>
      <c r="BX295" s="6"/>
      <c r="BY295" s="6"/>
      <c r="BZ295" s="4" t="str">
        <f aca="false">IF(OR(BX295="",BY295=""),"",IFERROR(IF($K295="%",BY295-BX295,BY295/BX295-1),""))</f>
        <v/>
      </c>
      <c r="CA295" s="5" t="str">
        <f aca="false">IF(OR(BX295="",BY295=""),"",IF($F295="Maior Melhor",IF(BY295&gt;=BX295,"Sim","Não"),IF(BY295&lt;=BX295,"Sim","Não")))</f>
        <v/>
      </c>
      <c r="CB295" s="6"/>
      <c r="CC295" s="6"/>
      <c r="CD295" s="4" t="str">
        <f aca="false">IF(OR(CB295="",CC295=""),"",IFERROR(IF($K295="%",CC295-CB295,CC295/CB295-1),""))</f>
        <v/>
      </c>
      <c r="CE295" s="5" t="str">
        <f aca="false">IF(OR(CB295="",CC295=""),"",IF($F295="Maior Melhor",IF(CC295&gt;=CB295,"Sim","Não"),IF(CC295&lt;=CB295,"Sim","Não")))</f>
        <v/>
      </c>
      <c r="CF295" s="6"/>
      <c r="CG295" s="6"/>
      <c r="CH295" s="4" t="str">
        <f aca="false">IF(OR(CF295="",CG295=""),"",IFERROR(IF($K295="%",CG295-CF295,CG295/CF295-1),""))</f>
        <v/>
      </c>
      <c r="CI295" s="5" t="str">
        <f aca="false">IF(OR(CF295="",CG295=""),"",IF($F295="Maior Melhor",IF(CG295&gt;=CF295,"Sim","Não"),IF(CG295&lt;=CF295,"Sim","Não")))</f>
        <v/>
      </c>
      <c r="CJ295" s="6"/>
      <c r="CK295" s="6"/>
      <c r="CL295" s="4" t="str">
        <f aca="false">IF(OR(CJ295="",CK295=""),"",IFERROR(IF($K295="%",CK295-CJ295,CK295/CJ295-1),""))</f>
        <v/>
      </c>
      <c r="CM295" s="5" t="str">
        <f aca="false">IF(OR(CJ295="",CK295=""),"",IF($F295="Maior Melhor",IF(CK295&gt;=CJ295,"Sim","Não"),IF(CK295&lt;=CJ295,"Sim","Não")))</f>
        <v/>
      </c>
      <c r="CN295" s="6"/>
      <c r="CO295" s="6"/>
      <c r="CP295" s="4" t="str">
        <f aca="false">IF(OR(CN295="",CO295=""),"",IFERROR(IF($K295="%",CO295-CN295,CO295/CN295-1),""))</f>
        <v/>
      </c>
      <c r="CQ295" s="5" t="str">
        <f aca="false">IF(OR(CN295="",CO295=""),"",IF($F295="Maior Melhor",IF(CO295&gt;=CN295,"Sim","Não"),IF(CO295&lt;=CN295,"Sim","Não")))</f>
        <v/>
      </c>
      <c r="CR295" s="2" t="s">
        <v>114</v>
      </c>
    </row>
    <row r="296" customFormat="false" ht="15" hidden="false" customHeight="false" outlineLevel="0" collapsed="false">
      <c r="A296" s="2" t="s">
        <v>161</v>
      </c>
      <c r="B296" s="2" t="s">
        <v>108</v>
      </c>
      <c r="C296" s="2" t="s">
        <v>115</v>
      </c>
      <c r="D296" s="2" t="s">
        <v>194</v>
      </c>
      <c r="E296" s="2" t="str">
        <f aca="false">C296&amp;D296</f>
        <v>UTD BRUMADOQuantidade de notas reguladas Pendentes FP</v>
      </c>
      <c r="F296" s="2" t="s">
        <v>167</v>
      </c>
      <c r="G296" s="2" t="s">
        <v>195</v>
      </c>
      <c r="H296" s="2" t="s">
        <v>102</v>
      </c>
      <c r="I296" s="2" t="s">
        <v>169</v>
      </c>
      <c r="J296" s="2" t="n">
        <v>1</v>
      </c>
      <c r="K296" s="2" t="s">
        <v>104</v>
      </c>
      <c r="L296" s="3" t="n">
        <v>0.03</v>
      </c>
      <c r="M296" s="3" t="n">
        <v>0.067</v>
      </c>
      <c r="N296" s="4" t="n">
        <f aca="false">IF(OR(L296="",M296=""),"",IFERROR(IF($K296="%",M296-L296,M296/L296-1),""))</f>
        <v>0.037</v>
      </c>
      <c r="O296" s="5" t="str">
        <f aca="false">IF(OR(L296="",M296=""),"",IF($F296="Maior Melhor",IF(M296&gt;=L296,"Sim","Não"),IF(M296&lt;=L296,"Sim","Não")))</f>
        <v>Não</v>
      </c>
      <c r="P296" s="3" t="n">
        <v>0.03</v>
      </c>
      <c r="Q296" s="3" t="n">
        <v>0.032</v>
      </c>
      <c r="R296" s="4" t="n">
        <f aca="false">IF(OR(P296="",Q296=""),"",IFERROR(IF($K296="%",Q296-P296,Q296/P296-1),""))</f>
        <v>0.002</v>
      </c>
      <c r="S296" s="5" t="str">
        <f aca="false">IF(OR(P296="",Q296=""),"",IF($F296="Maior Melhor",IF(Q296&gt;=P296,"Sim","Não"),IF(Q296&lt;=P296,"Sim","Não")))</f>
        <v>Não</v>
      </c>
      <c r="T296" s="3" t="n">
        <v>0.03</v>
      </c>
      <c r="U296" s="3" t="n">
        <v>0.032</v>
      </c>
      <c r="V296" s="4" t="n">
        <f aca="false">IF(OR(T296="",U296=""),"",IFERROR(IF($K296="%",U296-T296,U296/T296-1),""))</f>
        <v>0.002</v>
      </c>
      <c r="W296" s="5" t="str">
        <f aca="false">IF(OR(T296="",U296=""),"",IF($F296="Maior Melhor",IF(U296&gt;=T296,"Sim","Não"),IF(U296&lt;=T296,"Sim","Não")))</f>
        <v>Não</v>
      </c>
      <c r="X296" s="3" t="n">
        <v>0.03</v>
      </c>
      <c r="Y296" s="3" t="n">
        <v>0.0416</v>
      </c>
      <c r="Z296" s="4" t="n">
        <f aca="false">IF(OR(X296="",Y296=""),"",IFERROR(IF($K296="%",Y296-X296,Y296/X296-1),""))</f>
        <v>0.0116</v>
      </c>
      <c r="AA296" s="5" t="str">
        <f aca="false">IF(OR(X296="",Y296=""),"",IF($F296="Maior Melhor",IF(Y296&gt;=X296,"Sim","Não"),IF(Y296&lt;=X296,"Sim","Não")))</f>
        <v>Não</v>
      </c>
      <c r="AB296" s="3" t="n">
        <v>0.03</v>
      </c>
      <c r="AC296" s="3" t="n">
        <v>0.0416</v>
      </c>
      <c r="AD296" s="4" t="n">
        <f aca="false">IF(OR(AB296="",AC296=""),"",IFERROR(IF($K296="%",AC296-AB296,AC296/AB296-1),""))</f>
        <v>0.0116</v>
      </c>
      <c r="AE296" s="5" t="str">
        <f aca="false">IF(OR(AB296="",AC296=""),"",IF($F296="Maior Melhor",IF(AC296&gt;=AB296,"Sim","Não"),IF(AC296&lt;=AB296,"Sim","Não")))</f>
        <v>Não</v>
      </c>
      <c r="AF296" s="3" t="n">
        <v>0.03</v>
      </c>
      <c r="AG296" s="3" t="n">
        <v>0.040441176</v>
      </c>
      <c r="AH296" s="4" t="n">
        <f aca="false">IF(OR(AF296="",AG296=""),"",IFERROR(IF($K296="%",AG296-AF296,AG296/AF296-1),""))</f>
        <v>0.010441176</v>
      </c>
      <c r="AI296" s="5" t="str">
        <f aca="false">IF(OR(AF296="",AG296=""),"",IF($F296="Maior Melhor",IF(AG296&gt;=AF296,"Sim","Não"),IF(AG296&lt;=AF296,"Sim","Não")))</f>
        <v>Não</v>
      </c>
      <c r="AJ296" s="3" t="n">
        <v>0.03</v>
      </c>
      <c r="AK296" s="3" t="n">
        <v>0.040441176</v>
      </c>
      <c r="AL296" s="4" t="n">
        <f aca="false">IF(OR(AJ296="",AK296=""),"",IFERROR(IF($K296="%",AK296-AJ296,AK296/AJ296-1),""))</f>
        <v>0.010441176</v>
      </c>
      <c r="AM296" s="5" t="str">
        <f aca="false">IF(OR(AJ296="",AK296=""),"",IF($F296="Maior Melhor",IF(AK296&gt;=AJ296,"Sim","Não"),IF(AK296&lt;=AJ296,"Sim","Não")))</f>
        <v>Não</v>
      </c>
      <c r="AN296" s="3" t="n">
        <v>0.03</v>
      </c>
      <c r="AO296" s="3" t="n">
        <v>0</v>
      </c>
      <c r="AP296" s="4" t="n">
        <f aca="false">IF(OR(AN296="",AO296=""),"",IFERROR(IF($K296="%",AO296-AN296,AO296/AN296-1),""))</f>
        <v>-0.03</v>
      </c>
      <c r="AQ296" s="5" t="str">
        <f aca="false">IF(OR(AN296="",AO296=""),"",IF($F296="Maior Melhor",IF(AO296&gt;=AN296,"Sim","Não"),IF(AO296&lt;=AN296,"Sim","Não")))</f>
        <v>Sim</v>
      </c>
      <c r="AR296" s="3" t="n">
        <v>0.03</v>
      </c>
      <c r="AS296" s="3" t="n">
        <v>0</v>
      </c>
      <c r="AT296" s="4" t="n">
        <f aca="false">IF(OR(AR296="",AS296=""),"",IFERROR(IF($K296="%",AS296-AR296,AS296/AR296-1),""))</f>
        <v>-0.03</v>
      </c>
      <c r="AU296" s="5" t="str">
        <f aca="false">IF(OR(AR296="",AS296=""),"",IF($F296="Maior Melhor",IF(AS296&gt;=AR296,"Sim","Não"),IF(AS296&lt;=AR296,"Sim","Não")))</f>
        <v>Sim</v>
      </c>
      <c r="AV296" s="3" t="n">
        <v>0.03</v>
      </c>
      <c r="AW296" s="3" t="n">
        <v>0.006</v>
      </c>
      <c r="AX296" s="4" t="n">
        <f aca="false">IF(OR(AV296="",AW296=""),"",IFERROR(IF($K296="%",AW296-AV296,AW296/AV296-1),""))</f>
        <v>-0.024</v>
      </c>
      <c r="AY296" s="5" t="str">
        <f aca="false">IF(OR(AV296="",AW296=""),"",IF($F296="Maior Melhor",IF(AW296&gt;=AV296,"Sim","Não"),IF(AW296&lt;=AV296,"Sim","Não")))</f>
        <v>Sim</v>
      </c>
      <c r="AZ296" s="3" t="n">
        <v>0.03</v>
      </c>
      <c r="BA296" s="3" t="n">
        <v>0.006</v>
      </c>
      <c r="BB296" s="4" t="n">
        <f aca="false">IF(OR(AZ296="",BA296=""),"",IFERROR(IF($K296="%",BA296-AZ296,BA296/AZ296-1),""))</f>
        <v>-0.024</v>
      </c>
      <c r="BC296" s="5" t="str">
        <f aca="false">IF(OR(AZ296="",BA296=""),"",IF($F296="Maior Melhor",IF(BA296&gt;=AZ296,"Sim","Não"),IF(BA296&lt;=AZ296,"Sim","Não")))</f>
        <v>Sim</v>
      </c>
      <c r="BD296" s="3" t="n">
        <v>0.03</v>
      </c>
      <c r="BE296" s="3" t="n">
        <v>0.005970149</v>
      </c>
      <c r="BF296" s="4" t="n">
        <f aca="false">IF(OR(BD296="",BE296=""),"",IFERROR(IF($K296="%",BE296-BD296,BE296/BD296-1),""))</f>
        <v>-0.024029851</v>
      </c>
      <c r="BG296" s="5" t="str">
        <f aca="false">IF(OR(BD296="",BE296=""),"",IF($F296="Maior Melhor",IF(BE296&gt;=BD296,"Sim","Não"),IF(BE296&lt;=BD296,"Sim","Não")))</f>
        <v>Sim</v>
      </c>
      <c r="BH296" s="3" t="n">
        <v>0.03</v>
      </c>
      <c r="BI296" s="3" t="n">
        <v>0.005970149</v>
      </c>
      <c r="BJ296" s="4" t="n">
        <f aca="false">IF(OR(BH296="",BI296=""),"",IFERROR(IF($K296="%",BI296-BH296,BI296/BH296-1),""))</f>
        <v>-0.024029851</v>
      </c>
      <c r="BK296" s="5" t="str">
        <f aca="false">IF(OR(BH296="",BI296=""),"",IF($F296="Maior Melhor",IF(BI296&gt;=BH296,"Sim","Não"),IF(BI296&lt;=BH296,"Sim","Não")))</f>
        <v>Sim</v>
      </c>
      <c r="BL296" s="6"/>
      <c r="BM296" s="6"/>
      <c r="BN296" s="4" t="str">
        <f aca="false">IF(OR(BL296="",BM296=""),"",IFERROR(IF($K296="%",BM296-BL296,BM296/BL296-1),""))</f>
        <v/>
      </c>
      <c r="BO296" s="5" t="str">
        <f aca="false">IF(OR(BL296="",BM296=""),"",IF($F296="Maior Melhor",IF(BM296&gt;=BL296,"Sim","Não"),IF(BM296&lt;=BL296,"Sim","Não")))</f>
        <v/>
      </c>
      <c r="BP296" s="6"/>
      <c r="BQ296" s="6"/>
      <c r="BR296" s="4" t="str">
        <f aca="false">IF(OR(BP296="",BQ296=""),"",IFERROR(IF($K296="%",BQ296-BP296,BQ296/BP296-1),""))</f>
        <v/>
      </c>
      <c r="BS296" s="5" t="str">
        <f aca="false">IF(OR(BP296="",BQ296=""),"",IF($F296="Maior Melhor",IF(BQ296&gt;=BP296,"Sim","Não"),IF(BQ296&lt;=BP296,"Sim","Não")))</f>
        <v/>
      </c>
      <c r="BT296" s="6"/>
      <c r="BU296" s="6"/>
      <c r="BV296" s="4" t="str">
        <f aca="false">IF(OR(BT296="",BU296=""),"",IFERROR(IF($K296="%",BU296-BT296,BU296/BT296-1),""))</f>
        <v/>
      </c>
      <c r="BW296" s="5" t="str">
        <f aca="false">IF(OR(BT296="",BU296=""),"",IF($F296="Maior Melhor",IF(BU296&gt;=BT296,"Sim","Não"),IF(BU296&lt;=BT296,"Sim","Não")))</f>
        <v/>
      </c>
      <c r="BX296" s="6"/>
      <c r="BY296" s="6"/>
      <c r="BZ296" s="4" t="str">
        <f aca="false">IF(OR(BX296="",BY296=""),"",IFERROR(IF($K296="%",BY296-BX296,BY296/BX296-1),""))</f>
        <v/>
      </c>
      <c r="CA296" s="5" t="str">
        <f aca="false">IF(OR(BX296="",BY296=""),"",IF($F296="Maior Melhor",IF(BY296&gt;=BX296,"Sim","Não"),IF(BY296&lt;=BX296,"Sim","Não")))</f>
        <v/>
      </c>
      <c r="CB296" s="6"/>
      <c r="CC296" s="6"/>
      <c r="CD296" s="4" t="str">
        <f aca="false">IF(OR(CB296="",CC296=""),"",IFERROR(IF($K296="%",CC296-CB296,CC296/CB296-1),""))</f>
        <v/>
      </c>
      <c r="CE296" s="5" t="str">
        <f aca="false">IF(OR(CB296="",CC296=""),"",IF($F296="Maior Melhor",IF(CC296&gt;=CB296,"Sim","Não"),IF(CC296&lt;=CB296,"Sim","Não")))</f>
        <v/>
      </c>
      <c r="CF296" s="6"/>
      <c r="CG296" s="6"/>
      <c r="CH296" s="4" t="str">
        <f aca="false">IF(OR(CF296="",CG296=""),"",IFERROR(IF($K296="%",CG296-CF296,CG296/CF296-1),""))</f>
        <v/>
      </c>
      <c r="CI296" s="5" t="str">
        <f aca="false">IF(OR(CF296="",CG296=""),"",IF($F296="Maior Melhor",IF(CG296&gt;=CF296,"Sim","Não"),IF(CG296&lt;=CF296,"Sim","Não")))</f>
        <v/>
      </c>
      <c r="CJ296" s="6"/>
      <c r="CK296" s="6"/>
      <c r="CL296" s="4" t="str">
        <f aca="false">IF(OR(CJ296="",CK296=""),"",IFERROR(IF($K296="%",CK296-CJ296,CK296/CJ296-1),""))</f>
        <v/>
      </c>
      <c r="CM296" s="5" t="str">
        <f aca="false">IF(OR(CJ296="",CK296=""),"",IF($F296="Maior Melhor",IF(CK296&gt;=CJ296,"Sim","Não"),IF(CK296&lt;=CJ296,"Sim","Não")))</f>
        <v/>
      </c>
      <c r="CN296" s="6"/>
      <c r="CO296" s="6"/>
      <c r="CP296" s="4" t="str">
        <f aca="false">IF(OR(CN296="",CO296=""),"",IFERROR(IF($K296="%",CO296-CN296,CO296/CN296-1),""))</f>
        <v/>
      </c>
      <c r="CQ296" s="5" t="str">
        <f aca="false">IF(OR(CN296="",CO296=""),"",IF($F296="Maior Melhor",IF(CO296&gt;=CN296,"Sim","Não"),IF(CO296&lt;=CN296,"Sim","Não")))</f>
        <v/>
      </c>
      <c r="CR296" s="2" t="s">
        <v>105</v>
      </c>
    </row>
    <row r="297" customFormat="false" ht="15" hidden="false" customHeight="false" outlineLevel="0" collapsed="false">
      <c r="A297" s="2" t="s">
        <v>161</v>
      </c>
      <c r="B297" s="2" t="s">
        <v>108</v>
      </c>
      <c r="C297" s="2" t="s">
        <v>117</v>
      </c>
      <c r="D297" s="2" t="s">
        <v>194</v>
      </c>
      <c r="E297" s="2" t="str">
        <f aca="false">C297&amp;D297</f>
        <v>UTD GUANAMBIQuantidade de notas reguladas Pendentes FP</v>
      </c>
      <c r="F297" s="2" t="s">
        <v>167</v>
      </c>
      <c r="G297" s="2" t="s">
        <v>195</v>
      </c>
      <c r="H297" s="2" t="s">
        <v>102</v>
      </c>
      <c r="I297" s="2" t="s">
        <v>169</v>
      </c>
      <c r="J297" s="2" t="n">
        <v>1</v>
      </c>
      <c r="K297" s="2" t="s">
        <v>104</v>
      </c>
      <c r="L297" s="3" t="n">
        <v>0.03</v>
      </c>
      <c r="M297" s="3" t="n">
        <v>0.056</v>
      </c>
      <c r="N297" s="4" t="n">
        <f aca="false">IF(OR(L297="",M297=""),"",IFERROR(IF($K297="%",M297-L297,M297/L297-1),""))</f>
        <v>0.026</v>
      </c>
      <c r="O297" s="5" t="str">
        <f aca="false">IF(OR(L297="",M297=""),"",IF($F297="Maior Melhor",IF(M297&gt;=L297,"Sim","Não"),IF(M297&lt;=L297,"Sim","Não")))</f>
        <v>Não</v>
      </c>
      <c r="P297" s="3" t="n">
        <v>0.03</v>
      </c>
      <c r="Q297" s="3" t="n">
        <v>0.028</v>
      </c>
      <c r="R297" s="4" t="n">
        <f aca="false">IF(OR(P297="",Q297=""),"",IFERROR(IF($K297="%",Q297-P297,Q297/P297-1),""))</f>
        <v>-0.002</v>
      </c>
      <c r="S297" s="5" t="str">
        <f aca="false">IF(OR(P297="",Q297=""),"",IF($F297="Maior Melhor",IF(Q297&gt;=P297,"Sim","Não"),IF(Q297&lt;=P297,"Sim","Não")))</f>
        <v>Sim</v>
      </c>
      <c r="T297" s="3" t="n">
        <v>0.03</v>
      </c>
      <c r="U297" s="3" t="n">
        <v>0.038</v>
      </c>
      <c r="V297" s="4" t="n">
        <f aca="false">IF(OR(T297="",U297=""),"",IFERROR(IF($K297="%",U297-T297,U297/T297-1),""))</f>
        <v>0.008</v>
      </c>
      <c r="W297" s="5" t="str">
        <f aca="false">IF(OR(T297="",U297=""),"",IF($F297="Maior Melhor",IF(U297&gt;=T297,"Sim","Não"),IF(U297&lt;=T297,"Sim","Não")))</f>
        <v>Não</v>
      </c>
      <c r="X297" s="3" t="n">
        <v>0.03</v>
      </c>
      <c r="Y297" s="3" t="n">
        <v>0.0143</v>
      </c>
      <c r="Z297" s="4" t="n">
        <f aca="false">IF(OR(X297="",Y297=""),"",IFERROR(IF($K297="%",Y297-X297,Y297/X297-1),""))</f>
        <v>-0.0157</v>
      </c>
      <c r="AA297" s="5" t="str">
        <f aca="false">IF(OR(X297="",Y297=""),"",IF($F297="Maior Melhor",IF(Y297&gt;=X297,"Sim","Não"),IF(Y297&lt;=X297,"Sim","Não")))</f>
        <v>Sim</v>
      </c>
      <c r="AB297" s="3" t="n">
        <v>0.03</v>
      </c>
      <c r="AC297" s="3" t="n">
        <v>0.0143</v>
      </c>
      <c r="AD297" s="4" t="n">
        <f aca="false">IF(OR(AB297="",AC297=""),"",IFERROR(IF($K297="%",AC297-AB297,AC297/AB297-1),""))</f>
        <v>-0.0157</v>
      </c>
      <c r="AE297" s="5" t="str">
        <f aca="false">IF(OR(AB297="",AC297=""),"",IF($F297="Maior Melhor",IF(AC297&gt;=AB297,"Sim","Não"),IF(AC297&lt;=AB297,"Sim","Não")))</f>
        <v>Sim</v>
      </c>
      <c r="AF297" s="3" t="n">
        <v>0.03</v>
      </c>
      <c r="AG297" s="3" t="n">
        <v>0.026894866</v>
      </c>
      <c r="AH297" s="4" t="n">
        <f aca="false">IF(OR(AF297="",AG297=""),"",IFERROR(IF($K297="%",AG297-AF297,AG297/AF297-1),""))</f>
        <v>-0.003105134</v>
      </c>
      <c r="AI297" s="5" t="str">
        <f aca="false">IF(OR(AF297="",AG297=""),"",IF($F297="Maior Melhor",IF(AG297&gt;=AF297,"Sim","Não"),IF(AG297&lt;=AF297,"Sim","Não")))</f>
        <v>Sim</v>
      </c>
      <c r="AJ297" s="3" t="n">
        <v>0.03</v>
      </c>
      <c r="AK297" s="3" t="n">
        <v>0.026894866</v>
      </c>
      <c r="AL297" s="4" t="n">
        <f aca="false">IF(OR(AJ297="",AK297=""),"",IFERROR(IF($K297="%",AK297-AJ297,AK297/AJ297-1),""))</f>
        <v>-0.003105134</v>
      </c>
      <c r="AM297" s="5" t="str">
        <f aca="false">IF(OR(AJ297="",AK297=""),"",IF($F297="Maior Melhor",IF(AK297&gt;=AJ297,"Sim","Não"),IF(AK297&lt;=AJ297,"Sim","Não")))</f>
        <v>Sim</v>
      </c>
      <c r="AN297" s="3" t="n">
        <v>0.03</v>
      </c>
      <c r="AO297" s="3" t="n">
        <v>0.039548023</v>
      </c>
      <c r="AP297" s="4" t="n">
        <f aca="false">IF(OR(AN297="",AO297=""),"",IFERROR(IF($K297="%",AO297-AN297,AO297/AN297-1),""))</f>
        <v>0.009548023</v>
      </c>
      <c r="AQ297" s="5" t="str">
        <f aca="false">IF(OR(AN297="",AO297=""),"",IF($F297="Maior Melhor",IF(AO297&gt;=AN297,"Sim","Não"),IF(AO297&lt;=AN297,"Sim","Não")))</f>
        <v>Não</v>
      </c>
      <c r="AR297" s="3" t="n">
        <v>0.03</v>
      </c>
      <c r="AS297" s="3" t="n">
        <v>0.039548023</v>
      </c>
      <c r="AT297" s="4" t="n">
        <f aca="false">IF(OR(AR297="",AS297=""),"",IFERROR(IF($K297="%",AS297-AR297,AS297/AR297-1),""))</f>
        <v>0.009548023</v>
      </c>
      <c r="AU297" s="5" t="str">
        <f aca="false">IF(OR(AR297="",AS297=""),"",IF($F297="Maior Melhor",IF(AS297&gt;=AR297,"Sim","Não"),IF(AS297&lt;=AR297,"Sim","Não")))</f>
        <v>Não</v>
      </c>
      <c r="AV297" s="3" t="n">
        <v>0.03</v>
      </c>
      <c r="AW297" s="3" t="n">
        <v>0.009</v>
      </c>
      <c r="AX297" s="4" t="n">
        <f aca="false">IF(OR(AV297="",AW297=""),"",IFERROR(IF($K297="%",AW297-AV297,AW297/AV297-1),""))</f>
        <v>-0.021</v>
      </c>
      <c r="AY297" s="5" t="str">
        <f aca="false">IF(OR(AV297="",AW297=""),"",IF($F297="Maior Melhor",IF(AW297&gt;=AV297,"Sim","Não"),IF(AW297&lt;=AV297,"Sim","Não")))</f>
        <v>Sim</v>
      </c>
      <c r="AZ297" s="3" t="n">
        <v>0.03</v>
      </c>
      <c r="BA297" s="3" t="n">
        <v>0.009</v>
      </c>
      <c r="BB297" s="4" t="n">
        <f aca="false">IF(OR(AZ297="",BA297=""),"",IFERROR(IF($K297="%",BA297-AZ297,BA297/AZ297-1),""))</f>
        <v>-0.021</v>
      </c>
      <c r="BC297" s="5" t="str">
        <f aca="false">IF(OR(AZ297="",BA297=""),"",IF($F297="Maior Melhor",IF(BA297&gt;=AZ297,"Sim","Não"),IF(BA297&lt;=AZ297,"Sim","Não")))</f>
        <v>Sim</v>
      </c>
      <c r="BD297" s="3" t="n">
        <v>0.03</v>
      </c>
      <c r="BE297" s="3" t="n">
        <v>0.009975062</v>
      </c>
      <c r="BF297" s="4" t="n">
        <f aca="false">IF(OR(BD297="",BE297=""),"",IFERROR(IF($K297="%",BE297-BD297,BE297/BD297-1),""))</f>
        <v>-0.020024938</v>
      </c>
      <c r="BG297" s="5" t="str">
        <f aca="false">IF(OR(BD297="",BE297=""),"",IF($F297="Maior Melhor",IF(BE297&gt;=BD297,"Sim","Não"),IF(BE297&lt;=BD297,"Sim","Não")))</f>
        <v>Sim</v>
      </c>
      <c r="BH297" s="3" t="n">
        <v>0.03</v>
      </c>
      <c r="BI297" s="3" t="n">
        <v>0.009975062</v>
      </c>
      <c r="BJ297" s="4" t="n">
        <f aca="false">IF(OR(BH297="",BI297=""),"",IFERROR(IF($K297="%",BI297-BH297,BI297/BH297-1),""))</f>
        <v>-0.020024938</v>
      </c>
      <c r="BK297" s="5" t="str">
        <f aca="false">IF(OR(BH297="",BI297=""),"",IF($F297="Maior Melhor",IF(BI297&gt;=BH297,"Sim","Não"),IF(BI297&lt;=BH297,"Sim","Não")))</f>
        <v>Sim</v>
      </c>
      <c r="BL297" s="6"/>
      <c r="BM297" s="6"/>
      <c r="BN297" s="4" t="str">
        <f aca="false">IF(OR(BL297="",BM297=""),"",IFERROR(IF($K297="%",BM297-BL297,BM297/BL297-1),""))</f>
        <v/>
      </c>
      <c r="BO297" s="5" t="str">
        <f aca="false">IF(OR(BL297="",BM297=""),"",IF($F297="Maior Melhor",IF(BM297&gt;=BL297,"Sim","Não"),IF(BM297&lt;=BL297,"Sim","Não")))</f>
        <v/>
      </c>
      <c r="BP297" s="6"/>
      <c r="BQ297" s="6"/>
      <c r="BR297" s="4" t="str">
        <f aca="false">IF(OR(BP297="",BQ297=""),"",IFERROR(IF($K297="%",BQ297-BP297,BQ297/BP297-1),""))</f>
        <v/>
      </c>
      <c r="BS297" s="5" t="str">
        <f aca="false">IF(OR(BP297="",BQ297=""),"",IF($F297="Maior Melhor",IF(BQ297&gt;=BP297,"Sim","Não"),IF(BQ297&lt;=BP297,"Sim","Não")))</f>
        <v/>
      </c>
      <c r="BT297" s="6"/>
      <c r="BU297" s="6"/>
      <c r="BV297" s="4" t="str">
        <f aca="false">IF(OR(BT297="",BU297=""),"",IFERROR(IF($K297="%",BU297-BT297,BU297/BT297-1),""))</f>
        <v/>
      </c>
      <c r="BW297" s="5" t="str">
        <f aca="false">IF(OR(BT297="",BU297=""),"",IF($F297="Maior Melhor",IF(BU297&gt;=BT297,"Sim","Não"),IF(BU297&lt;=BT297,"Sim","Não")))</f>
        <v/>
      </c>
      <c r="BX297" s="6"/>
      <c r="BY297" s="6"/>
      <c r="BZ297" s="4" t="str">
        <f aca="false">IF(OR(BX297="",BY297=""),"",IFERROR(IF($K297="%",BY297-BX297,BY297/BX297-1),""))</f>
        <v/>
      </c>
      <c r="CA297" s="5" t="str">
        <f aca="false">IF(OR(BX297="",BY297=""),"",IF($F297="Maior Melhor",IF(BY297&gt;=BX297,"Sim","Não"),IF(BY297&lt;=BX297,"Sim","Não")))</f>
        <v/>
      </c>
      <c r="CB297" s="6"/>
      <c r="CC297" s="6"/>
      <c r="CD297" s="4" t="str">
        <f aca="false">IF(OR(CB297="",CC297=""),"",IFERROR(IF($K297="%",CC297-CB297,CC297/CB297-1),""))</f>
        <v/>
      </c>
      <c r="CE297" s="5" t="str">
        <f aca="false">IF(OR(CB297="",CC297=""),"",IF($F297="Maior Melhor",IF(CC297&gt;=CB297,"Sim","Não"),IF(CC297&lt;=CB297,"Sim","Não")))</f>
        <v/>
      </c>
      <c r="CF297" s="6"/>
      <c r="CG297" s="6"/>
      <c r="CH297" s="4" t="str">
        <f aca="false">IF(OR(CF297="",CG297=""),"",IFERROR(IF($K297="%",CG297-CF297,CG297/CF297-1),""))</f>
        <v/>
      </c>
      <c r="CI297" s="5" t="str">
        <f aca="false">IF(OR(CF297="",CG297=""),"",IF($F297="Maior Melhor",IF(CG297&gt;=CF297,"Sim","Não"),IF(CG297&lt;=CF297,"Sim","Não")))</f>
        <v/>
      </c>
      <c r="CJ297" s="6"/>
      <c r="CK297" s="6"/>
      <c r="CL297" s="4" t="str">
        <f aca="false">IF(OR(CJ297="",CK297=""),"",IFERROR(IF($K297="%",CK297-CJ297,CK297/CJ297-1),""))</f>
        <v/>
      </c>
      <c r="CM297" s="5" t="str">
        <f aca="false">IF(OR(CJ297="",CK297=""),"",IF($F297="Maior Melhor",IF(CK297&gt;=CJ297,"Sim","Não"),IF(CK297&lt;=CJ297,"Sim","Não")))</f>
        <v/>
      </c>
      <c r="CN297" s="6"/>
      <c r="CO297" s="6"/>
      <c r="CP297" s="4" t="str">
        <f aca="false">IF(OR(CN297="",CO297=""),"",IFERROR(IF($K297="%",CO297-CN297,CO297/CN297-1),""))</f>
        <v/>
      </c>
      <c r="CQ297" s="5" t="str">
        <f aca="false">IF(OR(CN297="",CO297=""),"",IF($F297="Maior Melhor",IF(CO297&gt;=CN297,"Sim","Não"),IF(CO297&lt;=CN297,"Sim","Não")))</f>
        <v/>
      </c>
      <c r="CR297" s="2" t="s">
        <v>105</v>
      </c>
    </row>
    <row r="298" customFormat="false" ht="15" hidden="false" customHeight="false" outlineLevel="0" collapsed="false">
      <c r="A298" s="2" t="s">
        <v>161</v>
      </c>
      <c r="B298" s="2" t="s">
        <v>106</v>
      </c>
      <c r="C298" s="2" t="s">
        <v>118</v>
      </c>
      <c r="D298" s="2" t="s">
        <v>194</v>
      </c>
      <c r="E298" s="2" t="str">
        <f aca="false">C298&amp;D298</f>
        <v>UTD IBOTIRAMAQuantidade de notas reguladas Pendentes FP</v>
      </c>
      <c r="F298" s="2" t="s">
        <v>167</v>
      </c>
      <c r="G298" s="2" t="s">
        <v>195</v>
      </c>
      <c r="H298" s="2" t="s">
        <v>119</v>
      </c>
      <c r="I298" s="2" t="s">
        <v>169</v>
      </c>
      <c r="J298" s="2" t="n">
        <v>1</v>
      </c>
      <c r="K298" s="2" t="s">
        <v>104</v>
      </c>
      <c r="L298" s="3" t="n">
        <v>0.03</v>
      </c>
      <c r="M298" s="3" t="n">
        <v>0.057</v>
      </c>
      <c r="N298" s="4" t="n">
        <f aca="false">IF(OR(L298="",M298=""),"",IFERROR(IF($K298="%",M298-L298,M298/L298-1),""))</f>
        <v>0.027</v>
      </c>
      <c r="O298" s="5" t="str">
        <f aca="false">IF(OR(L298="",M298=""),"",IF($F298="Maior Melhor",IF(M298&gt;=L298,"Sim","Não"),IF(M298&lt;=L298,"Sim","Não")))</f>
        <v>Não</v>
      </c>
      <c r="P298" s="3" t="n">
        <v>0.03</v>
      </c>
      <c r="Q298" s="3" t="n">
        <v>0.042</v>
      </c>
      <c r="R298" s="4" t="n">
        <f aca="false">IF(OR(P298="",Q298=""),"",IFERROR(IF($K298="%",Q298-P298,Q298/P298-1),""))</f>
        <v>0.012</v>
      </c>
      <c r="S298" s="5" t="str">
        <f aca="false">IF(OR(P298="",Q298=""),"",IF($F298="Maior Melhor",IF(Q298&gt;=P298,"Sim","Não"),IF(Q298&lt;=P298,"Sim","Não")))</f>
        <v>Não</v>
      </c>
      <c r="T298" s="3" t="n">
        <v>0.03</v>
      </c>
      <c r="U298" s="3" t="n">
        <v>0.03</v>
      </c>
      <c r="V298" s="4" t="n">
        <f aca="false">IF(OR(T298="",U298=""),"",IFERROR(IF($K298="%",U298-T298,U298/T298-1),""))</f>
        <v>0</v>
      </c>
      <c r="W298" s="5" t="str">
        <f aca="false">IF(OR(T298="",U298=""),"",IF($F298="Maior Melhor",IF(U298&gt;=T298,"Sim","Não"),IF(U298&lt;=T298,"Sim","Não")))</f>
        <v>Sim</v>
      </c>
      <c r="X298" s="3" t="n">
        <v>0.03</v>
      </c>
      <c r="Y298" s="3" t="n">
        <v>0.0174</v>
      </c>
      <c r="Z298" s="4" t="n">
        <f aca="false">IF(OR(X298="",Y298=""),"",IFERROR(IF($K298="%",Y298-X298,Y298/X298-1),""))</f>
        <v>-0.0126</v>
      </c>
      <c r="AA298" s="5" t="str">
        <f aca="false">IF(OR(X298="",Y298=""),"",IF($F298="Maior Melhor",IF(Y298&gt;=X298,"Sim","Não"),IF(Y298&lt;=X298,"Sim","Não")))</f>
        <v>Sim</v>
      </c>
      <c r="AB298" s="3" t="n">
        <v>0.03</v>
      </c>
      <c r="AC298" s="3" t="n">
        <v>0.0174</v>
      </c>
      <c r="AD298" s="4" t="n">
        <f aca="false">IF(OR(AB298="",AC298=""),"",IFERROR(IF($K298="%",AC298-AB298,AC298/AB298-1),""))</f>
        <v>-0.0126</v>
      </c>
      <c r="AE298" s="5" t="str">
        <f aca="false">IF(OR(AB298="",AC298=""),"",IF($F298="Maior Melhor",IF(AC298&gt;=AB298,"Sim","Não"),IF(AC298&lt;=AB298,"Sim","Não")))</f>
        <v>Sim</v>
      </c>
      <c r="AF298" s="3" t="n">
        <v>0.03</v>
      </c>
      <c r="AG298" s="3" t="n">
        <v>0</v>
      </c>
      <c r="AH298" s="4" t="n">
        <f aca="false">IF(OR(AF298="",AG298=""),"",IFERROR(IF($K298="%",AG298-AF298,AG298/AF298-1),""))</f>
        <v>-0.03</v>
      </c>
      <c r="AI298" s="5" t="str">
        <f aca="false">IF(OR(AF298="",AG298=""),"",IF($F298="Maior Melhor",IF(AG298&gt;=AF298,"Sim","Não"),IF(AG298&lt;=AF298,"Sim","Não")))</f>
        <v>Sim</v>
      </c>
      <c r="AJ298" s="3" t="n">
        <v>0.03</v>
      </c>
      <c r="AK298" s="3" t="n">
        <v>0</v>
      </c>
      <c r="AL298" s="4" t="n">
        <f aca="false">IF(OR(AJ298="",AK298=""),"",IFERROR(IF($K298="%",AK298-AJ298,AK298/AJ298-1),""))</f>
        <v>-0.03</v>
      </c>
      <c r="AM298" s="5" t="str">
        <f aca="false">IF(OR(AJ298="",AK298=""),"",IF($F298="Maior Melhor",IF(AK298&gt;=AJ298,"Sim","Não"),IF(AK298&lt;=AJ298,"Sim","Não")))</f>
        <v>Sim</v>
      </c>
      <c r="AN298" s="3" t="n">
        <v>0.03</v>
      </c>
      <c r="AO298" s="3" t="n">
        <v>0</v>
      </c>
      <c r="AP298" s="4" t="n">
        <f aca="false">IF(OR(AN298="",AO298=""),"",IFERROR(IF($K298="%",AO298-AN298,AO298/AN298-1),""))</f>
        <v>-0.03</v>
      </c>
      <c r="AQ298" s="5" t="str">
        <f aca="false">IF(OR(AN298="",AO298=""),"",IF($F298="Maior Melhor",IF(AO298&gt;=AN298,"Sim","Não"),IF(AO298&lt;=AN298,"Sim","Não")))</f>
        <v>Sim</v>
      </c>
      <c r="AR298" s="3" t="n">
        <v>0.03</v>
      </c>
      <c r="AS298" s="3" t="n">
        <v>0</v>
      </c>
      <c r="AT298" s="4" t="n">
        <f aca="false">IF(OR(AR298="",AS298=""),"",IFERROR(IF($K298="%",AS298-AR298,AS298/AR298-1),""))</f>
        <v>-0.03</v>
      </c>
      <c r="AU298" s="5" t="str">
        <f aca="false">IF(OR(AR298="",AS298=""),"",IF($F298="Maior Melhor",IF(AS298&gt;=AR298,"Sim","Não"),IF(AS298&lt;=AR298,"Sim","Não")))</f>
        <v>Sim</v>
      </c>
      <c r="AV298" s="3" t="n">
        <v>0.03</v>
      </c>
      <c r="AW298" s="3" t="n">
        <v>0</v>
      </c>
      <c r="AX298" s="4" t="n">
        <f aca="false">IF(OR(AV298="",AW298=""),"",IFERROR(IF($K298="%",AW298-AV298,AW298/AV298-1),""))</f>
        <v>-0.03</v>
      </c>
      <c r="AY298" s="5" t="str">
        <f aca="false">IF(OR(AV298="",AW298=""),"",IF($F298="Maior Melhor",IF(AW298&gt;=AV298,"Sim","Não"),IF(AW298&lt;=AV298,"Sim","Não")))</f>
        <v>Sim</v>
      </c>
      <c r="AZ298" s="3" t="n">
        <v>0.03</v>
      </c>
      <c r="BA298" s="3" t="n">
        <v>0</v>
      </c>
      <c r="BB298" s="4" t="n">
        <f aca="false">IF(OR(AZ298="",BA298=""),"",IFERROR(IF($K298="%",BA298-AZ298,BA298/AZ298-1),""))</f>
        <v>-0.03</v>
      </c>
      <c r="BC298" s="5" t="str">
        <f aca="false">IF(OR(AZ298="",BA298=""),"",IF($F298="Maior Melhor",IF(BA298&gt;=AZ298,"Sim","Não"),IF(BA298&lt;=AZ298,"Sim","Não")))</f>
        <v>Sim</v>
      </c>
      <c r="BD298" s="3" t="n">
        <v>0.03</v>
      </c>
      <c r="BE298" s="3" t="n">
        <v>0.003984064</v>
      </c>
      <c r="BF298" s="4" t="n">
        <f aca="false">IF(OR(BD298="",BE298=""),"",IFERROR(IF($K298="%",BE298-BD298,BE298/BD298-1),""))</f>
        <v>-0.026015936</v>
      </c>
      <c r="BG298" s="5" t="str">
        <f aca="false">IF(OR(BD298="",BE298=""),"",IF($F298="Maior Melhor",IF(BE298&gt;=BD298,"Sim","Não"),IF(BE298&lt;=BD298,"Sim","Não")))</f>
        <v>Sim</v>
      </c>
      <c r="BH298" s="3" t="n">
        <v>0.03</v>
      </c>
      <c r="BI298" s="3" t="n">
        <v>0.003984064</v>
      </c>
      <c r="BJ298" s="4" t="n">
        <f aca="false">IF(OR(BH298="",BI298=""),"",IFERROR(IF($K298="%",BI298-BH298,BI298/BH298-1),""))</f>
        <v>-0.026015936</v>
      </c>
      <c r="BK298" s="5" t="str">
        <f aca="false">IF(OR(BH298="",BI298=""),"",IF($F298="Maior Melhor",IF(BI298&gt;=BH298,"Sim","Não"),IF(BI298&lt;=BH298,"Sim","Não")))</f>
        <v>Sim</v>
      </c>
      <c r="BL298" s="6"/>
      <c r="BM298" s="6"/>
      <c r="BN298" s="4" t="str">
        <f aca="false">IF(OR(BL298="",BM298=""),"",IFERROR(IF($K298="%",BM298-BL298,BM298/BL298-1),""))</f>
        <v/>
      </c>
      <c r="BO298" s="5" t="str">
        <f aca="false">IF(OR(BL298="",BM298=""),"",IF($F298="Maior Melhor",IF(BM298&gt;=BL298,"Sim","Não"),IF(BM298&lt;=BL298,"Sim","Não")))</f>
        <v/>
      </c>
      <c r="BP298" s="6"/>
      <c r="BQ298" s="6"/>
      <c r="BR298" s="4" t="str">
        <f aca="false">IF(OR(BP298="",BQ298=""),"",IFERROR(IF($K298="%",BQ298-BP298,BQ298/BP298-1),""))</f>
        <v/>
      </c>
      <c r="BS298" s="5" t="str">
        <f aca="false">IF(OR(BP298="",BQ298=""),"",IF($F298="Maior Melhor",IF(BQ298&gt;=BP298,"Sim","Não"),IF(BQ298&lt;=BP298,"Sim","Não")))</f>
        <v/>
      </c>
      <c r="BT298" s="6"/>
      <c r="BU298" s="6"/>
      <c r="BV298" s="4" t="str">
        <f aca="false">IF(OR(BT298="",BU298=""),"",IFERROR(IF($K298="%",BU298-BT298,BU298/BT298-1),""))</f>
        <v/>
      </c>
      <c r="BW298" s="5" t="str">
        <f aca="false">IF(OR(BT298="",BU298=""),"",IF($F298="Maior Melhor",IF(BU298&gt;=BT298,"Sim","Não"),IF(BU298&lt;=BT298,"Sim","Não")))</f>
        <v/>
      </c>
      <c r="BX298" s="6"/>
      <c r="BY298" s="6"/>
      <c r="BZ298" s="4" t="str">
        <f aca="false">IF(OR(BX298="",BY298=""),"",IFERROR(IF($K298="%",BY298-BX298,BY298/BX298-1),""))</f>
        <v/>
      </c>
      <c r="CA298" s="5" t="str">
        <f aca="false">IF(OR(BX298="",BY298=""),"",IF($F298="Maior Melhor",IF(BY298&gt;=BX298,"Sim","Não"),IF(BY298&lt;=BX298,"Sim","Não")))</f>
        <v/>
      </c>
      <c r="CB298" s="6"/>
      <c r="CC298" s="6"/>
      <c r="CD298" s="4" t="str">
        <f aca="false">IF(OR(CB298="",CC298=""),"",IFERROR(IF($K298="%",CC298-CB298,CC298/CB298-1),""))</f>
        <v/>
      </c>
      <c r="CE298" s="5" t="str">
        <f aca="false">IF(OR(CB298="",CC298=""),"",IF($F298="Maior Melhor",IF(CC298&gt;=CB298,"Sim","Não"),IF(CC298&lt;=CB298,"Sim","Não")))</f>
        <v/>
      </c>
      <c r="CF298" s="6"/>
      <c r="CG298" s="6"/>
      <c r="CH298" s="4" t="str">
        <f aca="false">IF(OR(CF298="",CG298=""),"",IFERROR(IF($K298="%",CG298-CF298,CG298/CF298-1),""))</f>
        <v/>
      </c>
      <c r="CI298" s="5" t="str">
        <f aca="false">IF(OR(CF298="",CG298=""),"",IF($F298="Maior Melhor",IF(CG298&gt;=CF298,"Sim","Não"),IF(CG298&lt;=CF298,"Sim","Não")))</f>
        <v/>
      </c>
      <c r="CJ298" s="6"/>
      <c r="CK298" s="6"/>
      <c r="CL298" s="4" t="str">
        <f aca="false">IF(OR(CJ298="",CK298=""),"",IFERROR(IF($K298="%",CK298-CJ298,CK298/CJ298-1),""))</f>
        <v/>
      </c>
      <c r="CM298" s="5" t="str">
        <f aca="false">IF(OR(CJ298="",CK298=""),"",IF($F298="Maior Melhor",IF(CK298&gt;=CJ298,"Sim","Não"),IF(CK298&lt;=CJ298,"Sim","Não")))</f>
        <v/>
      </c>
      <c r="CN298" s="6"/>
      <c r="CO298" s="6"/>
      <c r="CP298" s="4" t="str">
        <f aca="false">IF(OR(CN298="",CO298=""),"",IFERROR(IF($K298="%",CO298-CN298,CO298/CN298-1),""))</f>
        <v/>
      </c>
      <c r="CQ298" s="5" t="str">
        <f aca="false">IF(OR(CN298="",CO298=""),"",IF($F298="Maior Melhor",IF(CO298&gt;=CN298,"Sim","Não"),IF(CO298&lt;=CN298,"Sim","Não")))</f>
        <v/>
      </c>
      <c r="CR298" s="2" t="s">
        <v>134</v>
      </c>
    </row>
    <row r="299" customFormat="false" ht="15" hidden="false" customHeight="false" outlineLevel="0" collapsed="false">
      <c r="A299" s="2" t="s">
        <v>161</v>
      </c>
      <c r="B299" s="2" t="s">
        <v>97</v>
      </c>
      <c r="C299" s="2" t="s">
        <v>121</v>
      </c>
      <c r="D299" s="2" t="s">
        <v>194</v>
      </c>
      <c r="E299" s="2" t="str">
        <f aca="false">C299&amp;D299</f>
        <v>UTD IRECÊQuantidade de notas reguladas Pendentes FP</v>
      </c>
      <c r="F299" s="2" t="s">
        <v>167</v>
      </c>
      <c r="G299" s="2" t="s">
        <v>195</v>
      </c>
      <c r="H299" s="2" t="s">
        <v>102</v>
      </c>
      <c r="I299" s="2" t="s">
        <v>169</v>
      </c>
      <c r="J299" s="2" t="n">
        <v>1</v>
      </c>
      <c r="K299" s="2" t="s">
        <v>104</v>
      </c>
      <c r="L299" s="3" t="n">
        <v>0.03</v>
      </c>
      <c r="M299" s="3" t="n">
        <v>0.153</v>
      </c>
      <c r="N299" s="4" t="n">
        <f aca="false">IF(OR(L299="",M299=""),"",IFERROR(IF($K299="%",M299-L299,M299/L299-1),""))</f>
        <v>0.123</v>
      </c>
      <c r="O299" s="5" t="str">
        <f aca="false">IF(OR(L299="",M299=""),"",IF($F299="Maior Melhor",IF(M299&gt;=L299,"Sim","Não"),IF(M299&lt;=L299,"Sim","Não")))</f>
        <v>Não</v>
      </c>
      <c r="P299" s="3" t="n">
        <v>0.03</v>
      </c>
      <c r="Q299" s="3" t="n">
        <v>0.046</v>
      </c>
      <c r="R299" s="4" t="n">
        <f aca="false">IF(OR(P299="",Q299=""),"",IFERROR(IF($K299="%",Q299-P299,Q299/P299-1),""))</f>
        <v>0.016</v>
      </c>
      <c r="S299" s="5" t="str">
        <f aca="false">IF(OR(P299="",Q299=""),"",IF($F299="Maior Melhor",IF(Q299&gt;=P299,"Sim","Não"),IF(Q299&lt;=P299,"Sim","Não")))</f>
        <v>Não</v>
      </c>
      <c r="T299" s="3" t="n">
        <v>0.03</v>
      </c>
      <c r="U299" s="3" t="n">
        <v>0.073</v>
      </c>
      <c r="V299" s="4" t="n">
        <f aca="false">IF(OR(T299="",U299=""),"",IFERROR(IF($K299="%",U299-T299,U299/T299-1),""))</f>
        <v>0.043</v>
      </c>
      <c r="W299" s="5" t="str">
        <f aca="false">IF(OR(T299="",U299=""),"",IF($F299="Maior Melhor",IF(U299&gt;=T299,"Sim","Não"),IF(U299&lt;=T299,"Sim","Não")))</f>
        <v>Não</v>
      </c>
      <c r="X299" s="3" t="n">
        <v>0.03</v>
      </c>
      <c r="Y299" s="3" t="n">
        <v>0.0233</v>
      </c>
      <c r="Z299" s="4" t="n">
        <f aca="false">IF(OR(X299="",Y299=""),"",IFERROR(IF($K299="%",Y299-X299,Y299/X299-1),""))</f>
        <v>-0.0067</v>
      </c>
      <c r="AA299" s="5" t="str">
        <f aca="false">IF(OR(X299="",Y299=""),"",IF($F299="Maior Melhor",IF(Y299&gt;=X299,"Sim","Não"),IF(Y299&lt;=X299,"Sim","Não")))</f>
        <v>Sim</v>
      </c>
      <c r="AB299" s="3" t="n">
        <v>0.03</v>
      </c>
      <c r="AC299" s="3" t="n">
        <v>0.0233</v>
      </c>
      <c r="AD299" s="4" t="n">
        <f aca="false">IF(OR(AB299="",AC299=""),"",IFERROR(IF($K299="%",AC299-AB299,AC299/AB299-1),""))</f>
        <v>-0.0067</v>
      </c>
      <c r="AE299" s="5" t="str">
        <f aca="false">IF(OR(AB299="",AC299=""),"",IF($F299="Maior Melhor",IF(AC299&gt;=AB299,"Sim","Não"),IF(AC299&lt;=AB299,"Sim","Não")))</f>
        <v>Sim</v>
      </c>
      <c r="AF299" s="3" t="n">
        <v>0.03</v>
      </c>
      <c r="AG299" s="3" t="n">
        <v>0.025586354</v>
      </c>
      <c r="AH299" s="4" t="n">
        <f aca="false">IF(OR(AF299="",AG299=""),"",IFERROR(IF($K299="%",AG299-AF299,AG299/AF299-1),""))</f>
        <v>-0.004413646</v>
      </c>
      <c r="AI299" s="5" t="str">
        <f aca="false">IF(OR(AF299="",AG299=""),"",IF($F299="Maior Melhor",IF(AG299&gt;=AF299,"Sim","Não"),IF(AG299&lt;=AF299,"Sim","Não")))</f>
        <v>Sim</v>
      </c>
      <c r="AJ299" s="3" t="n">
        <v>0.03</v>
      </c>
      <c r="AK299" s="3" t="n">
        <v>0.025586354</v>
      </c>
      <c r="AL299" s="4" t="n">
        <f aca="false">IF(OR(AJ299="",AK299=""),"",IFERROR(IF($K299="%",AK299-AJ299,AK299/AJ299-1),""))</f>
        <v>-0.004413646</v>
      </c>
      <c r="AM299" s="5" t="str">
        <f aca="false">IF(OR(AJ299="",AK299=""),"",IF($F299="Maior Melhor",IF(AK299&gt;=AJ299,"Sim","Não"),IF(AK299&lt;=AJ299,"Sim","Não")))</f>
        <v>Sim</v>
      </c>
      <c r="AN299" s="3" t="n">
        <v>0.03</v>
      </c>
      <c r="AO299" s="3" t="n">
        <v>0.024221453</v>
      </c>
      <c r="AP299" s="4" t="n">
        <f aca="false">IF(OR(AN299="",AO299=""),"",IFERROR(IF($K299="%",AO299-AN299,AO299/AN299-1),""))</f>
        <v>-0.005778547</v>
      </c>
      <c r="AQ299" s="5" t="str">
        <f aca="false">IF(OR(AN299="",AO299=""),"",IF($F299="Maior Melhor",IF(AO299&gt;=AN299,"Sim","Não"),IF(AO299&lt;=AN299,"Sim","Não")))</f>
        <v>Sim</v>
      </c>
      <c r="AR299" s="3" t="n">
        <v>0.03</v>
      </c>
      <c r="AS299" s="3" t="n">
        <v>0.024221453</v>
      </c>
      <c r="AT299" s="4" t="n">
        <f aca="false">IF(OR(AR299="",AS299=""),"",IFERROR(IF($K299="%",AS299-AR299,AS299/AR299-1),""))</f>
        <v>-0.005778547</v>
      </c>
      <c r="AU299" s="5" t="str">
        <f aca="false">IF(OR(AR299="",AS299=""),"",IF($F299="Maior Melhor",IF(AS299&gt;=AR299,"Sim","Não"),IF(AS299&lt;=AR299,"Sim","Não")))</f>
        <v>Sim</v>
      </c>
      <c r="AV299" s="3" t="n">
        <v>0.03</v>
      </c>
      <c r="AW299" s="3" t="n">
        <v>0.009</v>
      </c>
      <c r="AX299" s="4" t="n">
        <f aca="false">IF(OR(AV299="",AW299=""),"",IFERROR(IF($K299="%",AW299-AV299,AW299/AV299-1),""))</f>
        <v>-0.021</v>
      </c>
      <c r="AY299" s="5" t="str">
        <f aca="false">IF(OR(AV299="",AW299=""),"",IF($F299="Maior Melhor",IF(AW299&gt;=AV299,"Sim","Não"),IF(AW299&lt;=AV299,"Sim","Não")))</f>
        <v>Sim</v>
      </c>
      <c r="AZ299" s="3" t="n">
        <v>0.03</v>
      </c>
      <c r="BA299" s="3" t="n">
        <v>0.009</v>
      </c>
      <c r="BB299" s="4" t="n">
        <f aca="false">IF(OR(AZ299="",BA299=""),"",IFERROR(IF($K299="%",BA299-AZ299,BA299/AZ299-1),""))</f>
        <v>-0.021</v>
      </c>
      <c r="BC299" s="5" t="str">
        <f aca="false">IF(OR(AZ299="",BA299=""),"",IF($F299="Maior Melhor",IF(BA299&gt;=AZ299,"Sim","Não"),IF(BA299&lt;=AZ299,"Sim","Não")))</f>
        <v>Sim</v>
      </c>
      <c r="BD299" s="3" t="n">
        <v>0.03</v>
      </c>
      <c r="BE299" s="3" t="n">
        <v>0</v>
      </c>
      <c r="BF299" s="4" t="n">
        <f aca="false">IF(OR(BD299="",BE299=""),"",IFERROR(IF($K299="%",BE299-BD299,BE299/BD299-1),""))</f>
        <v>-0.03</v>
      </c>
      <c r="BG299" s="5" t="str">
        <f aca="false">IF(OR(BD299="",BE299=""),"",IF($F299="Maior Melhor",IF(BE299&gt;=BD299,"Sim","Não"),IF(BE299&lt;=BD299,"Sim","Não")))</f>
        <v>Sim</v>
      </c>
      <c r="BH299" s="3" t="n">
        <v>0.03</v>
      </c>
      <c r="BI299" s="3" t="n">
        <v>0</v>
      </c>
      <c r="BJ299" s="4" t="n">
        <f aca="false">IF(OR(BH299="",BI299=""),"",IFERROR(IF($K299="%",BI299-BH299,BI299/BH299-1),""))</f>
        <v>-0.03</v>
      </c>
      <c r="BK299" s="5" t="str">
        <f aca="false">IF(OR(BH299="",BI299=""),"",IF($F299="Maior Melhor",IF(BI299&gt;=BH299,"Sim","Não"),IF(BI299&lt;=BH299,"Sim","Não")))</f>
        <v>Sim</v>
      </c>
      <c r="BL299" s="6"/>
      <c r="BM299" s="6"/>
      <c r="BN299" s="4" t="str">
        <f aca="false">IF(OR(BL299="",BM299=""),"",IFERROR(IF($K299="%",BM299-BL299,BM299/BL299-1),""))</f>
        <v/>
      </c>
      <c r="BO299" s="5" t="str">
        <f aca="false">IF(OR(BL299="",BM299=""),"",IF($F299="Maior Melhor",IF(BM299&gt;=BL299,"Sim","Não"),IF(BM299&lt;=BL299,"Sim","Não")))</f>
        <v/>
      </c>
      <c r="BP299" s="6"/>
      <c r="BQ299" s="6"/>
      <c r="BR299" s="4" t="str">
        <f aca="false">IF(OR(BP299="",BQ299=""),"",IFERROR(IF($K299="%",BQ299-BP299,BQ299/BP299-1),""))</f>
        <v/>
      </c>
      <c r="BS299" s="5" t="str">
        <f aca="false">IF(OR(BP299="",BQ299=""),"",IF($F299="Maior Melhor",IF(BQ299&gt;=BP299,"Sim","Não"),IF(BQ299&lt;=BP299,"Sim","Não")))</f>
        <v/>
      </c>
      <c r="BT299" s="6"/>
      <c r="BU299" s="6"/>
      <c r="BV299" s="4" t="str">
        <f aca="false">IF(OR(BT299="",BU299=""),"",IFERROR(IF($K299="%",BU299-BT299,BU299/BT299-1),""))</f>
        <v/>
      </c>
      <c r="BW299" s="5" t="str">
        <f aca="false">IF(OR(BT299="",BU299=""),"",IF($F299="Maior Melhor",IF(BU299&gt;=BT299,"Sim","Não"),IF(BU299&lt;=BT299,"Sim","Não")))</f>
        <v/>
      </c>
      <c r="BX299" s="6"/>
      <c r="BY299" s="6"/>
      <c r="BZ299" s="4" t="str">
        <f aca="false">IF(OR(BX299="",BY299=""),"",IFERROR(IF($K299="%",BY299-BX299,BY299/BX299-1),""))</f>
        <v/>
      </c>
      <c r="CA299" s="5" t="str">
        <f aca="false">IF(OR(BX299="",BY299=""),"",IF($F299="Maior Melhor",IF(BY299&gt;=BX299,"Sim","Não"),IF(BY299&lt;=BX299,"Sim","Não")))</f>
        <v/>
      </c>
      <c r="CB299" s="6"/>
      <c r="CC299" s="6"/>
      <c r="CD299" s="4" t="str">
        <f aca="false">IF(OR(CB299="",CC299=""),"",IFERROR(IF($K299="%",CC299-CB299,CC299/CB299-1),""))</f>
        <v/>
      </c>
      <c r="CE299" s="5" t="str">
        <f aca="false">IF(OR(CB299="",CC299=""),"",IF($F299="Maior Melhor",IF(CC299&gt;=CB299,"Sim","Não"),IF(CC299&lt;=CB299,"Sim","Não")))</f>
        <v/>
      </c>
      <c r="CF299" s="6"/>
      <c r="CG299" s="6"/>
      <c r="CH299" s="4" t="str">
        <f aca="false">IF(OR(CF299="",CG299=""),"",IFERROR(IF($K299="%",CG299-CF299,CG299/CF299-1),""))</f>
        <v/>
      </c>
      <c r="CI299" s="5" t="str">
        <f aca="false">IF(OR(CF299="",CG299=""),"",IF($F299="Maior Melhor",IF(CG299&gt;=CF299,"Sim","Não"),IF(CG299&lt;=CF299,"Sim","Não")))</f>
        <v/>
      </c>
      <c r="CJ299" s="6"/>
      <c r="CK299" s="6"/>
      <c r="CL299" s="4" t="str">
        <f aca="false">IF(OR(CJ299="",CK299=""),"",IFERROR(IF($K299="%",CK299-CJ299,CK299/CJ299-1),""))</f>
        <v/>
      </c>
      <c r="CM299" s="5" t="str">
        <f aca="false">IF(OR(CJ299="",CK299=""),"",IF($F299="Maior Melhor",IF(CK299&gt;=CJ299,"Sim","Não"),IF(CK299&lt;=CJ299,"Sim","Não")))</f>
        <v/>
      </c>
      <c r="CN299" s="6"/>
      <c r="CO299" s="6"/>
      <c r="CP299" s="4" t="str">
        <f aca="false">IF(OR(CN299="",CO299=""),"",IFERROR(IF($K299="%",CO299-CN299,CO299/CN299-1),""))</f>
        <v/>
      </c>
      <c r="CQ299" s="5" t="str">
        <f aca="false">IF(OR(CN299="",CO299=""),"",IF($F299="Maior Melhor",IF(CO299&gt;=CN299,"Sim","Não"),IF(CO299&lt;=CN299,"Sim","Não")))</f>
        <v/>
      </c>
      <c r="CR299" s="2" t="s">
        <v>105</v>
      </c>
    </row>
    <row r="300" customFormat="false" ht="15" hidden="false" customHeight="false" outlineLevel="0" collapsed="false">
      <c r="A300" s="2" t="s">
        <v>161</v>
      </c>
      <c r="B300" s="2" t="s">
        <v>97</v>
      </c>
      <c r="C300" s="2" t="s">
        <v>122</v>
      </c>
      <c r="D300" s="2" t="s">
        <v>194</v>
      </c>
      <c r="E300" s="2" t="str">
        <f aca="false">C300&amp;D300</f>
        <v>UTD ITABERABAQuantidade de notas reguladas Pendentes FP</v>
      </c>
      <c r="F300" s="2" t="s">
        <v>167</v>
      </c>
      <c r="G300" s="2" t="s">
        <v>195</v>
      </c>
      <c r="H300" s="2" t="s">
        <v>102</v>
      </c>
      <c r="I300" s="2" t="s">
        <v>169</v>
      </c>
      <c r="J300" s="2" t="n">
        <v>1</v>
      </c>
      <c r="K300" s="2" t="s">
        <v>104</v>
      </c>
      <c r="L300" s="3" t="n">
        <v>0.03</v>
      </c>
      <c r="M300" s="3" t="n">
        <v>0.118</v>
      </c>
      <c r="N300" s="4" t="n">
        <f aca="false">IF(OR(L300="",M300=""),"",IFERROR(IF($K300="%",M300-L300,M300/L300-1),""))</f>
        <v>0.088</v>
      </c>
      <c r="O300" s="5" t="str">
        <f aca="false">IF(OR(L300="",M300=""),"",IF($F300="Maior Melhor",IF(M300&gt;=L300,"Sim","Não"),IF(M300&lt;=L300,"Sim","Não")))</f>
        <v>Não</v>
      </c>
      <c r="P300" s="3" t="n">
        <v>0.03</v>
      </c>
      <c r="Q300" s="3" t="n">
        <v>0.088</v>
      </c>
      <c r="R300" s="4" t="n">
        <f aca="false">IF(OR(P300="",Q300=""),"",IFERROR(IF($K300="%",Q300-P300,Q300/P300-1),""))</f>
        <v>0.058</v>
      </c>
      <c r="S300" s="5" t="str">
        <f aca="false">IF(OR(P300="",Q300=""),"",IF($F300="Maior Melhor",IF(Q300&gt;=P300,"Sim","Não"),IF(Q300&lt;=P300,"Sim","Não")))</f>
        <v>Não</v>
      </c>
      <c r="T300" s="3" t="n">
        <v>0.03</v>
      </c>
      <c r="U300" s="3" t="n">
        <v>0.062</v>
      </c>
      <c r="V300" s="4" t="n">
        <f aca="false">IF(OR(T300="",U300=""),"",IFERROR(IF($K300="%",U300-T300,U300/T300-1),""))</f>
        <v>0.032</v>
      </c>
      <c r="W300" s="5" t="str">
        <f aca="false">IF(OR(T300="",U300=""),"",IF($F300="Maior Melhor",IF(U300&gt;=T300,"Sim","Não"),IF(U300&lt;=T300,"Sim","Não")))</f>
        <v>Não</v>
      </c>
      <c r="X300" s="3" t="n">
        <v>0.03</v>
      </c>
      <c r="Y300" s="3" t="n">
        <v>0.0204</v>
      </c>
      <c r="Z300" s="4" t="n">
        <f aca="false">IF(OR(X300="",Y300=""),"",IFERROR(IF($K300="%",Y300-X300,Y300/X300-1),""))</f>
        <v>-0.0096</v>
      </c>
      <c r="AA300" s="5" t="str">
        <f aca="false">IF(OR(X300="",Y300=""),"",IF($F300="Maior Melhor",IF(Y300&gt;=X300,"Sim","Não"),IF(Y300&lt;=X300,"Sim","Não")))</f>
        <v>Sim</v>
      </c>
      <c r="AB300" s="3" t="n">
        <v>0.03</v>
      </c>
      <c r="AC300" s="3" t="n">
        <v>0.0204</v>
      </c>
      <c r="AD300" s="4" t="n">
        <f aca="false">IF(OR(AB300="",AC300=""),"",IFERROR(IF($K300="%",AC300-AB300,AC300/AB300-1),""))</f>
        <v>-0.0096</v>
      </c>
      <c r="AE300" s="5" t="str">
        <f aca="false">IF(OR(AB300="",AC300=""),"",IF($F300="Maior Melhor",IF(AC300&gt;=AB300,"Sim","Não"),IF(AC300&lt;=AB300,"Sim","Não")))</f>
        <v>Sim</v>
      </c>
      <c r="AF300" s="3" t="n">
        <v>0.03</v>
      </c>
      <c r="AG300" s="3" t="n">
        <v>0</v>
      </c>
      <c r="AH300" s="4" t="n">
        <f aca="false">IF(OR(AF300="",AG300=""),"",IFERROR(IF($K300="%",AG300-AF300,AG300/AF300-1),""))</f>
        <v>-0.03</v>
      </c>
      <c r="AI300" s="5" t="str">
        <f aca="false">IF(OR(AF300="",AG300=""),"",IF($F300="Maior Melhor",IF(AG300&gt;=AF300,"Sim","Não"),IF(AG300&lt;=AF300,"Sim","Não")))</f>
        <v>Sim</v>
      </c>
      <c r="AJ300" s="3" t="n">
        <v>0.03</v>
      </c>
      <c r="AK300" s="3" t="n">
        <v>0</v>
      </c>
      <c r="AL300" s="4" t="n">
        <f aca="false">IF(OR(AJ300="",AK300=""),"",IFERROR(IF($K300="%",AK300-AJ300,AK300/AJ300-1),""))</f>
        <v>-0.03</v>
      </c>
      <c r="AM300" s="5" t="str">
        <f aca="false">IF(OR(AJ300="",AK300=""),"",IF($F300="Maior Melhor",IF(AK300&gt;=AJ300,"Sim","Não"),IF(AK300&lt;=AJ300,"Sim","Não")))</f>
        <v>Sim</v>
      </c>
      <c r="AN300" s="3" t="n">
        <v>0.03</v>
      </c>
      <c r="AO300" s="3" t="n">
        <v>0.003389831</v>
      </c>
      <c r="AP300" s="4" t="n">
        <f aca="false">IF(OR(AN300="",AO300=""),"",IFERROR(IF($K300="%",AO300-AN300,AO300/AN300-1),""))</f>
        <v>-0.026610169</v>
      </c>
      <c r="AQ300" s="5" t="str">
        <f aca="false">IF(OR(AN300="",AO300=""),"",IF($F300="Maior Melhor",IF(AO300&gt;=AN300,"Sim","Não"),IF(AO300&lt;=AN300,"Sim","Não")))</f>
        <v>Sim</v>
      </c>
      <c r="AR300" s="3" t="n">
        <v>0.03</v>
      </c>
      <c r="AS300" s="3" t="n">
        <v>0.003389831</v>
      </c>
      <c r="AT300" s="4" t="n">
        <f aca="false">IF(OR(AR300="",AS300=""),"",IFERROR(IF($K300="%",AS300-AR300,AS300/AR300-1),""))</f>
        <v>-0.026610169</v>
      </c>
      <c r="AU300" s="5" t="str">
        <f aca="false">IF(OR(AR300="",AS300=""),"",IF($F300="Maior Melhor",IF(AS300&gt;=AR300,"Sim","Não"),IF(AS300&lt;=AR300,"Sim","Não")))</f>
        <v>Sim</v>
      </c>
      <c r="AV300" s="3" t="n">
        <v>0.03</v>
      </c>
      <c r="AW300" s="3" t="n">
        <v>0.003</v>
      </c>
      <c r="AX300" s="4" t="n">
        <f aca="false">IF(OR(AV300="",AW300=""),"",IFERROR(IF($K300="%",AW300-AV300,AW300/AV300-1),""))</f>
        <v>-0.027</v>
      </c>
      <c r="AY300" s="5" t="str">
        <f aca="false">IF(OR(AV300="",AW300=""),"",IF($F300="Maior Melhor",IF(AW300&gt;=AV300,"Sim","Não"),IF(AW300&lt;=AV300,"Sim","Não")))</f>
        <v>Sim</v>
      </c>
      <c r="AZ300" s="3" t="n">
        <v>0.03</v>
      </c>
      <c r="BA300" s="3" t="n">
        <v>0.003</v>
      </c>
      <c r="BB300" s="4" t="n">
        <f aca="false">IF(OR(AZ300="",BA300=""),"",IFERROR(IF($K300="%",BA300-AZ300,BA300/AZ300-1),""))</f>
        <v>-0.027</v>
      </c>
      <c r="BC300" s="5" t="str">
        <f aca="false">IF(OR(AZ300="",BA300=""),"",IF($F300="Maior Melhor",IF(BA300&gt;=AZ300,"Sim","Não"),IF(BA300&lt;=AZ300,"Sim","Não")))</f>
        <v>Sim</v>
      </c>
      <c r="BD300" s="3" t="n">
        <v>0.03</v>
      </c>
      <c r="BE300" s="3" t="n">
        <v>0</v>
      </c>
      <c r="BF300" s="4" t="n">
        <f aca="false">IF(OR(BD300="",BE300=""),"",IFERROR(IF($K300="%",BE300-BD300,BE300/BD300-1),""))</f>
        <v>-0.03</v>
      </c>
      <c r="BG300" s="5" t="str">
        <f aca="false">IF(OR(BD300="",BE300=""),"",IF($F300="Maior Melhor",IF(BE300&gt;=BD300,"Sim","Não"),IF(BE300&lt;=BD300,"Sim","Não")))</f>
        <v>Sim</v>
      </c>
      <c r="BH300" s="3" t="n">
        <v>0.03</v>
      </c>
      <c r="BI300" s="3" t="n">
        <v>0</v>
      </c>
      <c r="BJ300" s="4" t="n">
        <f aca="false">IF(OR(BH300="",BI300=""),"",IFERROR(IF($K300="%",BI300-BH300,BI300/BH300-1),""))</f>
        <v>-0.03</v>
      </c>
      <c r="BK300" s="5" t="str">
        <f aca="false">IF(OR(BH300="",BI300=""),"",IF($F300="Maior Melhor",IF(BI300&gt;=BH300,"Sim","Não"),IF(BI300&lt;=BH300,"Sim","Não")))</f>
        <v>Sim</v>
      </c>
      <c r="BL300" s="6"/>
      <c r="BM300" s="6"/>
      <c r="BN300" s="4" t="str">
        <f aca="false">IF(OR(BL300="",BM300=""),"",IFERROR(IF($K300="%",BM300-BL300,BM300/BL300-1),""))</f>
        <v/>
      </c>
      <c r="BO300" s="5" t="str">
        <f aca="false">IF(OR(BL300="",BM300=""),"",IF($F300="Maior Melhor",IF(BM300&gt;=BL300,"Sim","Não"),IF(BM300&lt;=BL300,"Sim","Não")))</f>
        <v/>
      </c>
      <c r="BP300" s="6"/>
      <c r="BQ300" s="6"/>
      <c r="BR300" s="4" t="str">
        <f aca="false">IF(OR(BP300="",BQ300=""),"",IFERROR(IF($K300="%",BQ300-BP300,BQ300/BP300-1),""))</f>
        <v/>
      </c>
      <c r="BS300" s="5" t="str">
        <f aca="false">IF(OR(BP300="",BQ300=""),"",IF($F300="Maior Melhor",IF(BQ300&gt;=BP300,"Sim","Não"),IF(BQ300&lt;=BP300,"Sim","Não")))</f>
        <v/>
      </c>
      <c r="BT300" s="6"/>
      <c r="BU300" s="6"/>
      <c r="BV300" s="4" t="str">
        <f aca="false">IF(OR(BT300="",BU300=""),"",IFERROR(IF($K300="%",BU300-BT300,BU300/BT300-1),""))</f>
        <v/>
      </c>
      <c r="BW300" s="5" t="str">
        <f aca="false">IF(OR(BT300="",BU300=""),"",IF($F300="Maior Melhor",IF(BU300&gt;=BT300,"Sim","Não"),IF(BU300&lt;=BT300,"Sim","Não")))</f>
        <v/>
      </c>
      <c r="BX300" s="6"/>
      <c r="BY300" s="6"/>
      <c r="BZ300" s="4" t="str">
        <f aca="false">IF(OR(BX300="",BY300=""),"",IFERROR(IF($K300="%",BY300-BX300,BY300/BX300-1),""))</f>
        <v/>
      </c>
      <c r="CA300" s="5" t="str">
        <f aca="false">IF(OR(BX300="",BY300=""),"",IF($F300="Maior Melhor",IF(BY300&gt;=BX300,"Sim","Não"),IF(BY300&lt;=BX300,"Sim","Não")))</f>
        <v/>
      </c>
      <c r="CB300" s="6"/>
      <c r="CC300" s="6"/>
      <c r="CD300" s="4" t="str">
        <f aca="false">IF(OR(CB300="",CC300=""),"",IFERROR(IF($K300="%",CC300-CB300,CC300/CB300-1),""))</f>
        <v/>
      </c>
      <c r="CE300" s="5" t="str">
        <f aca="false">IF(OR(CB300="",CC300=""),"",IF($F300="Maior Melhor",IF(CC300&gt;=CB300,"Sim","Não"),IF(CC300&lt;=CB300,"Sim","Não")))</f>
        <v/>
      </c>
      <c r="CF300" s="6"/>
      <c r="CG300" s="6"/>
      <c r="CH300" s="4" t="str">
        <f aca="false">IF(OR(CF300="",CG300=""),"",IFERROR(IF($K300="%",CG300-CF300,CG300/CF300-1),""))</f>
        <v/>
      </c>
      <c r="CI300" s="5" t="str">
        <f aca="false">IF(OR(CF300="",CG300=""),"",IF($F300="Maior Melhor",IF(CG300&gt;=CF300,"Sim","Não"),IF(CG300&lt;=CF300,"Sim","Não")))</f>
        <v/>
      </c>
      <c r="CJ300" s="6"/>
      <c r="CK300" s="6"/>
      <c r="CL300" s="4" t="str">
        <f aca="false">IF(OR(CJ300="",CK300=""),"",IFERROR(IF($K300="%",CK300-CJ300,CK300/CJ300-1),""))</f>
        <v/>
      </c>
      <c r="CM300" s="5" t="str">
        <f aca="false">IF(OR(CJ300="",CK300=""),"",IF($F300="Maior Melhor",IF(CK300&gt;=CJ300,"Sim","Não"),IF(CK300&lt;=CJ300,"Sim","Não")))</f>
        <v/>
      </c>
      <c r="CN300" s="6"/>
      <c r="CO300" s="6"/>
      <c r="CP300" s="4" t="str">
        <f aca="false">IF(OR(CN300="",CO300=""),"",IFERROR(IF($K300="%",CO300-CN300,CO300/CN300-1),""))</f>
        <v/>
      </c>
      <c r="CQ300" s="5" t="str">
        <f aca="false">IF(OR(CN300="",CO300=""),"",IF($F300="Maior Melhor",IF(CO300&gt;=CN300,"Sim","Não"),IF(CO300&lt;=CN300,"Sim","Não")))</f>
        <v/>
      </c>
      <c r="CR300" s="2" t="s">
        <v>123</v>
      </c>
    </row>
    <row r="301" customFormat="false" ht="15" hidden="false" customHeight="false" outlineLevel="0" collapsed="false">
      <c r="A301" s="2" t="s">
        <v>161</v>
      </c>
      <c r="B301" s="2" t="s">
        <v>108</v>
      </c>
      <c r="C301" s="2" t="s">
        <v>124</v>
      </c>
      <c r="D301" s="2" t="s">
        <v>194</v>
      </c>
      <c r="E301" s="2" t="str">
        <f aca="false">C301&amp;D301</f>
        <v>UTD ITAPETINGAQuantidade de notas reguladas Pendentes FP</v>
      </c>
      <c r="F301" s="2" t="s">
        <v>167</v>
      </c>
      <c r="G301" s="2" t="s">
        <v>195</v>
      </c>
      <c r="H301" s="2" t="s">
        <v>102</v>
      </c>
      <c r="I301" s="2" t="s">
        <v>169</v>
      </c>
      <c r="J301" s="2" t="n">
        <v>1</v>
      </c>
      <c r="K301" s="2" t="s">
        <v>104</v>
      </c>
      <c r="L301" s="3" t="n">
        <v>0.03</v>
      </c>
      <c r="M301" s="3" t="n">
        <v>0.093</v>
      </c>
      <c r="N301" s="4" t="n">
        <f aca="false">IF(OR(L301="",M301=""),"",IFERROR(IF($K301="%",M301-L301,M301/L301-1),""))</f>
        <v>0.063</v>
      </c>
      <c r="O301" s="5" t="str">
        <f aca="false">IF(OR(L301="",M301=""),"",IF($F301="Maior Melhor",IF(M301&gt;=L301,"Sim","Não"),IF(M301&lt;=L301,"Sim","Não")))</f>
        <v>Não</v>
      </c>
      <c r="P301" s="3" t="n">
        <v>0.03</v>
      </c>
      <c r="Q301" s="3" t="n">
        <v>0.107</v>
      </c>
      <c r="R301" s="4" t="n">
        <f aca="false">IF(OR(P301="",Q301=""),"",IFERROR(IF($K301="%",Q301-P301,Q301/P301-1),""))</f>
        <v>0.077</v>
      </c>
      <c r="S301" s="5" t="str">
        <f aca="false">IF(OR(P301="",Q301=""),"",IF($F301="Maior Melhor",IF(Q301&gt;=P301,"Sim","Não"),IF(Q301&lt;=P301,"Sim","Não")))</f>
        <v>Não</v>
      </c>
      <c r="T301" s="3" t="n">
        <v>0.03</v>
      </c>
      <c r="U301" s="3" t="n">
        <v>0.1</v>
      </c>
      <c r="V301" s="4" t="n">
        <f aca="false">IF(OR(T301="",U301=""),"",IFERROR(IF($K301="%",U301-T301,U301/T301-1),""))</f>
        <v>0.07</v>
      </c>
      <c r="W301" s="5" t="str">
        <f aca="false">IF(OR(T301="",U301=""),"",IF($F301="Maior Melhor",IF(U301&gt;=T301,"Sim","Não"),IF(U301&lt;=T301,"Sim","Não")))</f>
        <v>Não</v>
      </c>
      <c r="X301" s="3" t="n">
        <v>0.03</v>
      </c>
      <c r="Y301" s="3" t="n">
        <v>0.0115</v>
      </c>
      <c r="Z301" s="4" t="n">
        <f aca="false">IF(OR(X301="",Y301=""),"",IFERROR(IF($K301="%",Y301-X301,Y301/X301-1),""))</f>
        <v>-0.0185</v>
      </c>
      <c r="AA301" s="5" t="str">
        <f aca="false">IF(OR(X301="",Y301=""),"",IF($F301="Maior Melhor",IF(Y301&gt;=X301,"Sim","Não"),IF(Y301&lt;=X301,"Sim","Não")))</f>
        <v>Sim</v>
      </c>
      <c r="AB301" s="3" t="n">
        <v>0.03</v>
      </c>
      <c r="AC301" s="3" t="n">
        <v>0.0115</v>
      </c>
      <c r="AD301" s="4" t="n">
        <f aca="false">IF(OR(AB301="",AC301=""),"",IFERROR(IF($K301="%",AC301-AB301,AC301/AB301-1),""))</f>
        <v>-0.0185</v>
      </c>
      <c r="AE301" s="5" t="str">
        <f aca="false">IF(OR(AB301="",AC301=""),"",IF($F301="Maior Melhor",IF(AC301&gt;=AB301,"Sim","Não"),IF(AC301&lt;=AB301,"Sim","Não")))</f>
        <v>Sim</v>
      </c>
      <c r="AF301" s="3" t="n">
        <v>0.03</v>
      </c>
      <c r="AG301" s="3" t="n">
        <v>0.03</v>
      </c>
      <c r="AH301" s="4" t="n">
        <f aca="false">IF(OR(AF301="",AG301=""),"",IFERROR(IF($K301="%",AG301-AF301,AG301/AF301-1),""))</f>
        <v>0</v>
      </c>
      <c r="AI301" s="5" t="str">
        <f aca="false">IF(OR(AF301="",AG301=""),"",IF($F301="Maior Melhor",IF(AG301&gt;=AF301,"Sim","Não"),IF(AG301&lt;=AF301,"Sim","Não")))</f>
        <v>Sim</v>
      </c>
      <c r="AJ301" s="3" t="n">
        <v>0.03</v>
      </c>
      <c r="AK301" s="3" t="n">
        <v>0.03</v>
      </c>
      <c r="AL301" s="4" t="n">
        <f aca="false">IF(OR(AJ301="",AK301=""),"",IFERROR(IF($K301="%",AK301-AJ301,AK301/AJ301-1),""))</f>
        <v>0</v>
      </c>
      <c r="AM301" s="5" t="str">
        <f aca="false">IF(OR(AJ301="",AK301=""),"",IF($F301="Maior Melhor",IF(AK301&gt;=AJ301,"Sim","Não"),IF(AK301&lt;=AJ301,"Sim","Não")))</f>
        <v>Sim</v>
      </c>
      <c r="AN301" s="3" t="n">
        <v>0.03</v>
      </c>
      <c r="AO301" s="3" t="n">
        <v>0.086614173</v>
      </c>
      <c r="AP301" s="4" t="n">
        <f aca="false">IF(OR(AN301="",AO301=""),"",IFERROR(IF($K301="%",AO301-AN301,AO301/AN301-1),""))</f>
        <v>0.056614173</v>
      </c>
      <c r="AQ301" s="5" t="str">
        <f aca="false">IF(OR(AN301="",AO301=""),"",IF($F301="Maior Melhor",IF(AO301&gt;=AN301,"Sim","Não"),IF(AO301&lt;=AN301,"Sim","Não")))</f>
        <v>Não</v>
      </c>
      <c r="AR301" s="3" t="n">
        <v>0.03</v>
      </c>
      <c r="AS301" s="3" t="n">
        <v>0.086614173</v>
      </c>
      <c r="AT301" s="4" t="n">
        <f aca="false">IF(OR(AR301="",AS301=""),"",IFERROR(IF($K301="%",AS301-AR301,AS301/AR301-1),""))</f>
        <v>0.056614173</v>
      </c>
      <c r="AU301" s="5" t="str">
        <f aca="false">IF(OR(AR301="",AS301=""),"",IF($F301="Maior Melhor",IF(AS301&gt;=AR301,"Sim","Não"),IF(AS301&lt;=AR301,"Sim","Não")))</f>
        <v>Não</v>
      </c>
      <c r="AV301" s="3" t="n">
        <v>0.03</v>
      </c>
      <c r="AW301" s="3" t="n">
        <v>0.012</v>
      </c>
      <c r="AX301" s="4" t="n">
        <f aca="false">IF(OR(AV301="",AW301=""),"",IFERROR(IF($K301="%",AW301-AV301,AW301/AV301-1),""))</f>
        <v>-0.018</v>
      </c>
      <c r="AY301" s="5" t="str">
        <f aca="false">IF(OR(AV301="",AW301=""),"",IF($F301="Maior Melhor",IF(AW301&gt;=AV301,"Sim","Não"),IF(AW301&lt;=AV301,"Sim","Não")))</f>
        <v>Sim</v>
      </c>
      <c r="AZ301" s="3" t="n">
        <v>0.03</v>
      </c>
      <c r="BA301" s="3" t="n">
        <v>0.012</v>
      </c>
      <c r="BB301" s="4" t="n">
        <f aca="false">IF(OR(AZ301="",BA301=""),"",IFERROR(IF($K301="%",BA301-AZ301,BA301/AZ301-1),""))</f>
        <v>-0.018</v>
      </c>
      <c r="BC301" s="5" t="str">
        <f aca="false">IF(OR(AZ301="",BA301=""),"",IF($F301="Maior Melhor",IF(BA301&gt;=AZ301,"Sim","Não"),IF(BA301&lt;=AZ301,"Sim","Não")))</f>
        <v>Sim</v>
      </c>
      <c r="BD301" s="3" t="n">
        <v>0.03</v>
      </c>
      <c r="BE301" s="3" t="n">
        <v>0.005181347</v>
      </c>
      <c r="BF301" s="4" t="n">
        <f aca="false">IF(OR(BD301="",BE301=""),"",IFERROR(IF($K301="%",BE301-BD301,BE301/BD301-1),""))</f>
        <v>-0.024818653</v>
      </c>
      <c r="BG301" s="5" t="str">
        <f aca="false">IF(OR(BD301="",BE301=""),"",IF($F301="Maior Melhor",IF(BE301&gt;=BD301,"Sim","Não"),IF(BE301&lt;=BD301,"Sim","Não")))</f>
        <v>Sim</v>
      </c>
      <c r="BH301" s="3" t="n">
        <v>0.03</v>
      </c>
      <c r="BI301" s="3" t="n">
        <v>0.005181347</v>
      </c>
      <c r="BJ301" s="4" t="n">
        <f aca="false">IF(OR(BH301="",BI301=""),"",IFERROR(IF($K301="%",BI301-BH301,BI301/BH301-1),""))</f>
        <v>-0.024818653</v>
      </c>
      <c r="BK301" s="5" t="str">
        <f aca="false">IF(OR(BH301="",BI301=""),"",IF($F301="Maior Melhor",IF(BI301&gt;=BH301,"Sim","Não"),IF(BI301&lt;=BH301,"Sim","Não")))</f>
        <v>Sim</v>
      </c>
      <c r="BL301" s="6"/>
      <c r="BM301" s="6"/>
      <c r="BN301" s="4" t="str">
        <f aca="false">IF(OR(BL301="",BM301=""),"",IFERROR(IF($K301="%",BM301-BL301,BM301/BL301-1),""))</f>
        <v/>
      </c>
      <c r="BO301" s="5" t="str">
        <f aca="false">IF(OR(BL301="",BM301=""),"",IF($F301="Maior Melhor",IF(BM301&gt;=BL301,"Sim","Não"),IF(BM301&lt;=BL301,"Sim","Não")))</f>
        <v/>
      </c>
      <c r="BP301" s="6"/>
      <c r="BQ301" s="6"/>
      <c r="BR301" s="4" t="str">
        <f aca="false">IF(OR(BP301="",BQ301=""),"",IFERROR(IF($K301="%",BQ301-BP301,BQ301/BP301-1),""))</f>
        <v/>
      </c>
      <c r="BS301" s="5" t="str">
        <f aca="false">IF(OR(BP301="",BQ301=""),"",IF($F301="Maior Melhor",IF(BQ301&gt;=BP301,"Sim","Não"),IF(BQ301&lt;=BP301,"Sim","Não")))</f>
        <v/>
      </c>
      <c r="BT301" s="6"/>
      <c r="BU301" s="6"/>
      <c r="BV301" s="4" t="str">
        <f aca="false">IF(OR(BT301="",BU301=""),"",IFERROR(IF($K301="%",BU301-BT301,BU301/BT301-1),""))</f>
        <v/>
      </c>
      <c r="BW301" s="5" t="str">
        <f aca="false">IF(OR(BT301="",BU301=""),"",IF($F301="Maior Melhor",IF(BU301&gt;=BT301,"Sim","Não"),IF(BU301&lt;=BT301,"Sim","Não")))</f>
        <v/>
      </c>
      <c r="BX301" s="6"/>
      <c r="BY301" s="6"/>
      <c r="BZ301" s="4" t="str">
        <f aca="false">IF(OR(BX301="",BY301=""),"",IFERROR(IF($K301="%",BY301-BX301,BY301/BX301-1),""))</f>
        <v/>
      </c>
      <c r="CA301" s="5" t="str">
        <f aca="false">IF(OR(BX301="",BY301=""),"",IF($F301="Maior Melhor",IF(BY301&gt;=BX301,"Sim","Não"),IF(BY301&lt;=BX301,"Sim","Não")))</f>
        <v/>
      </c>
      <c r="CB301" s="6"/>
      <c r="CC301" s="6"/>
      <c r="CD301" s="4" t="str">
        <f aca="false">IF(OR(CB301="",CC301=""),"",IFERROR(IF($K301="%",CC301-CB301,CC301/CB301-1),""))</f>
        <v/>
      </c>
      <c r="CE301" s="5" t="str">
        <f aca="false">IF(OR(CB301="",CC301=""),"",IF($F301="Maior Melhor",IF(CC301&gt;=CB301,"Sim","Não"),IF(CC301&lt;=CB301,"Sim","Não")))</f>
        <v/>
      </c>
      <c r="CF301" s="6"/>
      <c r="CG301" s="6"/>
      <c r="CH301" s="4" t="str">
        <f aca="false">IF(OR(CF301="",CG301=""),"",IFERROR(IF($K301="%",CG301-CF301,CG301/CF301-1),""))</f>
        <v/>
      </c>
      <c r="CI301" s="5" t="str">
        <f aca="false">IF(OR(CF301="",CG301=""),"",IF($F301="Maior Melhor",IF(CG301&gt;=CF301,"Sim","Não"),IF(CG301&lt;=CF301,"Sim","Não")))</f>
        <v/>
      </c>
      <c r="CJ301" s="6"/>
      <c r="CK301" s="6"/>
      <c r="CL301" s="4" t="str">
        <f aca="false">IF(OR(CJ301="",CK301=""),"",IFERROR(IF($K301="%",CK301-CJ301,CK301/CJ301-1),""))</f>
        <v/>
      </c>
      <c r="CM301" s="5" t="str">
        <f aca="false">IF(OR(CJ301="",CK301=""),"",IF($F301="Maior Melhor",IF(CK301&gt;=CJ301,"Sim","Não"),IF(CK301&lt;=CJ301,"Sim","Não")))</f>
        <v/>
      </c>
      <c r="CN301" s="6"/>
      <c r="CO301" s="6"/>
      <c r="CP301" s="4" t="str">
        <f aca="false">IF(OR(CN301="",CO301=""),"",IFERROR(IF($K301="%",CO301-CN301,CO301/CN301-1),""))</f>
        <v/>
      </c>
      <c r="CQ301" s="5" t="str">
        <f aca="false">IF(OR(CN301="",CO301=""),"",IF($F301="Maior Melhor",IF(CO301&gt;=CN301,"Sim","Não"),IF(CO301&lt;=CN301,"Sim","Não")))</f>
        <v/>
      </c>
      <c r="CR301" s="2" t="s">
        <v>105</v>
      </c>
    </row>
    <row r="302" customFormat="false" ht="15" hidden="false" customHeight="false" outlineLevel="0" collapsed="false">
      <c r="A302" s="2" t="s">
        <v>161</v>
      </c>
      <c r="B302" s="2" t="s">
        <v>97</v>
      </c>
      <c r="C302" s="2" t="s">
        <v>125</v>
      </c>
      <c r="D302" s="2" t="s">
        <v>194</v>
      </c>
      <c r="E302" s="2" t="str">
        <f aca="false">C302&amp;D302</f>
        <v>UTD JEQUIÉQuantidade de notas reguladas Pendentes FP</v>
      </c>
      <c r="F302" s="2" t="s">
        <v>167</v>
      </c>
      <c r="G302" s="2" t="s">
        <v>195</v>
      </c>
      <c r="H302" s="2" t="s">
        <v>102</v>
      </c>
      <c r="I302" s="2" t="s">
        <v>169</v>
      </c>
      <c r="J302" s="2" t="n">
        <v>1</v>
      </c>
      <c r="K302" s="2" t="s">
        <v>104</v>
      </c>
      <c r="L302" s="3" t="n">
        <v>0.03</v>
      </c>
      <c r="M302" s="3" t="n">
        <v>0.013</v>
      </c>
      <c r="N302" s="4" t="n">
        <f aca="false">IF(OR(L302="",M302=""),"",IFERROR(IF($K302="%",M302-L302,M302/L302-1),""))</f>
        <v>-0.017</v>
      </c>
      <c r="O302" s="5" t="str">
        <f aca="false">IF(OR(L302="",M302=""),"",IF($F302="Maior Melhor",IF(M302&gt;=L302,"Sim","Não"),IF(M302&lt;=L302,"Sim","Não")))</f>
        <v>Sim</v>
      </c>
      <c r="P302" s="3" t="n">
        <v>0.03</v>
      </c>
      <c r="Q302" s="3" t="n">
        <v>0.289</v>
      </c>
      <c r="R302" s="4" t="n">
        <f aca="false">IF(OR(P302="",Q302=""),"",IFERROR(IF($K302="%",Q302-P302,Q302/P302-1),""))</f>
        <v>0.259</v>
      </c>
      <c r="S302" s="5" t="str">
        <f aca="false">IF(OR(P302="",Q302=""),"",IF($F302="Maior Melhor",IF(Q302&gt;=P302,"Sim","Não"),IF(Q302&lt;=P302,"Sim","Não")))</f>
        <v>Não</v>
      </c>
      <c r="T302" s="3" t="n">
        <v>0.03</v>
      </c>
      <c r="U302" s="3" t="n">
        <v>0.243</v>
      </c>
      <c r="V302" s="4" t="n">
        <f aca="false">IF(OR(T302="",U302=""),"",IFERROR(IF($K302="%",U302-T302,U302/T302-1),""))</f>
        <v>0.213</v>
      </c>
      <c r="W302" s="5" t="str">
        <f aca="false">IF(OR(T302="",U302=""),"",IF($F302="Maior Melhor",IF(U302&gt;=T302,"Sim","Não"),IF(U302&lt;=T302,"Sim","Não")))</f>
        <v>Não</v>
      </c>
      <c r="X302" s="3" t="n">
        <v>0.03</v>
      </c>
      <c r="Y302" s="3" t="n">
        <v>0.0088</v>
      </c>
      <c r="Z302" s="4" t="n">
        <f aca="false">IF(OR(X302="",Y302=""),"",IFERROR(IF($K302="%",Y302-X302,Y302/X302-1),""))</f>
        <v>-0.0212</v>
      </c>
      <c r="AA302" s="5" t="str">
        <f aca="false">IF(OR(X302="",Y302=""),"",IF($F302="Maior Melhor",IF(Y302&gt;=X302,"Sim","Não"),IF(Y302&lt;=X302,"Sim","Não")))</f>
        <v>Sim</v>
      </c>
      <c r="AB302" s="3" t="n">
        <v>0.03</v>
      </c>
      <c r="AC302" s="3" t="n">
        <v>0.0088</v>
      </c>
      <c r="AD302" s="4" t="n">
        <f aca="false">IF(OR(AB302="",AC302=""),"",IFERROR(IF($K302="%",AC302-AB302,AC302/AB302-1),""))</f>
        <v>-0.0212</v>
      </c>
      <c r="AE302" s="5" t="str">
        <f aca="false">IF(OR(AB302="",AC302=""),"",IF($F302="Maior Melhor",IF(AC302&gt;=AB302,"Sim","Não"),IF(AC302&lt;=AB302,"Sim","Não")))</f>
        <v>Sim</v>
      </c>
      <c r="AF302" s="3" t="n">
        <v>0.03</v>
      </c>
      <c r="AG302" s="3" t="n">
        <v>0.007843137</v>
      </c>
      <c r="AH302" s="4" t="n">
        <f aca="false">IF(OR(AF302="",AG302=""),"",IFERROR(IF($K302="%",AG302-AF302,AG302/AF302-1),""))</f>
        <v>-0.022156863</v>
      </c>
      <c r="AI302" s="5" t="str">
        <f aca="false">IF(OR(AF302="",AG302=""),"",IF($F302="Maior Melhor",IF(AG302&gt;=AF302,"Sim","Não"),IF(AG302&lt;=AF302,"Sim","Não")))</f>
        <v>Sim</v>
      </c>
      <c r="AJ302" s="3" t="n">
        <v>0.03</v>
      </c>
      <c r="AK302" s="3" t="n">
        <v>0.007843137</v>
      </c>
      <c r="AL302" s="4" t="n">
        <f aca="false">IF(OR(AJ302="",AK302=""),"",IFERROR(IF($K302="%",AK302-AJ302,AK302/AJ302-1),""))</f>
        <v>-0.022156863</v>
      </c>
      <c r="AM302" s="5" t="str">
        <f aca="false">IF(OR(AJ302="",AK302=""),"",IF($F302="Maior Melhor",IF(AK302&gt;=AJ302,"Sim","Não"),IF(AK302&lt;=AJ302,"Sim","Não")))</f>
        <v>Sim</v>
      </c>
      <c r="AN302" s="3" t="n">
        <v>0.03</v>
      </c>
      <c r="AO302" s="3" t="n">
        <v>0.013745704</v>
      </c>
      <c r="AP302" s="4" t="n">
        <f aca="false">IF(OR(AN302="",AO302=""),"",IFERROR(IF($K302="%",AO302-AN302,AO302/AN302-1),""))</f>
        <v>-0.016254296</v>
      </c>
      <c r="AQ302" s="5" t="str">
        <f aca="false">IF(OR(AN302="",AO302=""),"",IF($F302="Maior Melhor",IF(AO302&gt;=AN302,"Sim","Não"),IF(AO302&lt;=AN302,"Sim","Não")))</f>
        <v>Sim</v>
      </c>
      <c r="AR302" s="3" t="n">
        <v>0.03</v>
      </c>
      <c r="AS302" s="3" t="n">
        <v>0.013745704</v>
      </c>
      <c r="AT302" s="4" t="n">
        <f aca="false">IF(OR(AR302="",AS302=""),"",IFERROR(IF($K302="%",AS302-AR302,AS302/AR302-1),""))</f>
        <v>-0.016254296</v>
      </c>
      <c r="AU302" s="5" t="str">
        <f aca="false">IF(OR(AR302="",AS302=""),"",IF($F302="Maior Melhor",IF(AS302&gt;=AR302,"Sim","Não"),IF(AS302&lt;=AR302,"Sim","Não")))</f>
        <v>Sim</v>
      </c>
      <c r="AV302" s="3" t="n">
        <v>0.03</v>
      </c>
      <c r="AW302" s="3" t="n">
        <v>0.008</v>
      </c>
      <c r="AX302" s="4" t="n">
        <f aca="false">IF(OR(AV302="",AW302=""),"",IFERROR(IF($K302="%",AW302-AV302,AW302/AV302-1),""))</f>
        <v>-0.022</v>
      </c>
      <c r="AY302" s="5" t="str">
        <f aca="false">IF(OR(AV302="",AW302=""),"",IF($F302="Maior Melhor",IF(AW302&gt;=AV302,"Sim","Não"),IF(AW302&lt;=AV302,"Sim","Não")))</f>
        <v>Sim</v>
      </c>
      <c r="AZ302" s="3" t="n">
        <v>0.03</v>
      </c>
      <c r="BA302" s="3" t="n">
        <v>0.008</v>
      </c>
      <c r="BB302" s="4" t="n">
        <f aca="false">IF(OR(AZ302="",BA302=""),"",IFERROR(IF($K302="%",BA302-AZ302,BA302/AZ302-1),""))</f>
        <v>-0.022</v>
      </c>
      <c r="BC302" s="5" t="str">
        <f aca="false">IF(OR(AZ302="",BA302=""),"",IF($F302="Maior Melhor",IF(BA302&gt;=AZ302,"Sim","Não"),IF(BA302&lt;=AZ302,"Sim","Não")))</f>
        <v>Sim</v>
      </c>
      <c r="BD302" s="3" t="n">
        <v>0.03</v>
      </c>
      <c r="BE302" s="3" t="n">
        <v>0.023489933</v>
      </c>
      <c r="BF302" s="4" t="n">
        <f aca="false">IF(OR(BD302="",BE302=""),"",IFERROR(IF($K302="%",BE302-BD302,BE302/BD302-1),""))</f>
        <v>-0.006510067</v>
      </c>
      <c r="BG302" s="5" t="str">
        <f aca="false">IF(OR(BD302="",BE302=""),"",IF($F302="Maior Melhor",IF(BE302&gt;=BD302,"Sim","Não"),IF(BE302&lt;=BD302,"Sim","Não")))</f>
        <v>Sim</v>
      </c>
      <c r="BH302" s="3" t="n">
        <v>0.03</v>
      </c>
      <c r="BI302" s="3" t="n">
        <v>0.023489933</v>
      </c>
      <c r="BJ302" s="4" t="n">
        <f aca="false">IF(OR(BH302="",BI302=""),"",IFERROR(IF($K302="%",BI302-BH302,BI302/BH302-1),""))</f>
        <v>-0.006510067</v>
      </c>
      <c r="BK302" s="5" t="str">
        <f aca="false">IF(OR(BH302="",BI302=""),"",IF($F302="Maior Melhor",IF(BI302&gt;=BH302,"Sim","Não"),IF(BI302&lt;=BH302,"Sim","Não")))</f>
        <v>Sim</v>
      </c>
      <c r="BL302" s="6"/>
      <c r="BM302" s="6"/>
      <c r="BN302" s="4" t="str">
        <f aca="false">IF(OR(BL302="",BM302=""),"",IFERROR(IF($K302="%",BM302-BL302,BM302/BL302-1),""))</f>
        <v/>
      </c>
      <c r="BO302" s="5" t="str">
        <f aca="false">IF(OR(BL302="",BM302=""),"",IF($F302="Maior Melhor",IF(BM302&gt;=BL302,"Sim","Não"),IF(BM302&lt;=BL302,"Sim","Não")))</f>
        <v/>
      </c>
      <c r="BP302" s="6"/>
      <c r="BQ302" s="6"/>
      <c r="BR302" s="4" t="str">
        <f aca="false">IF(OR(BP302="",BQ302=""),"",IFERROR(IF($K302="%",BQ302-BP302,BQ302/BP302-1),""))</f>
        <v/>
      </c>
      <c r="BS302" s="5" t="str">
        <f aca="false">IF(OR(BP302="",BQ302=""),"",IF($F302="Maior Melhor",IF(BQ302&gt;=BP302,"Sim","Não"),IF(BQ302&lt;=BP302,"Sim","Não")))</f>
        <v/>
      </c>
      <c r="BT302" s="6"/>
      <c r="BU302" s="6"/>
      <c r="BV302" s="4" t="str">
        <f aca="false">IF(OR(BT302="",BU302=""),"",IFERROR(IF($K302="%",BU302-BT302,BU302/BT302-1),""))</f>
        <v/>
      </c>
      <c r="BW302" s="5" t="str">
        <f aca="false">IF(OR(BT302="",BU302=""),"",IF($F302="Maior Melhor",IF(BU302&gt;=BT302,"Sim","Não"),IF(BU302&lt;=BT302,"Sim","Não")))</f>
        <v/>
      </c>
      <c r="BX302" s="6"/>
      <c r="BY302" s="6"/>
      <c r="BZ302" s="4" t="str">
        <f aca="false">IF(OR(BX302="",BY302=""),"",IFERROR(IF($K302="%",BY302-BX302,BY302/BX302-1),""))</f>
        <v/>
      </c>
      <c r="CA302" s="5" t="str">
        <f aca="false">IF(OR(BX302="",BY302=""),"",IF($F302="Maior Melhor",IF(BY302&gt;=BX302,"Sim","Não"),IF(BY302&lt;=BX302,"Sim","Não")))</f>
        <v/>
      </c>
      <c r="CB302" s="6"/>
      <c r="CC302" s="6"/>
      <c r="CD302" s="4" t="str">
        <f aca="false">IF(OR(CB302="",CC302=""),"",IFERROR(IF($K302="%",CC302-CB302,CC302/CB302-1),""))</f>
        <v/>
      </c>
      <c r="CE302" s="5" t="str">
        <f aca="false">IF(OR(CB302="",CC302=""),"",IF($F302="Maior Melhor",IF(CC302&gt;=CB302,"Sim","Não"),IF(CC302&lt;=CB302,"Sim","Não")))</f>
        <v/>
      </c>
      <c r="CF302" s="6"/>
      <c r="CG302" s="6"/>
      <c r="CH302" s="4" t="str">
        <f aca="false">IF(OR(CF302="",CG302=""),"",IFERROR(IF($K302="%",CG302-CF302,CG302/CF302-1),""))</f>
        <v/>
      </c>
      <c r="CI302" s="5" t="str">
        <f aca="false">IF(OR(CF302="",CG302=""),"",IF($F302="Maior Melhor",IF(CG302&gt;=CF302,"Sim","Não"),IF(CG302&lt;=CF302,"Sim","Não")))</f>
        <v/>
      </c>
      <c r="CJ302" s="6"/>
      <c r="CK302" s="6"/>
      <c r="CL302" s="4" t="str">
        <f aca="false">IF(OR(CJ302="",CK302=""),"",IFERROR(IF($K302="%",CK302-CJ302,CK302/CJ302-1),""))</f>
        <v/>
      </c>
      <c r="CM302" s="5" t="str">
        <f aca="false">IF(OR(CJ302="",CK302=""),"",IF($F302="Maior Melhor",IF(CK302&gt;=CJ302,"Sim","Não"),IF(CK302&lt;=CJ302,"Sim","Não")))</f>
        <v/>
      </c>
      <c r="CN302" s="6"/>
      <c r="CO302" s="6"/>
      <c r="CP302" s="4" t="str">
        <f aca="false">IF(OR(CN302="",CO302=""),"",IFERROR(IF($K302="%",CO302-CN302,CO302/CN302-1),""))</f>
        <v/>
      </c>
      <c r="CQ302" s="5" t="str">
        <f aca="false">IF(OR(CN302="",CO302=""),"",IF($F302="Maior Melhor",IF(CO302&gt;=CN302,"Sim","Não"),IF(CO302&lt;=CN302,"Sim","Não")))</f>
        <v/>
      </c>
      <c r="CR302" s="2" t="s">
        <v>105</v>
      </c>
    </row>
    <row r="303" customFormat="false" ht="15" hidden="false" customHeight="false" outlineLevel="0" collapsed="false">
      <c r="A303" s="2" t="s">
        <v>161</v>
      </c>
      <c r="B303" s="2" t="s">
        <v>97</v>
      </c>
      <c r="C303" s="2" t="s">
        <v>126</v>
      </c>
      <c r="D303" s="2" t="s">
        <v>194</v>
      </c>
      <c r="E303" s="2" t="str">
        <f aca="false">C303&amp;D303</f>
        <v>UTD LIVRAMENTO DE NOSSA SENHORAQuantidade de notas reguladas Pendentes FP</v>
      </c>
      <c r="F303" s="2" t="s">
        <v>167</v>
      </c>
      <c r="G303" s="2" t="s">
        <v>195</v>
      </c>
      <c r="H303" s="2" t="s">
        <v>102</v>
      </c>
      <c r="I303" s="2" t="s">
        <v>169</v>
      </c>
      <c r="J303" s="2" t="n">
        <v>1</v>
      </c>
      <c r="K303" s="2" t="s">
        <v>104</v>
      </c>
      <c r="L303" s="3" t="n">
        <v>0.03</v>
      </c>
      <c r="M303" s="3" t="n">
        <v>0.08</v>
      </c>
      <c r="N303" s="4" t="n">
        <f aca="false">IF(OR(L303="",M303=""),"",IFERROR(IF($K303="%",M303-L303,M303/L303-1),""))</f>
        <v>0.05</v>
      </c>
      <c r="O303" s="5" t="str">
        <f aca="false">IF(OR(L303="",M303=""),"",IF($F303="Maior Melhor",IF(M303&gt;=L303,"Sim","Não"),IF(M303&lt;=L303,"Sim","Não")))</f>
        <v>Não</v>
      </c>
      <c r="P303" s="3" t="n">
        <v>0.03</v>
      </c>
      <c r="Q303" s="3" t="n">
        <v>0.177</v>
      </c>
      <c r="R303" s="4" t="n">
        <f aca="false">IF(OR(P303="",Q303=""),"",IFERROR(IF($K303="%",Q303-P303,Q303/P303-1),""))</f>
        <v>0.147</v>
      </c>
      <c r="S303" s="5" t="str">
        <f aca="false">IF(OR(P303="",Q303=""),"",IF($F303="Maior Melhor",IF(Q303&gt;=P303,"Sim","Não"),IF(Q303&lt;=P303,"Sim","Não")))</f>
        <v>Não</v>
      </c>
      <c r="T303" s="3" t="n">
        <v>0.03</v>
      </c>
      <c r="U303" s="3" t="n">
        <v>0.181</v>
      </c>
      <c r="V303" s="4" t="n">
        <f aca="false">IF(OR(T303="",U303=""),"",IFERROR(IF($K303="%",U303-T303,U303/T303-1),""))</f>
        <v>0.151</v>
      </c>
      <c r="W303" s="5" t="str">
        <f aca="false">IF(OR(T303="",U303=""),"",IF($F303="Maior Melhor",IF(U303&gt;=T303,"Sim","Não"),IF(U303&lt;=T303,"Sim","Não")))</f>
        <v>Não</v>
      </c>
      <c r="X303" s="3" t="n">
        <v>0.03</v>
      </c>
      <c r="Y303" s="3" t="n">
        <v>0.0088</v>
      </c>
      <c r="Z303" s="4" t="n">
        <f aca="false">IF(OR(X303="",Y303=""),"",IFERROR(IF($K303="%",Y303-X303,Y303/X303-1),""))</f>
        <v>-0.0212</v>
      </c>
      <c r="AA303" s="5" t="str">
        <f aca="false">IF(OR(X303="",Y303=""),"",IF($F303="Maior Melhor",IF(Y303&gt;=X303,"Sim","Não"),IF(Y303&lt;=X303,"Sim","Não")))</f>
        <v>Sim</v>
      </c>
      <c r="AB303" s="3" t="n">
        <v>0.03</v>
      </c>
      <c r="AC303" s="3" t="n">
        <v>0.0088</v>
      </c>
      <c r="AD303" s="4" t="n">
        <f aca="false">IF(OR(AB303="",AC303=""),"",IFERROR(IF($K303="%",AC303-AB303,AC303/AB303-1),""))</f>
        <v>-0.0212</v>
      </c>
      <c r="AE303" s="5" t="str">
        <f aca="false">IF(OR(AB303="",AC303=""),"",IF($F303="Maior Melhor",IF(AC303&gt;=AB303,"Sim","Não"),IF(AC303&lt;=AB303,"Sim","Não")))</f>
        <v>Sim</v>
      </c>
      <c r="AF303" s="3" t="n">
        <v>0.03</v>
      </c>
      <c r="AG303" s="3" t="n">
        <v>0.011049724</v>
      </c>
      <c r="AH303" s="4" t="n">
        <f aca="false">IF(OR(AF303="",AG303=""),"",IFERROR(IF($K303="%",AG303-AF303,AG303/AF303-1),""))</f>
        <v>-0.018950276</v>
      </c>
      <c r="AI303" s="5" t="str">
        <f aca="false">IF(OR(AF303="",AG303=""),"",IF($F303="Maior Melhor",IF(AG303&gt;=AF303,"Sim","Não"),IF(AG303&lt;=AF303,"Sim","Não")))</f>
        <v>Sim</v>
      </c>
      <c r="AJ303" s="3" t="n">
        <v>0.03</v>
      </c>
      <c r="AK303" s="3" t="n">
        <v>0.011049724</v>
      </c>
      <c r="AL303" s="4" t="n">
        <f aca="false">IF(OR(AJ303="",AK303=""),"",IFERROR(IF($K303="%",AK303-AJ303,AK303/AJ303-1),""))</f>
        <v>-0.018950276</v>
      </c>
      <c r="AM303" s="5" t="str">
        <f aca="false">IF(OR(AJ303="",AK303=""),"",IF($F303="Maior Melhor",IF(AK303&gt;=AJ303,"Sim","Não"),IF(AK303&lt;=AJ303,"Sim","Não")))</f>
        <v>Sim</v>
      </c>
      <c r="AN303" s="3" t="n">
        <v>0.03</v>
      </c>
      <c r="AO303" s="3" t="n">
        <v>0.005076142</v>
      </c>
      <c r="AP303" s="4" t="n">
        <f aca="false">IF(OR(AN303="",AO303=""),"",IFERROR(IF($K303="%",AO303-AN303,AO303/AN303-1),""))</f>
        <v>-0.024923858</v>
      </c>
      <c r="AQ303" s="5" t="str">
        <f aca="false">IF(OR(AN303="",AO303=""),"",IF($F303="Maior Melhor",IF(AO303&gt;=AN303,"Sim","Não"),IF(AO303&lt;=AN303,"Sim","Não")))</f>
        <v>Sim</v>
      </c>
      <c r="AR303" s="3" t="n">
        <v>0.03</v>
      </c>
      <c r="AS303" s="3" t="n">
        <v>0.005076142</v>
      </c>
      <c r="AT303" s="4" t="n">
        <f aca="false">IF(OR(AR303="",AS303=""),"",IFERROR(IF($K303="%",AS303-AR303,AS303/AR303-1),""))</f>
        <v>-0.024923858</v>
      </c>
      <c r="AU303" s="5" t="str">
        <f aca="false">IF(OR(AR303="",AS303=""),"",IF($F303="Maior Melhor",IF(AS303&gt;=AR303,"Sim","Não"),IF(AS303&lt;=AR303,"Sim","Não")))</f>
        <v>Sim</v>
      </c>
      <c r="AV303" s="3" t="n">
        <v>0.03</v>
      </c>
      <c r="AW303" s="3" t="n">
        <v>0.006</v>
      </c>
      <c r="AX303" s="4" t="n">
        <f aca="false">IF(OR(AV303="",AW303=""),"",IFERROR(IF($K303="%",AW303-AV303,AW303/AV303-1),""))</f>
        <v>-0.024</v>
      </c>
      <c r="AY303" s="5" t="str">
        <f aca="false">IF(OR(AV303="",AW303=""),"",IF($F303="Maior Melhor",IF(AW303&gt;=AV303,"Sim","Não"),IF(AW303&lt;=AV303,"Sim","Não")))</f>
        <v>Sim</v>
      </c>
      <c r="AZ303" s="3" t="n">
        <v>0.03</v>
      </c>
      <c r="BA303" s="3" t="n">
        <v>0.006</v>
      </c>
      <c r="BB303" s="4" t="n">
        <f aca="false">IF(OR(AZ303="",BA303=""),"",IFERROR(IF($K303="%",BA303-AZ303,BA303/AZ303-1),""))</f>
        <v>-0.024</v>
      </c>
      <c r="BC303" s="5" t="str">
        <f aca="false">IF(OR(AZ303="",BA303=""),"",IF($F303="Maior Melhor",IF(BA303&gt;=AZ303,"Sim","Não"),IF(BA303&lt;=AZ303,"Sim","Não")))</f>
        <v>Sim</v>
      </c>
      <c r="BD303" s="3" t="n">
        <v>0.03</v>
      </c>
      <c r="BE303" s="3" t="n">
        <v>0</v>
      </c>
      <c r="BF303" s="4" t="n">
        <f aca="false">IF(OR(BD303="",BE303=""),"",IFERROR(IF($K303="%",BE303-BD303,BE303/BD303-1),""))</f>
        <v>-0.03</v>
      </c>
      <c r="BG303" s="5" t="str">
        <f aca="false">IF(OR(BD303="",BE303=""),"",IF($F303="Maior Melhor",IF(BE303&gt;=BD303,"Sim","Não"),IF(BE303&lt;=BD303,"Sim","Não")))</f>
        <v>Sim</v>
      </c>
      <c r="BH303" s="3" t="n">
        <v>0.03</v>
      </c>
      <c r="BI303" s="3" t="n">
        <v>0</v>
      </c>
      <c r="BJ303" s="4" t="n">
        <f aca="false">IF(OR(BH303="",BI303=""),"",IFERROR(IF($K303="%",BI303-BH303,BI303/BH303-1),""))</f>
        <v>-0.03</v>
      </c>
      <c r="BK303" s="5" t="str">
        <f aca="false">IF(OR(BH303="",BI303=""),"",IF($F303="Maior Melhor",IF(BI303&gt;=BH303,"Sim","Não"),IF(BI303&lt;=BH303,"Sim","Não")))</f>
        <v>Sim</v>
      </c>
      <c r="BL303" s="6"/>
      <c r="BM303" s="6"/>
      <c r="BN303" s="4" t="str">
        <f aca="false">IF(OR(BL303="",BM303=""),"",IFERROR(IF($K303="%",BM303-BL303,BM303/BL303-1),""))</f>
        <v/>
      </c>
      <c r="BO303" s="5" t="str">
        <f aca="false">IF(OR(BL303="",BM303=""),"",IF($F303="Maior Melhor",IF(BM303&gt;=BL303,"Sim","Não"),IF(BM303&lt;=BL303,"Sim","Não")))</f>
        <v/>
      </c>
      <c r="BP303" s="6"/>
      <c r="BQ303" s="6"/>
      <c r="BR303" s="4" t="str">
        <f aca="false">IF(OR(BP303="",BQ303=""),"",IFERROR(IF($K303="%",BQ303-BP303,BQ303/BP303-1),""))</f>
        <v/>
      </c>
      <c r="BS303" s="5" t="str">
        <f aca="false">IF(OR(BP303="",BQ303=""),"",IF($F303="Maior Melhor",IF(BQ303&gt;=BP303,"Sim","Não"),IF(BQ303&lt;=BP303,"Sim","Não")))</f>
        <v/>
      </c>
      <c r="BT303" s="6"/>
      <c r="BU303" s="6"/>
      <c r="BV303" s="4" t="str">
        <f aca="false">IF(OR(BT303="",BU303=""),"",IFERROR(IF($K303="%",BU303-BT303,BU303/BT303-1),""))</f>
        <v/>
      </c>
      <c r="BW303" s="5" t="str">
        <f aca="false">IF(OR(BT303="",BU303=""),"",IF($F303="Maior Melhor",IF(BU303&gt;=BT303,"Sim","Não"),IF(BU303&lt;=BT303,"Sim","Não")))</f>
        <v/>
      </c>
      <c r="BX303" s="6"/>
      <c r="BY303" s="6"/>
      <c r="BZ303" s="4" t="str">
        <f aca="false">IF(OR(BX303="",BY303=""),"",IFERROR(IF($K303="%",BY303-BX303,BY303/BX303-1),""))</f>
        <v/>
      </c>
      <c r="CA303" s="5" t="str">
        <f aca="false">IF(OR(BX303="",BY303=""),"",IF($F303="Maior Melhor",IF(BY303&gt;=BX303,"Sim","Não"),IF(BY303&lt;=BX303,"Sim","Não")))</f>
        <v/>
      </c>
      <c r="CB303" s="6"/>
      <c r="CC303" s="6"/>
      <c r="CD303" s="4" t="str">
        <f aca="false">IF(OR(CB303="",CC303=""),"",IFERROR(IF($K303="%",CC303-CB303,CC303/CB303-1),""))</f>
        <v/>
      </c>
      <c r="CE303" s="5" t="str">
        <f aca="false">IF(OR(CB303="",CC303=""),"",IF($F303="Maior Melhor",IF(CC303&gt;=CB303,"Sim","Não"),IF(CC303&lt;=CB303,"Sim","Não")))</f>
        <v/>
      </c>
      <c r="CF303" s="6"/>
      <c r="CG303" s="6"/>
      <c r="CH303" s="4" t="str">
        <f aca="false">IF(OR(CF303="",CG303=""),"",IFERROR(IF($K303="%",CG303-CF303,CG303/CF303-1),""))</f>
        <v/>
      </c>
      <c r="CI303" s="5" t="str">
        <f aca="false">IF(OR(CF303="",CG303=""),"",IF($F303="Maior Melhor",IF(CG303&gt;=CF303,"Sim","Não"),IF(CG303&lt;=CF303,"Sim","Não")))</f>
        <v/>
      </c>
      <c r="CJ303" s="6"/>
      <c r="CK303" s="6"/>
      <c r="CL303" s="4" t="str">
        <f aca="false">IF(OR(CJ303="",CK303=""),"",IFERROR(IF($K303="%",CK303-CJ303,CK303/CJ303-1),""))</f>
        <v/>
      </c>
      <c r="CM303" s="5" t="str">
        <f aca="false">IF(OR(CJ303="",CK303=""),"",IF($F303="Maior Melhor",IF(CK303&gt;=CJ303,"Sim","Não"),IF(CK303&lt;=CJ303,"Sim","Não")))</f>
        <v/>
      </c>
      <c r="CN303" s="6"/>
      <c r="CO303" s="6"/>
      <c r="CP303" s="4" t="str">
        <f aca="false">IF(OR(CN303="",CO303=""),"",IFERROR(IF($K303="%",CO303-CN303,CO303/CN303-1),""))</f>
        <v/>
      </c>
      <c r="CQ303" s="5" t="str">
        <f aca="false">IF(OR(CN303="",CO303=""),"",IF($F303="Maior Melhor",IF(CO303&gt;=CN303,"Sim","Não"),IF(CO303&lt;=CN303,"Sim","Não")))</f>
        <v/>
      </c>
      <c r="CR303" s="2" t="s">
        <v>105</v>
      </c>
    </row>
    <row r="304" customFormat="false" ht="15" hidden="false" customHeight="false" outlineLevel="0" collapsed="false">
      <c r="A304" s="2" t="s">
        <v>161</v>
      </c>
      <c r="B304" s="2" t="s">
        <v>106</v>
      </c>
      <c r="C304" s="2" t="s">
        <v>127</v>
      </c>
      <c r="D304" s="2" t="s">
        <v>194</v>
      </c>
      <c r="E304" s="2" t="str">
        <f aca="false">C304&amp;D304</f>
        <v>UTD LUIS EDUARDO MAGALHAESQuantidade de notas reguladas Pendentes FP</v>
      </c>
      <c r="F304" s="2" t="s">
        <v>167</v>
      </c>
      <c r="G304" s="2" t="s">
        <v>195</v>
      </c>
      <c r="H304" s="2" t="s">
        <v>102</v>
      </c>
      <c r="I304" s="2" t="s">
        <v>169</v>
      </c>
      <c r="J304" s="2" t="n">
        <v>1</v>
      </c>
      <c r="K304" s="2" t="s">
        <v>104</v>
      </c>
      <c r="L304" s="3" t="n">
        <v>0.03</v>
      </c>
      <c r="M304" s="3" t="n">
        <v>0.066</v>
      </c>
      <c r="N304" s="4" t="n">
        <f aca="false">IF(OR(L304="",M304=""),"",IFERROR(IF($K304="%",M304-L304,M304/L304-1),""))</f>
        <v>0.036</v>
      </c>
      <c r="O304" s="5" t="str">
        <f aca="false">IF(OR(L304="",M304=""),"",IF($F304="Maior Melhor",IF(M304&gt;=L304,"Sim","Não"),IF(M304&lt;=L304,"Sim","Não")))</f>
        <v>Não</v>
      </c>
      <c r="P304" s="3" t="n">
        <v>0.03</v>
      </c>
      <c r="Q304" s="3" t="n">
        <v>0.074</v>
      </c>
      <c r="R304" s="4" t="n">
        <f aca="false">IF(OR(P304="",Q304=""),"",IFERROR(IF($K304="%",Q304-P304,Q304/P304-1),""))</f>
        <v>0.044</v>
      </c>
      <c r="S304" s="5" t="str">
        <f aca="false">IF(OR(P304="",Q304=""),"",IF($F304="Maior Melhor",IF(Q304&gt;=P304,"Sim","Não"),IF(Q304&lt;=P304,"Sim","Não")))</f>
        <v>Não</v>
      </c>
      <c r="T304" s="3" t="n">
        <v>0.03</v>
      </c>
      <c r="U304" s="3" t="n">
        <v>0</v>
      </c>
      <c r="V304" s="4" t="n">
        <f aca="false">IF(OR(T304="",U304=""),"",IFERROR(IF($K304="%",U304-T304,U304/T304-1),""))</f>
        <v>-0.03</v>
      </c>
      <c r="W304" s="5" t="str">
        <f aca="false">IF(OR(T304="",U304=""),"",IF($F304="Maior Melhor",IF(U304&gt;=T304,"Sim","Não"),IF(U304&lt;=T304,"Sim","Não")))</f>
        <v>Sim</v>
      </c>
      <c r="X304" s="3" t="n">
        <v>0.03</v>
      </c>
      <c r="Y304" s="3" t="n">
        <v>0.0072</v>
      </c>
      <c r="Z304" s="4" t="n">
        <f aca="false">IF(OR(X304="",Y304=""),"",IFERROR(IF($K304="%",Y304-X304,Y304/X304-1),""))</f>
        <v>-0.0228</v>
      </c>
      <c r="AA304" s="5" t="str">
        <f aca="false">IF(OR(X304="",Y304=""),"",IF($F304="Maior Melhor",IF(Y304&gt;=X304,"Sim","Não"),IF(Y304&lt;=X304,"Sim","Não")))</f>
        <v>Sim</v>
      </c>
      <c r="AB304" s="3" t="n">
        <v>0.03</v>
      </c>
      <c r="AC304" s="3" t="n">
        <v>0.0072</v>
      </c>
      <c r="AD304" s="4" t="n">
        <f aca="false">IF(OR(AB304="",AC304=""),"",IFERROR(IF($K304="%",AC304-AB304,AC304/AB304-1),""))</f>
        <v>-0.0228</v>
      </c>
      <c r="AE304" s="5" t="str">
        <f aca="false">IF(OR(AB304="",AC304=""),"",IF($F304="Maior Melhor",IF(AC304&gt;=AB304,"Sim","Não"),IF(AC304&lt;=AB304,"Sim","Não")))</f>
        <v>Sim</v>
      </c>
      <c r="AF304" s="3" t="n">
        <v>0.03</v>
      </c>
      <c r="AG304" s="3" t="n">
        <v>0.023809524</v>
      </c>
      <c r="AH304" s="4" t="n">
        <f aca="false">IF(OR(AF304="",AG304=""),"",IFERROR(IF($K304="%",AG304-AF304,AG304/AF304-1),""))</f>
        <v>-0.006190476</v>
      </c>
      <c r="AI304" s="5" t="str">
        <f aca="false">IF(OR(AF304="",AG304=""),"",IF($F304="Maior Melhor",IF(AG304&gt;=AF304,"Sim","Não"),IF(AG304&lt;=AF304,"Sim","Não")))</f>
        <v>Sim</v>
      </c>
      <c r="AJ304" s="3" t="n">
        <v>0.03</v>
      </c>
      <c r="AK304" s="3" t="n">
        <v>0.023809524</v>
      </c>
      <c r="AL304" s="4" t="n">
        <f aca="false">IF(OR(AJ304="",AK304=""),"",IFERROR(IF($K304="%",AK304-AJ304,AK304/AJ304-1),""))</f>
        <v>-0.006190476</v>
      </c>
      <c r="AM304" s="5" t="str">
        <f aca="false">IF(OR(AJ304="",AK304=""),"",IF($F304="Maior Melhor",IF(AK304&gt;=AJ304,"Sim","Não"),IF(AK304&lt;=AJ304,"Sim","Não")))</f>
        <v>Sim</v>
      </c>
      <c r="AN304" s="3" t="n">
        <v>0.03</v>
      </c>
      <c r="AO304" s="3" t="n">
        <v>0.006772009</v>
      </c>
      <c r="AP304" s="4" t="n">
        <f aca="false">IF(OR(AN304="",AO304=""),"",IFERROR(IF($K304="%",AO304-AN304,AO304/AN304-1),""))</f>
        <v>-0.023227991</v>
      </c>
      <c r="AQ304" s="5" t="str">
        <f aca="false">IF(OR(AN304="",AO304=""),"",IF($F304="Maior Melhor",IF(AO304&gt;=AN304,"Sim","Não"),IF(AO304&lt;=AN304,"Sim","Não")))</f>
        <v>Sim</v>
      </c>
      <c r="AR304" s="3" t="n">
        <v>0.03</v>
      </c>
      <c r="AS304" s="3" t="n">
        <v>0.006772009</v>
      </c>
      <c r="AT304" s="4" t="n">
        <f aca="false">IF(OR(AR304="",AS304=""),"",IFERROR(IF($K304="%",AS304-AR304,AS304/AR304-1),""))</f>
        <v>-0.023227991</v>
      </c>
      <c r="AU304" s="5" t="str">
        <f aca="false">IF(OR(AR304="",AS304=""),"",IF($F304="Maior Melhor",IF(AS304&gt;=AR304,"Sim","Não"),IF(AS304&lt;=AR304,"Sim","Não")))</f>
        <v>Sim</v>
      </c>
      <c r="AV304" s="3" t="n">
        <v>0.03</v>
      </c>
      <c r="AW304" s="3" t="n">
        <v>0.011</v>
      </c>
      <c r="AX304" s="4" t="n">
        <f aca="false">IF(OR(AV304="",AW304=""),"",IFERROR(IF($K304="%",AW304-AV304,AW304/AV304-1),""))</f>
        <v>-0.019</v>
      </c>
      <c r="AY304" s="5" t="str">
        <f aca="false">IF(OR(AV304="",AW304=""),"",IF($F304="Maior Melhor",IF(AW304&gt;=AV304,"Sim","Não"),IF(AW304&lt;=AV304,"Sim","Não")))</f>
        <v>Sim</v>
      </c>
      <c r="AZ304" s="3" t="n">
        <v>0.03</v>
      </c>
      <c r="BA304" s="3" t="n">
        <v>0.011</v>
      </c>
      <c r="BB304" s="4" t="n">
        <f aca="false">IF(OR(AZ304="",BA304=""),"",IFERROR(IF($K304="%",BA304-AZ304,BA304/AZ304-1),""))</f>
        <v>-0.019</v>
      </c>
      <c r="BC304" s="5" t="str">
        <f aca="false">IF(OR(AZ304="",BA304=""),"",IF($F304="Maior Melhor",IF(BA304&gt;=AZ304,"Sim","Não"),IF(BA304&lt;=AZ304,"Sim","Não")))</f>
        <v>Sim</v>
      </c>
      <c r="BD304" s="3" t="n">
        <v>0.03</v>
      </c>
      <c r="BE304" s="3" t="n">
        <v>0.00617284</v>
      </c>
      <c r="BF304" s="4" t="n">
        <f aca="false">IF(OR(BD304="",BE304=""),"",IFERROR(IF($K304="%",BE304-BD304,BE304/BD304-1),""))</f>
        <v>-0.02382716</v>
      </c>
      <c r="BG304" s="5" t="str">
        <f aca="false">IF(OR(BD304="",BE304=""),"",IF($F304="Maior Melhor",IF(BE304&gt;=BD304,"Sim","Não"),IF(BE304&lt;=BD304,"Sim","Não")))</f>
        <v>Sim</v>
      </c>
      <c r="BH304" s="3" t="n">
        <v>0.03</v>
      </c>
      <c r="BI304" s="3" t="n">
        <v>0.00617284</v>
      </c>
      <c r="BJ304" s="4" t="n">
        <f aca="false">IF(OR(BH304="",BI304=""),"",IFERROR(IF($K304="%",BI304-BH304,BI304/BH304-1),""))</f>
        <v>-0.02382716</v>
      </c>
      <c r="BK304" s="5" t="str">
        <f aca="false">IF(OR(BH304="",BI304=""),"",IF($F304="Maior Melhor",IF(BI304&gt;=BH304,"Sim","Não"),IF(BI304&lt;=BH304,"Sim","Não")))</f>
        <v>Sim</v>
      </c>
      <c r="BL304" s="6"/>
      <c r="BM304" s="6"/>
      <c r="BN304" s="4" t="str">
        <f aca="false">IF(OR(BL304="",BM304=""),"",IFERROR(IF($K304="%",BM304-BL304,BM304/BL304-1),""))</f>
        <v/>
      </c>
      <c r="BO304" s="5" t="str">
        <f aca="false">IF(OR(BL304="",BM304=""),"",IF($F304="Maior Melhor",IF(BM304&gt;=BL304,"Sim","Não"),IF(BM304&lt;=BL304,"Sim","Não")))</f>
        <v/>
      </c>
      <c r="BP304" s="6"/>
      <c r="BQ304" s="6"/>
      <c r="BR304" s="4" t="str">
        <f aca="false">IF(OR(BP304="",BQ304=""),"",IFERROR(IF($K304="%",BQ304-BP304,BQ304/BP304-1),""))</f>
        <v/>
      </c>
      <c r="BS304" s="5" t="str">
        <f aca="false">IF(OR(BP304="",BQ304=""),"",IF($F304="Maior Melhor",IF(BQ304&gt;=BP304,"Sim","Não"),IF(BQ304&lt;=BP304,"Sim","Não")))</f>
        <v/>
      </c>
      <c r="BT304" s="6"/>
      <c r="BU304" s="6"/>
      <c r="BV304" s="4" t="str">
        <f aca="false">IF(OR(BT304="",BU304=""),"",IFERROR(IF($K304="%",BU304-BT304,BU304/BT304-1),""))</f>
        <v/>
      </c>
      <c r="BW304" s="5" t="str">
        <f aca="false">IF(OR(BT304="",BU304=""),"",IF($F304="Maior Melhor",IF(BU304&gt;=BT304,"Sim","Não"),IF(BU304&lt;=BT304,"Sim","Não")))</f>
        <v/>
      </c>
      <c r="BX304" s="6"/>
      <c r="BY304" s="6"/>
      <c r="BZ304" s="4" t="str">
        <f aca="false">IF(OR(BX304="",BY304=""),"",IFERROR(IF($K304="%",BY304-BX304,BY304/BX304-1),""))</f>
        <v/>
      </c>
      <c r="CA304" s="5" t="str">
        <f aca="false">IF(OR(BX304="",BY304=""),"",IF($F304="Maior Melhor",IF(BY304&gt;=BX304,"Sim","Não"),IF(BY304&lt;=BX304,"Sim","Não")))</f>
        <v/>
      </c>
      <c r="CB304" s="6"/>
      <c r="CC304" s="6"/>
      <c r="CD304" s="4" t="str">
        <f aca="false">IF(OR(CB304="",CC304=""),"",IFERROR(IF($K304="%",CC304-CB304,CC304/CB304-1),""))</f>
        <v/>
      </c>
      <c r="CE304" s="5" t="str">
        <f aca="false">IF(OR(CB304="",CC304=""),"",IF($F304="Maior Melhor",IF(CC304&gt;=CB304,"Sim","Não"),IF(CC304&lt;=CB304,"Sim","Não")))</f>
        <v/>
      </c>
      <c r="CF304" s="6"/>
      <c r="CG304" s="6"/>
      <c r="CH304" s="4" t="str">
        <f aca="false">IF(OR(CF304="",CG304=""),"",IFERROR(IF($K304="%",CG304-CF304,CG304/CF304-1),""))</f>
        <v/>
      </c>
      <c r="CI304" s="5" t="str">
        <f aca="false">IF(OR(CF304="",CG304=""),"",IF($F304="Maior Melhor",IF(CG304&gt;=CF304,"Sim","Não"),IF(CG304&lt;=CF304,"Sim","Não")))</f>
        <v/>
      </c>
      <c r="CJ304" s="6"/>
      <c r="CK304" s="6"/>
      <c r="CL304" s="4" t="str">
        <f aca="false">IF(OR(CJ304="",CK304=""),"",IFERROR(IF($K304="%",CK304-CJ304,CK304/CJ304-1),""))</f>
        <v/>
      </c>
      <c r="CM304" s="5" t="str">
        <f aca="false">IF(OR(CJ304="",CK304=""),"",IF($F304="Maior Melhor",IF(CK304&gt;=CJ304,"Sim","Não"),IF(CK304&lt;=CJ304,"Sim","Não")))</f>
        <v/>
      </c>
      <c r="CN304" s="6"/>
      <c r="CO304" s="6"/>
      <c r="CP304" s="4" t="str">
        <f aca="false">IF(OR(CN304="",CO304=""),"",IFERROR(IF($K304="%",CO304-CN304,CO304/CN304-1),""))</f>
        <v/>
      </c>
      <c r="CQ304" s="5" t="str">
        <f aca="false">IF(OR(CN304="",CO304=""),"",IF($F304="Maior Melhor",IF(CO304&gt;=CN304,"Sim","Não"),IF(CO304&lt;=CN304,"Sim","Não")))</f>
        <v/>
      </c>
      <c r="CR304" s="2" t="s">
        <v>105</v>
      </c>
    </row>
    <row r="305" customFormat="false" ht="15" hidden="false" customHeight="false" outlineLevel="0" collapsed="false">
      <c r="A305" s="2" t="s">
        <v>161</v>
      </c>
      <c r="B305" s="2" t="s">
        <v>106</v>
      </c>
      <c r="C305" s="2" t="s">
        <v>128</v>
      </c>
      <c r="D305" s="2" t="s">
        <v>194</v>
      </c>
      <c r="E305" s="2" t="str">
        <f aca="false">C305&amp;D305</f>
        <v>UTD SANTA MARIA DA VITORIAQuantidade de notas reguladas Pendentes FP</v>
      </c>
      <c r="F305" s="2" t="s">
        <v>167</v>
      </c>
      <c r="G305" s="2" t="s">
        <v>195</v>
      </c>
      <c r="H305" s="2" t="s">
        <v>102</v>
      </c>
      <c r="I305" s="2" t="s">
        <v>169</v>
      </c>
      <c r="J305" s="2" t="n">
        <v>1</v>
      </c>
      <c r="K305" s="2" t="s">
        <v>104</v>
      </c>
      <c r="L305" s="3" t="n">
        <v>0.03</v>
      </c>
      <c r="M305" s="3" t="n">
        <v>0.079</v>
      </c>
      <c r="N305" s="4" t="n">
        <f aca="false">IF(OR(L305="",M305=""),"",IFERROR(IF($K305="%",M305-L305,M305/L305-1),""))</f>
        <v>0.049</v>
      </c>
      <c r="O305" s="5" t="str">
        <f aca="false">IF(OR(L305="",M305=""),"",IF($F305="Maior Melhor",IF(M305&gt;=L305,"Sim","Não"),IF(M305&lt;=L305,"Sim","Não")))</f>
        <v>Não</v>
      </c>
      <c r="P305" s="3" t="n">
        <v>0.03</v>
      </c>
      <c r="Q305" s="3" t="n">
        <v>0.01</v>
      </c>
      <c r="R305" s="4" t="n">
        <f aca="false">IF(OR(P305="",Q305=""),"",IFERROR(IF($K305="%",Q305-P305,Q305/P305-1),""))</f>
        <v>-0.02</v>
      </c>
      <c r="S305" s="5" t="str">
        <f aca="false">IF(OR(P305="",Q305=""),"",IF($F305="Maior Melhor",IF(Q305&gt;=P305,"Sim","Não"),IF(Q305&lt;=P305,"Sim","Não")))</f>
        <v>Sim</v>
      </c>
      <c r="T305" s="3" t="n">
        <v>0.03</v>
      </c>
      <c r="U305" s="3" t="n">
        <v>0.022</v>
      </c>
      <c r="V305" s="4" t="n">
        <f aca="false">IF(OR(T305="",U305=""),"",IFERROR(IF($K305="%",U305-T305,U305/T305-1),""))</f>
        <v>-0.008</v>
      </c>
      <c r="W305" s="5" t="str">
        <f aca="false">IF(OR(T305="",U305=""),"",IF($F305="Maior Melhor",IF(U305&gt;=T305,"Sim","Não"),IF(U305&lt;=T305,"Sim","Não")))</f>
        <v>Sim</v>
      </c>
      <c r="X305" s="3" t="n">
        <v>0.03</v>
      </c>
      <c r="Y305" s="3" t="n">
        <v>0</v>
      </c>
      <c r="Z305" s="4" t="n">
        <f aca="false">IF(OR(X305="",Y305=""),"",IFERROR(IF($K305="%",Y305-X305,Y305/X305-1),""))</f>
        <v>-0.03</v>
      </c>
      <c r="AA305" s="5" t="str">
        <f aca="false">IF(OR(X305="",Y305=""),"",IF($F305="Maior Melhor",IF(Y305&gt;=X305,"Sim","Não"),IF(Y305&lt;=X305,"Sim","Não")))</f>
        <v>Sim</v>
      </c>
      <c r="AB305" s="3" t="n">
        <v>0.03</v>
      </c>
      <c r="AC305" s="3" t="n">
        <v>0</v>
      </c>
      <c r="AD305" s="4" t="n">
        <f aca="false">IF(OR(AB305="",AC305=""),"",IFERROR(IF($K305="%",AC305-AB305,AC305/AB305-1),""))</f>
        <v>-0.03</v>
      </c>
      <c r="AE305" s="5" t="str">
        <f aca="false">IF(OR(AB305="",AC305=""),"",IF($F305="Maior Melhor",IF(AC305&gt;=AB305,"Sim","Não"),IF(AC305&lt;=AB305,"Sim","Não")))</f>
        <v>Sim</v>
      </c>
      <c r="AF305" s="3" t="n">
        <v>0.03</v>
      </c>
      <c r="AG305" s="3" t="n">
        <v>0.06097561</v>
      </c>
      <c r="AH305" s="4" t="n">
        <f aca="false">IF(OR(AF305="",AG305=""),"",IFERROR(IF($K305="%",AG305-AF305,AG305/AF305-1),""))</f>
        <v>0.03097561</v>
      </c>
      <c r="AI305" s="5" t="str">
        <f aca="false">IF(OR(AF305="",AG305=""),"",IF($F305="Maior Melhor",IF(AG305&gt;=AF305,"Sim","Não"),IF(AG305&lt;=AF305,"Sim","Não")))</f>
        <v>Não</v>
      </c>
      <c r="AJ305" s="3" t="n">
        <v>0.03</v>
      </c>
      <c r="AK305" s="3" t="n">
        <v>0.06097561</v>
      </c>
      <c r="AL305" s="4" t="n">
        <f aca="false">IF(OR(AJ305="",AK305=""),"",IFERROR(IF($K305="%",AK305-AJ305,AK305/AJ305-1),""))</f>
        <v>0.03097561</v>
      </c>
      <c r="AM305" s="5" t="str">
        <f aca="false">IF(OR(AJ305="",AK305=""),"",IF($F305="Maior Melhor",IF(AK305&gt;=AJ305,"Sim","Não"),IF(AK305&lt;=AJ305,"Sim","Não")))</f>
        <v>Não</v>
      </c>
      <c r="AN305" s="3" t="n">
        <v>0.03</v>
      </c>
      <c r="AO305" s="3" t="n">
        <v>0</v>
      </c>
      <c r="AP305" s="4" t="n">
        <f aca="false">IF(OR(AN305="",AO305=""),"",IFERROR(IF($K305="%",AO305-AN305,AO305/AN305-1),""))</f>
        <v>-0.03</v>
      </c>
      <c r="AQ305" s="5" t="str">
        <f aca="false">IF(OR(AN305="",AO305=""),"",IF($F305="Maior Melhor",IF(AO305&gt;=AN305,"Sim","Não"),IF(AO305&lt;=AN305,"Sim","Não")))</f>
        <v>Sim</v>
      </c>
      <c r="AR305" s="3" t="n">
        <v>0.03</v>
      </c>
      <c r="AS305" s="3" t="n">
        <v>0</v>
      </c>
      <c r="AT305" s="4" t="n">
        <f aca="false">IF(OR(AR305="",AS305=""),"",IFERROR(IF($K305="%",AS305-AR305,AS305/AR305-1),""))</f>
        <v>-0.03</v>
      </c>
      <c r="AU305" s="5" t="str">
        <f aca="false">IF(OR(AR305="",AS305=""),"",IF($F305="Maior Melhor",IF(AS305&gt;=AR305,"Sim","Não"),IF(AS305&lt;=AR305,"Sim","Não")))</f>
        <v>Sim</v>
      </c>
      <c r="AV305" s="3" t="n">
        <v>0.03</v>
      </c>
      <c r="AW305" s="3" t="n">
        <v>0.003</v>
      </c>
      <c r="AX305" s="4" t="n">
        <f aca="false">IF(OR(AV305="",AW305=""),"",IFERROR(IF($K305="%",AW305-AV305,AW305/AV305-1),""))</f>
        <v>-0.027</v>
      </c>
      <c r="AY305" s="5" t="str">
        <f aca="false">IF(OR(AV305="",AW305=""),"",IF($F305="Maior Melhor",IF(AW305&gt;=AV305,"Sim","Não"),IF(AW305&lt;=AV305,"Sim","Não")))</f>
        <v>Sim</v>
      </c>
      <c r="AZ305" s="3" t="n">
        <v>0.03</v>
      </c>
      <c r="BA305" s="3" t="n">
        <v>0.003</v>
      </c>
      <c r="BB305" s="4" t="n">
        <f aca="false">IF(OR(AZ305="",BA305=""),"",IFERROR(IF($K305="%",BA305-AZ305,BA305/AZ305-1),""))</f>
        <v>-0.027</v>
      </c>
      <c r="BC305" s="5" t="str">
        <f aca="false">IF(OR(AZ305="",BA305=""),"",IF($F305="Maior Melhor",IF(BA305&gt;=AZ305,"Sim","Não"),IF(BA305&lt;=AZ305,"Sim","Não")))</f>
        <v>Sim</v>
      </c>
      <c r="BD305" s="3" t="n">
        <v>0.03</v>
      </c>
      <c r="BE305" s="3" t="n">
        <v>0.012195122</v>
      </c>
      <c r="BF305" s="4" t="n">
        <f aca="false">IF(OR(BD305="",BE305=""),"",IFERROR(IF($K305="%",BE305-BD305,BE305/BD305-1),""))</f>
        <v>-0.017804878</v>
      </c>
      <c r="BG305" s="5" t="str">
        <f aca="false">IF(OR(BD305="",BE305=""),"",IF($F305="Maior Melhor",IF(BE305&gt;=BD305,"Sim","Não"),IF(BE305&lt;=BD305,"Sim","Não")))</f>
        <v>Sim</v>
      </c>
      <c r="BH305" s="3" t="n">
        <v>0.03</v>
      </c>
      <c r="BI305" s="3" t="n">
        <v>0.012195122</v>
      </c>
      <c r="BJ305" s="4" t="n">
        <f aca="false">IF(OR(BH305="",BI305=""),"",IFERROR(IF($K305="%",BI305-BH305,BI305/BH305-1),""))</f>
        <v>-0.017804878</v>
      </c>
      <c r="BK305" s="5" t="str">
        <f aca="false">IF(OR(BH305="",BI305=""),"",IF($F305="Maior Melhor",IF(BI305&gt;=BH305,"Sim","Não"),IF(BI305&lt;=BH305,"Sim","Não")))</f>
        <v>Sim</v>
      </c>
      <c r="BL305" s="6"/>
      <c r="BM305" s="6"/>
      <c r="BN305" s="4" t="str">
        <f aca="false">IF(OR(BL305="",BM305=""),"",IFERROR(IF($K305="%",BM305-BL305,BM305/BL305-1),""))</f>
        <v/>
      </c>
      <c r="BO305" s="5" t="str">
        <f aca="false">IF(OR(BL305="",BM305=""),"",IF($F305="Maior Melhor",IF(BM305&gt;=BL305,"Sim","Não"),IF(BM305&lt;=BL305,"Sim","Não")))</f>
        <v/>
      </c>
      <c r="BP305" s="6"/>
      <c r="BQ305" s="6"/>
      <c r="BR305" s="4" t="str">
        <f aca="false">IF(OR(BP305="",BQ305=""),"",IFERROR(IF($K305="%",BQ305-BP305,BQ305/BP305-1),""))</f>
        <v/>
      </c>
      <c r="BS305" s="5" t="str">
        <f aca="false">IF(OR(BP305="",BQ305=""),"",IF($F305="Maior Melhor",IF(BQ305&gt;=BP305,"Sim","Não"),IF(BQ305&lt;=BP305,"Sim","Não")))</f>
        <v/>
      </c>
      <c r="BT305" s="6"/>
      <c r="BU305" s="6"/>
      <c r="BV305" s="4" t="str">
        <f aca="false">IF(OR(BT305="",BU305=""),"",IFERROR(IF($K305="%",BU305-BT305,BU305/BT305-1),""))</f>
        <v/>
      </c>
      <c r="BW305" s="5" t="str">
        <f aca="false">IF(OR(BT305="",BU305=""),"",IF($F305="Maior Melhor",IF(BU305&gt;=BT305,"Sim","Não"),IF(BU305&lt;=BT305,"Sim","Não")))</f>
        <v/>
      </c>
      <c r="BX305" s="6"/>
      <c r="BY305" s="6"/>
      <c r="BZ305" s="4" t="str">
        <f aca="false">IF(OR(BX305="",BY305=""),"",IFERROR(IF($K305="%",BY305-BX305,BY305/BX305-1),""))</f>
        <v/>
      </c>
      <c r="CA305" s="5" t="str">
        <f aca="false">IF(OR(BX305="",BY305=""),"",IF($F305="Maior Melhor",IF(BY305&gt;=BX305,"Sim","Não"),IF(BY305&lt;=BX305,"Sim","Não")))</f>
        <v/>
      </c>
      <c r="CB305" s="6"/>
      <c r="CC305" s="6"/>
      <c r="CD305" s="4" t="str">
        <f aca="false">IF(OR(CB305="",CC305=""),"",IFERROR(IF($K305="%",CC305-CB305,CC305/CB305-1),""))</f>
        <v/>
      </c>
      <c r="CE305" s="5" t="str">
        <f aca="false">IF(OR(CB305="",CC305=""),"",IF($F305="Maior Melhor",IF(CC305&gt;=CB305,"Sim","Não"),IF(CC305&lt;=CB305,"Sim","Não")))</f>
        <v/>
      </c>
      <c r="CF305" s="6"/>
      <c r="CG305" s="6"/>
      <c r="CH305" s="4" t="str">
        <f aca="false">IF(OR(CF305="",CG305=""),"",IFERROR(IF($K305="%",CG305-CF305,CG305/CF305-1),""))</f>
        <v/>
      </c>
      <c r="CI305" s="5" t="str">
        <f aca="false">IF(OR(CF305="",CG305=""),"",IF($F305="Maior Melhor",IF(CG305&gt;=CF305,"Sim","Não"),IF(CG305&lt;=CF305,"Sim","Não")))</f>
        <v/>
      </c>
      <c r="CJ305" s="6"/>
      <c r="CK305" s="6"/>
      <c r="CL305" s="4" t="str">
        <f aca="false">IF(OR(CJ305="",CK305=""),"",IFERROR(IF($K305="%",CK305-CJ305,CK305/CJ305-1),""))</f>
        <v/>
      </c>
      <c r="CM305" s="5" t="str">
        <f aca="false">IF(OR(CJ305="",CK305=""),"",IF($F305="Maior Melhor",IF(CK305&gt;=CJ305,"Sim","Não"),IF(CK305&lt;=CJ305,"Sim","Não")))</f>
        <v/>
      </c>
      <c r="CN305" s="6"/>
      <c r="CO305" s="6"/>
      <c r="CP305" s="4" t="str">
        <f aca="false">IF(OR(CN305="",CO305=""),"",IFERROR(IF($K305="%",CO305-CN305,CO305/CN305-1),""))</f>
        <v/>
      </c>
      <c r="CQ305" s="5" t="str">
        <f aca="false">IF(OR(CN305="",CO305=""),"",IF($F305="Maior Melhor",IF(CO305&gt;=CN305,"Sim","Não"),IF(CO305&lt;=CN305,"Sim","Não")))</f>
        <v/>
      </c>
      <c r="CR305" s="2" t="s">
        <v>165</v>
      </c>
    </row>
    <row r="306" customFormat="false" ht="15" hidden="false" customHeight="false" outlineLevel="0" collapsed="false">
      <c r="A306" s="2" t="s">
        <v>161</v>
      </c>
      <c r="B306" s="2" t="s">
        <v>97</v>
      </c>
      <c r="C306" s="2" t="s">
        <v>130</v>
      </c>
      <c r="D306" s="2" t="s">
        <v>194</v>
      </c>
      <c r="E306" s="2" t="str">
        <f aca="false">C306&amp;D306</f>
        <v>UTD SEABRAQuantidade de notas reguladas Pendentes FP</v>
      </c>
      <c r="F306" s="2" t="s">
        <v>167</v>
      </c>
      <c r="G306" s="2" t="s">
        <v>195</v>
      </c>
      <c r="H306" s="2" t="s">
        <v>102</v>
      </c>
      <c r="I306" s="2" t="s">
        <v>169</v>
      </c>
      <c r="J306" s="2" t="n">
        <v>1</v>
      </c>
      <c r="K306" s="2" t="s">
        <v>104</v>
      </c>
      <c r="L306" s="3" t="n">
        <v>0.03</v>
      </c>
      <c r="M306" s="3" t="n">
        <v>0.168</v>
      </c>
      <c r="N306" s="4" t="n">
        <f aca="false">IF(OR(L306="",M306=""),"",IFERROR(IF($K306="%",M306-L306,M306/L306-1),""))</f>
        <v>0.138</v>
      </c>
      <c r="O306" s="5" t="str">
        <f aca="false">IF(OR(L306="",M306=""),"",IF($F306="Maior Melhor",IF(M306&gt;=L306,"Sim","Não"),IF(M306&lt;=L306,"Sim","Não")))</f>
        <v>Não</v>
      </c>
      <c r="P306" s="3" t="n">
        <v>0.03</v>
      </c>
      <c r="Q306" s="3" t="n">
        <v>0.174</v>
      </c>
      <c r="R306" s="4" t="n">
        <f aca="false">IF(OR(P306="",Q306=""),"",IFERROR(IF($K306="%",Q306-P306,Q306/P306-1),""))</f>
        <v>0.144</v>
      </c>
      <c r="S306" s="5" t="str">
        <f aca="false">IF(OR(P306="",Q306=""),"",IF($F306="Maior Melhor",IF(Q306&gt;=P306,"Sim","Não"),IF(Q306&lt;=P306,"Sim","Não")))</f>
        <v>Não</v>
      </c>
      <c r="T306" s="3" t="n">
        <v>0.03</v>
      </c>
      <c r="U306" s="3" t="n">
        <v>0.149</v>
      </c>
      <c r="V306" s="4" t="n">
        <f aca="false">IF(OR(T306="",U306=""),"",IFERROR(IF($K306="%",U306-T306,U306/T306-1),""))</f>
        <v>0.119</v>
      </c>
      <c r="W306" s="5" t="str">
        <f aca="false">IF(OR(T306="",U306=""),"",IF($F306="Maior Melhor",IF(U306&gt;=T306,"Sim","Não"),IF(U306&lt;=T306,"Sim","Não")))</f>
        <v>Não</v>
      </c>
      <c r="X306" s="3" t="n">
        <v>0.03</v>
      </c>
      <c r="Y306" s="3" t="n">
        <v>0.0263</v>
      </c>
      <c r="Z306" s="4" t="n">
        <f aca="false">IF(OR(X306="",Y306=""),"",IFERROR(IF($K306="%",Y306-X306,Y306/X306-1),""))</f>
        <v>-0.0037</v>
      </c>
      <c r="AA306" s="5" t="str">
        <f aca="false">IF(OR(X306="",Y306=""),"",IF($F306="Maior Melhor",IF(Y306&gt;=X306,"Sim","Não"),IF(Y306&lt;=X306,"Sim","Não")))</f>
        <v>Sim</v>
      </c>
      <c r="AB306" s="3" t="n">
        <v>0.03</v>
      </c>
      <c r="AC306" s="3" t="n">
        <v>0.0263</v>
      </c>
      <c r="AD306" s="4" t="n">
        <f aca="false">IF(OR(AB306="",AC306=""),"",IFERROR(IF($K306="%",AC306-AB306,AC306/AB306-1),""))</f>
        <v>-0.0037</v>
      </c>
      <c r="AE306" s="5" t="str">
        <f aca="false">IF(OR(AB306="",AC306=""),"",IF($F306="Maior Melhor",IF(AC306&gt;=AB306,"Sim","Não"),IF(AC306&lt;=AB306,"Sim","Não")))</f>
        <v>Sim</v>
      </c>
      <c r="AF306" s="3" t="n">
        <v>0.03</v>
      </c>
      <c r="AG306" s="3" t="n">
        <v>0.02027027</v>
      </c>
      <c r="AH306" s="4" t="n">
        <f aca="false">IF(OR(AF306="",AG306=""),"",IFERROR(IF($K306="%",AG306-AF306,AG306/AF306-1),""))</f>
        <v>-0.00972973</v>
      </c>
      <c r="AI306" s="5" t="str">
        <f aca="false">IF(OR(AF306="",AG306=""),"",IF($F306="Maior Melhor",IF(AG306&gt;=AF306,"Sim","Não"),IF(AG306&lt;=AF306,"Sim","Não")))</f>
        <v>Sim</v>
      </c>
      <c r="AJ306" s="3" t="n">
        <v>0.03</v>
      </c>
      <c r="AK306" s="3" t="n">
        <v>0.02027027</v>
      </c>
      <c r="AL306" s="4" t="n">
        <f aca="false">IF(OR(AJ306="",AK306=""),"",IFERROR(IF($K306="%",AK306-AJ306,AK306/AJ306-1),""))</f>
        <v>-0.00972973</v>
      </c>
      <c r="AM306" s="5" t="str">
        <f aca="false">IF(OR(AJ306="",AK306=""),"",IF($F306="Maior Melhor",IF(AK306&gt;=AJ306,"Sim","Não"),IF(AK306&lt;=AJ306,"Sim","Não")))</f>
        <v>Sim</v>
      </c>
      <c r="AN306" s="3" t="n">
        <v>0.03</v>
      </c>
      <c r="AO306" s="3" t="n">
        <v>0.00462963</v>
      </c>
      <c r="AP306" s="4" t="n">
        <f aca="false">IF(OR(AN306="",AO306=""),"",IFERROR(IF($K306="%",AO306-AN306,AO306/AN306-1),""))</f>
        <v>-0.02537037</v>
      </c>
      <c r="AQ306" s="5" t="str">
        <f aca="false">IF(OR(AN306="",AO306=""),"",IF($F306="Maior Melhor",IF(AO306&gt;=AN306,"Sim","Não"),IF(AO306&lt;=AN306,"Sim","Não")))</f>
        <v>Sim</v>
      </c>
      <c r="AR306" s="3" t="n">
        <v>0.03</v>
      </c>
      <c r="AS306" s="3" t="n">
        <v>0.00462963</v>
      </c>
      <c r="AT306" s="4" t="n">
        <f aca="false">IF(OR(AR306="",AS306=""),"",IFERROR(IF($K306="%",AS306-AR306,AS306/AR306-1),""))</f>
        <v>-0.02537037</v>
      </c>
      <c r="AU306" s="5" t="str">
        <f aca="false">IF(OR(AR306="",AS306=""),"",IF($F306="Maior Melhor",IF(AS306&gt;=AR306,"Sim","Não"),IF(AS306&lt;=AR306,"Sim","Não")))</f>
        <v>Sim</v>
      </c>
      <c r="AV306" s="3" t="n">
        <v>0.03</v>
      </c>
      <c r="AW306" s="3" t="n">
        <v>0.006</v>
      </c>
      <c r="AX306" s="4" t="n">
        <f aca="false">IF(OR(AV306="",AW306=""),"",IFERROR(IF($K306="%",AW306-AV306,AW306/AV306-1),""))</f>
        <v>-0.024</v>
      </c>
      <c r="AY306" s="5" t="str">
        <f aca="false">IF(OR(AV306="",AW306=""),"",IF($F306="Maior Melhor",IF(AW306&gt;=AV306,"Sim","Não"),IF(AW306&lt;=AV306,"Sim","Não")))</f>
        <v>Sim</v>
      </c>
      <c r="AZ306" s="3" t="n">
        <v>0.03</v>
      </c>
      <c r="BA306" s="3" t="n">
        <v>0.006</v>
      </c>
      <c r="BB306" s="4" t="n">
        <f aca="false">IF(OR(AZ306="",BA306=""),"",IFERROR(IF($K306="%",BA306-AZ306,BA306/AZ306-1),""))</f>
        <v>-0.024</v>
      </c>
      <c r="BC306" s="5" t="str">
        <f aca="false">IF(OR(AZ306="",BA306=""),"",IF($F306="Maior Melhor",IF(BA306&gt;=AZ306,"Sim","Não"),IF(BA306&lt;=AZ306,"Sim","Não")))</f>
        <v>Sim</v>
      </c>
      <c r="BD306" s="3" t="n">
        <v>0.03</v>
      </c>
      <c r="BE306" s="3" t="n">
        <v>0</v>
      </c>
      <c r="BF306" s="4" t="n">
        <f aca="false">IF(OR(BD306="",BE306=""),"",IFERROR(IF($K306="%",BE306-BD306,BE306/BD306-1),""))</f>
        <v>-0.03</v>
      </c>
      <c r="BG306" s="5" t="str">
        <f aca="false">IF(OR(BD306="",BE306=""),"",IF($F306="Maior Melhor",IF(BE306&gt;=BD306,"Sim","Não"),IF(BE306&lt;=BD306,"Sim","Não")))</f>
        <v>Sim</v>
      </c>
      <c r="BH306" s="3" t="n">
        <v>0.03</v>
      </c>
      <c r="BI306" s="3" t="n">
        <v>0</v>
      </c>
      <c r="BJ306" s="4" t="n">
        <f aca="false">IF(OR(BH306="",BI306=""),"",IFERROR(IF($K306="%",BI306-BH306,BI306/BH306-1),""))</f>
        <v>-0.03</v>
      </c>
      <c r="BK306" s="5" t="str">
        <f aca="false">IF(OR(BH306="",BI306=""),"",IF($F306="Maior Melhor",IF(BI306&gt;=BH306,"Sim","Não"),IF(BI306&lt;=BH306,"Sim","Não")))</f>
        <v>Sim</v>
      </c>
      <c r="BL306" s="6"/>
      <c r="BM306" s="6"/>
      <c r="BN306" s="4" t="str">
        <f aca="false">IF(OR(BL306="",BM306=""),"",IFERROR(IF($K306="%",BM306-BL306,BM306/BL306-1),""))</f>
        <v/>
      </c>
      <c r="BO306" s="5" t="str">
        <f aca="false">IF(OR(BL306="",BM306=""),"",IF($F306="Maior Melhor",IF(BM306&gt;=BL306,"Sim","Não"),IF(BM306&lt;=BL306,"Sim","Não")))</f>
        <v/>
      </c>
      <c r="BP306" s="6"/>
      <c r="BQ306" s="6"/>
      <c r="BR306" s="4" t="str">
        <f aca="false">IF(OR(BP306="",BQ306=""),"",IFERROR(IF($K306="%",BQ306-BP306,BQ306/BP306-1),""))</f>
        <v/>
      </c>
      <c r="BS306" s="5" t="str">
        <f aca="false">IF(OR(BP306="",BQ306=""),"",IF($F306="Maior Melhor",IF(BQ306&gt;=BP306,"Sim","Não"),IF(BQ306&lt;=BP306,"Sim","Não")))</f>
        <v/>
      </c>
      <c r="BT306" s="6"/>
      <c r="BU306" s="6"/>
      <c r="BV306" s="4" t="str">
        <f aca="false">IF(OR(BT306="",BU306=""),"",IFERROR(IF($K306="%",BU306-BT306,BU306/BT306-1),""))</f>
        <v/>
      </c>
      <c r="BW306" s="5" t="str">
        <f aca="false">IF(OR(BT306="",BU306=""),"",IF($F306="Maior Melhor",IF(BU306&gt;=BT306,"Sim","Não"),IF(BU306&lt;=BT306,"Sim","Não")))</f>
        <v/>
      </c>
      <c r="BX306" s="6"/>
      <c r="BY306" s="6"/>
      <c r="BZ306" s="4" t="str">
        <f aca="false">IF(OR(BX306="",BY306=""),"",IFERROR(IF($K306="%",BY306-BX306,BY306/BX306-1),""))</f>
        <v/>
      </c>
      <c r="CA306" s="5" t="str">
        <f aca="false">IF(OR(BX306="",BY306=""),"",IF($F306="Maior Melhor",IF(BY306&gt;=BX306,"Sim","Não"),IF(BY306&lt;=BX306,"Sim","Não")))</f>
        <v/>
      </c>
      <c r="CB306" s="6"/>
      <c r="CC306" s="6"/>
      <c r="CD306" s="4" t="str">
        <f aca="false">IF(OR(CB306="",CC306=""),"",IFERROR(IF($K306="%",CC306-CB306,CC306/CB306-1),""))</f>
        <v/>
      </c>
      <c r="CE306" s="5" t="str">
        <f aca="false">IF(OR(CB306="",CC306=""),"",IF($F306="Maior Melhor",IF(CC306&gt;=CB306,"Sim","Não"),IF(CC306&lt;=CB306,"Sim","Não")))</f>
        <v/>
      </c>
      <c r="CF306" s="6"/>
      <c r="CG306" s="6"/>
      <c r="CH306" s="4" t="str">
        <f aca="false">IF(OR(CF306="",CG306=""),"",IFERROR(IF($K306="%",CG306-CF306,CG306/CF306-1),""))</f>
        <v/>
      </c>
      <c r="CI306" s="5" t="str">
        <f aca="false">IF(OR(CF306="",CG306=""),"",IF($F306="Maior Melhor",IF(CG306&gt;=CF306,"Sim","Não"),IF(CG306&lt;=CF306,"Sim","Não")))</f>
        <v/>
      </c>
      <c r="CJ306" s="6"/>
      <c r="CK306" s="6"/>
      <c r="CL306" s="4" t="str">
        <f aca="false">IF(OR(CJ306="",CK306=""),"",IFERROR(IF($K306="%",CK306-CJ306,CK306/CJ306-1),""))</f>
        <v/>
      </c>
      <c r="CM306" s="5" t="str">
        <f aca="false">IF(OR(CJ306="",CK306=""),"",IF($F306="Maior Melhor",IF(CK306&gt;=CJ306,"Sim","Não"),IF(CK306&lt;=CJ306,"Sim","Não")))</f>
        <v/>
      </c>
      <c r="CN306" s="6"/>
      <c r="CO306" s="6"/>
      <c r="CP306" s="4" t="str">
        <f aca="false">IF(OR(CN306="",CO306=""),"",IFERROR(IF($K306="%",CO306-CN306,CO306/CN306-1),""))</f>
        <v/>
      </c>
      <c r="CQ306" s="5" t="str">
        <f aca="false">IF(OR(CN306="",CO306=""),"",IF($F306="Maior Melhor",IF(CO306&gt;=CN306,"Sim","Não"),IF(CO306&lt;=CN306,"Sim","Não")))</f>
        <v/>
      </c>
      <c r="CR306" s="2" t="s">
        <v>105</v>
      </c>
    </row>
    <row r="307" customFormat="false" ht="15" hidden="false" customHeight="false" outlineLevel="0" collapsed="false">
      <c r="A307" s="2" t="s">
        <v>161</v>
      </c>
      <c r="B307" s="2" t="s">
        <v>108</v>
      </c>
      <c r="C307" s="2" t="s">
        <v>131</v>
      </c>
      <c r="D307" s="2" t="s">
        <v>194</v>
      </c>
      <c r="E307" s="2" t="str">
        <f aca="false">C307&amp;D307</f>
        <v>UTD VITORIA DA CONQUISTAQuantidade de notas reguladas Pendentes FP</v>
      </c>
      <c r="F307" s="2" t="s">
        <v>167</v>
      </c>
      <c r="G307" s="2" t="s">
        <v>195</v>
      </c>
      <c r="H307" s="2" t="s">
        <v>102</v>
      </c>
      <c r="I307" s="2" t="s">
        <v>169</v>
      </c>
      <c r="J307" s="2" t="n">
        <v>1</v>
      </c>
      <c r="K307" s="2" t="s">
        <v>104</v>
      </c>
      <c r="L307" s="3" t="n">
        <v>0.03</v>
      </c>
      <c r="M307" s="3" t="n">
        <v>0.051</v>
      </c>
      <c r="N307" s="4" t="n">
        <f aca="false">IF(OR(L307="",M307=""),"",IFERROR(IF($K307="%",M307-L307,M307/L307-1),""))</f>
        <v>0.021</v>
      </c>
      <c r="O307" s="5" t="str">
        <f aca="false">IF(OR(L307="",M307=""),"",IF($F307="Maior Melhor",IF(M307&gt;=L307,"Sim","Não"),IF(M307&lt;=L307,"Sim","Não")))</f>
        <v>Não</v>
      </c>
      <c r="P307" s="3" t="n">
        <v>0.03</v>
      </c>
      <c r="Q307" s="3" t="n">
        <v>0.038</v>
      </c>
      <c r="R307" s="4" t="n">
        <f aca="false">IF(OR(P307="",Q307=""),"",IFERROR(IF($K307="%",Q307-P307,Q307/P307-1),""))</f>
        <v>0.008</v>
      </c>
      <c r="S307" s="5" t="str">
        <f aca="false">IF(OR(P307="",Q307=""),"",IF($F307="Maior Melhor",IF(Q307&gt;=P307,"Sim","Não"),IF(Q307&lt;=P307,"Sim","Não")))</f>
        <v>Não</v>
      </c>
      <c r="T307" s="3" t="n">
        <v>0.03</v>
      </c>
      <c r="U307" s="3" t="n">
        <v>0.042</v>
      </c>
      <c r="V307" s="4" t="n">
        <f aca="false">IF(OR(T307="",U307=""),"",IFERROR(IF($K307="%",U307-T307,U307/T307-1),""))</f>
        <v>0.012</v>
      </c>
      <c r="W307" s="5" t="str">
        <f aca="false">IF(OR(T307="",U307=""),"",IF($F307="Maior Melhor",IF(U307&gt;=T307,"Sim","Não"),IF(U307&lt;=T307,"Sim","Não")))</f>
        <v>Não</v>
      </c>
      <c r="X307" s="3" t="n">
        <v>0.03</v>
      </c>
      <c r="Y307" s="3" t="n">
        <v>0.0114</v>
      </c>
      <c r="Z307" s="4" t="n">
        <f aca="false">IF(OR(X307="",Y307=""),"",IFERROR(IF($K307="%",Y307-X307,Y307/X307-1),""))</f>
        <v>-0.0186</v>
      </c>
      <c r="AA307" s="5" t="str">
        <f aca="false">IF(OR(X307="",Y307=""),"",IF($F307="Maior Melhor",IF(Y307&gt;=X307,"Sim","Não"),IF(Y307&lt;=X307,"Sim","Não")))</f>
        <v>Sim</v>
      </c>
      <c r="AB307" s="3" t="n">
        <v>0.03</v>
      </c>
      <c r="AC307" s="3" t="n">
        <v>0.0114</v>
      </c>
      <c r="AD307" s="4" t="n">
        <f aca="false">IF(OR(AB307="",AC307=""),"",IFERROR(IF($K307="%",AC307-AB307,AC307/AB307-1),""))</f>
        <v>-0.0186</v>
      </c>
      <c r="AE307" s="5" t="str">
        <f aca="false">IF(OR(AB307="",AC307=""),"",IF($F307="Maior Melhor",IF(AC307&gt;=AB307,"Sim","Não"),IF(AC307&lt;=AB307,"Sim","Não")))</f>
        <v>Sim</v>
      </c>
      <c r="AF307" s="3" t="n">
        <v>0.03</v>
      </c>
      <c r="AG307" s="3" t="n">
        <v>0.020740741</v>
      </c>
      <c r="AH307" s="4" t="n">
        <f aca="false">IF(OR(AF307="",AG307=""),"",IFERROR(IF($K307="%",AG307-AF307,AG307/AF307-1),""))</f>
        <v>-0.009259259</v>
      </c>
      <c r="AI307" s="5" t="str">
        <f aca="false">IF(OR(AF307="",AG307=""),"",IF($F307="Maior Melhor",IF(AG307&gt;=AF307,"Sim","Não"),IF(AG307&lt;=AF307,"Sim","Não")))</f>
        <v>Sim</v>
      </c>
      <c r="AJ307" s="3" t="n">
        <v>0.03</v>
      </c>
      <c r="AK307" s="3" t="n">
        <v>0.020740741</v>
      </c>
      <c r="AL307" s="4" t="n">
        <f aca="false">IF(OR(AJ307="",AK307=""),"",IFERROR(IF($K307="%",AK307-AJ307,AK307/AJ307-1),""))</f>
        <v>-0.009259259</v>
      </c>
      <c r="AM307" s="5" t="str">
        <f aca="false">IF(OR(AJ307="",AK307=""),"",IF($F307="Maior Melhor",IF(AK307&gt;=AJ307,"Sim","Não"),IF(AK307&lt;=AJ307,"Sim","Não")))</f>
        <v>Sim</v>
      </c>
      <c r="AN307" s="3" t="n">
        <v>0.03</v>
      </c>
      <c r="AO307" s="3" t="n">
        <v>0.009975062</v>
      </c>
      <c r="AP307" s="4" t="n">
        <f aca="false">IF(OR(AN307="",AO307=""),"",IFERROR(IF($K307="%",AO307-AN307,AO307/AN307-1),""))</f>
        <v>-0.020024938</v>
      </c>
      <c r="AQ307" s="5" t="str">
        <f aca="false">IF(OR(AN307="",AO307=""),"",IF($F307="Maior Melhor",IF(AO307&gt;=AN307,"Sim","Não"),IF(AO307&lt;=AN307,"Sim","Não")))</f>
        <v>Sim</v>
      </c>
      <c r="AR307" s="3" t="n">
        <v>0.03</v>
      </c>
      <c r="AS307" s="3" t="n">
        <v>0.009975062</v>
      </c>
      <c r="AT307" s="4" t="n">
        <f aca="false">IF(OR(AR307="",AS307=""),"",IFERROR(IF($K307="%",AS307-AR307,AS307/AR307-1),""))</f>
        <v>-0.020024938</v>
      </c>
      <c r="AU307" s="5" t="str">
        <f aca="false">IF(OR(AR307="",AS307=""),"",IF($F307="Maior Melhor",IF(AS307&gt;=AR307,"Sim","Não"),IF(AS307&lt;=AR307,"Sim","Não")))</f>
        <v>Sim</v>
      </c>
      <c r="AV307" s="3" t="n">
        <v>0.03</v>
      </c>
      <c r="AW307" s="3" t="n">
        <v>0.003</v>
      </c>
      <c r="AX307" s="4" t="n">
        <f aca="false">IF(OR(AV307="",AW307=""),"",IFERROR(IF($K307="%",AW307-AV307,AW307/AV307-1),""))</f>
        <v>-0.027</v>
      </c>
      <c r="AY307" s="5" t="str">
        <f aca="false">IF(OR(AV307="",AW307=""),"",IF($F307="Maior Melhor",IF(AW307&gt;=AV307,"Sim","Não"),IF(AW307&lt;=AV307,"Sim","Não")))</f>
        <v>Sim</v>
      </c>
      <c r="AZ307" s="3" t="n">
        <v>0.03</v>
      </c>
      <c r="BA307" s="3" t="n">
        <v>0.003</v>
      </c>
      <c r="BB307" s="4" t="n">
        <f aca="false">IF(OR(AZ307="",BA307=""),"",IFERROR(IF($K307="%",BA307-AZ307,BA307/AZ307-1),""))</f>
        <v>-0.027</v>
      </c>
      <c r="BC307" s="5" t="str">
        <f aca="false">IF(OR(AZ307="",BA307=""),"",IF($F307="Maior Melhor",IF(BA307&gt;=AZ307,"Sim","Não"),IF(BA307&lt;=AZ307,"Sim","Não")))</f>
        <v>Sim</v>
      </c>
      <c r="BD307" s="3" t="n">
        <v>0.03</v>
      </c>
      <c r="BE307" s="3" t="n">
        <v>0.014454665</v>
      </c>
      <c r="BF307" s="4" t="n">
        <f aca="false">IF(OR(BD307="",BE307=""),"",IFERROR(IF($K307="%",BE307-BD307,BE307/BD307-1),""))</f>
        <v>-0.015545335</v>
      </c>
      <c r="BG307" s="5" t="str">
        <f aca="false">IF(OR(BD307="",BE307=""),"",IF($F307="Maior Melhor",IF(BE307&gt;=BD307,"Sim","Não"),IF(BE307&lt;=BD307,"Sim","Não")))</f>
        <v>Sim</v>
      </c>
      <c r="BH307" s="3" t="n">
        <v>0.03</v>
      </c>
      <c r="BI307" s="3" t="n">
        <v>0.014454665</v>
      </c>
      <c r="BJ307" s="4" t="n">
        <f aca="false">IF(OR(BH307="",BI307=""),"",IFERROR(IF($K307="%",BI307-BH307,BI307/BH307-1),""))</f>
        <v>-0.015545335</v>
      </c>
      <c r="BK307" s="5" t="str">
        <f aca="false">IF(OR(BH307="",BI307=""),"",IF($F307="Maior Melhor",IF(BI307&gt;=BH307,"Sim","Não"),IF(BI307&lt;=BH307,"Sim","Não")))</f>
        <v>Sim</v>
      </c>
      <c r="BL307" s="6"/>
      <c r="BM307" s="6"/>
      <c r="BN307" s="4" t="str">
        <f aca="false">IF(OR(BL307="",BM307=""),"",IFERROR(IF($K307="%",BM307-BL307,BM307/BL307-1),""))</f>
        <v/>
      </c>
      <c r="BO307" s="5" t="str">
        <f aca="false">IF(OR(BL307="",BM307=""),"",IF($F307="Maior Melhor",IF(BM307&gt;=BL307,"Sim","Não"),IF(BM307&lt;=BL307,"Sim","Não")))</f>
        <v/>
      </c>
      <c r="BP307" s="6"/>
      <c r="BQ307" s="6"/>
      <c r="BR307" s="4" t="str">
        <f aca="false">IF(OR(BP307="",BQ307=""),"",IFERROR(IF($K307="%",BQ307-BP307,BQ307/BP307-1),""))</f>
        <v/>
      </c>
      <c r="BS307" s="5" t="str">
        <f aca="false">IF(OR(BP307="",BQ307=""),"",IF($F307="Maior Melhor",IF(BQ307&gt;=BP307,"Sim","Não"),IF(BQ307&lt;=BP307,"Sim","Não")))</f>
        <v/>
      </c>
      <c r="BT307" s="6"/>
      <c r="BU307" s="6"/>
      <c r="BV307" s="4" t="str">
        <f aca="false">IF(OR(BT307="",BU307=""),"",IFERROR(IF($K307="%",BU307-BT307,BU307/BT307-1),""))</f>
        <v/>
      </c>
      <c r="BW307" s="5" t="str">
        <f aca="false">IF(OR(BT307="",BU307=""),"",IF($F307="Maior Melhor",IF(BU307&gt;=BT307,"Sim","Não"),IF(BU307&lt;=BT307,"Sim","Não")))</f>
        <v/>
      </c>
      <c r="BX307" s="6"/>
      <c r="BY307" s="6"/>
      <c r="BZ307" s="4" t="str">
        <f aca="false">IF(OR(BX307="",BY307=""),"",IFERROR(IF($K307="%",BY307-BX307,BY307/BX307-1),""))</f>
        <v/>
      </c>
      <c r="CA307" s="5" t="str">
        <f aca="false">IF(OR(BX307="",BY307=""),"",IF($F307="Maior Melhor",IF(BY307&gt;=BX307,"Sim","Não"),IF(BY307&lt;=BX307,"Sim","Não")))</f>
        <v/>
      </c>
      <c r="CB307" s="6"/>
      <c r="CC307" s="6"/>
      <c r="CD307" s="4" t="str">
        <f aca="false">IF(OR(CB307="",CC307=""),"",IFERROR(IF($K307="%",CC307-CB307,CC307/CB307-1),""))</f>
        <v/>
      </c>
      <c r="CE307" s="5" t="str">
        <f aca="false">IF(OR(CB307="",CC307=""),"",IF($F307="Maior Melhor",IF(CC307&gt;=CB307,"Sim","Não"),IF(CC307&lt;=CB307,"Sim","Não")))</f>
        <v/>
      </c>
      <c r="CF307" s="6"/>
      <c r="CG307" s="6"/>
      <c r="CH307" s="4" t="str">
        <f aca="false">IF(OR(CF307="",CG307=""),"",IFERROR(IF($K307="%",CG307-CF307,CG307/CF307-1),""))</f>
        <v/>
      </c>
      <c r="CI307" s="5" t="str">
        <f aca="false">IF(OR(CF307="",CG307=""),"",IF($F307="Maior Melhor",IF(CG307&gt;=CF307,"Sim","Não"),IF(CG307&lt;=CF307,"Sim","Não")))</f>
        <v/>
      </c>
      <c r="CJ307" s="6"/>
      <c r="CK307" s="6"/>
      <c r="CL307" s="4" t="str">
        <f aca="false">IF(OR(CJ307="",CK307=""),"",IFERROR(IF($K307="%",CK307-CJ307,CK307/CJ307-1),""))</f>
        <v/>
      </c>
      <c r="CM307" s="5" t="str">
        <f aca="false">IF(OR(CJ307="",CK307=""),"",IF($F307="Maior Melhor",IF(CK307&gt;=CJ307,"Sim","Não"),IF(CK307&lt;=CJ307,"Sim","Não")))</f>
        <v/>
      </c>
      <c r="CN307" s="6"/>
      <c r="CO307" s="6"/>
      <c r="CP307" s="4" t="str">
        <f aca="false">IF(OR(CN307="",CO307=""),"",IFERROR(IF($K307="%",CO307-CN307,CO307/CN307-1),""))</f>
        <v/>
      </c>
      <c r="CQ307" s="5" t="str">
        <f aca="false">IF(OR(CN307="",CO307=""),"",IF($F307="Maior Melhor",IF(CO307&gt;=CN307,"Sim","Não"),IF(CO307&lt;=CN307,"Sim","Não")))</f>
        <v/>
      </c>
      <c r="CR307" s="2" t="s">
        <v>105</v>
      </c>
    </row>
    <row r="308" customFormat="false" ht="15" hidden="false" customHeight="false" outlineLevel="0" collapsed="false">
      <c r="A308" s="2" t="s">
        <v>151</v>
      </c>
      <c r="B308" s="2" t="s">
        <v>97</v>
      </c>
      <c r="C308" s="2" t="s">
        <v>98</v>
      </c>
      <c r="D308" s="2" t="s">
        <v>196</v>
      </c>
      <c r="E308" s="2" t="str">
        <f aca="false">C308&amp;D308</f>
        <v>Gerência Centro OesteQuantidade Física de Horas Extras</v>
      </c>
      <c r="F308" s="2" t="s">
        <v>167</v>
      </c>
      <c r="G308" s="2" t="s">
        <v>197</v>
      </c>
      <c r="H308" s="2" t="s">
        <v>102</v>
      </c>
      <c r="I308" s="2" t="s">
        <v>169</v>
      </c>
      <c r="J308" s="2" t="n">
        <v>2</v>
      </c>
      <c r="K308" s="2" t="s">
        <v>198</v>
      </c>
      <c r="L308" s="13" t="n">
        <v>7307.74</v>
      </c>
      <c r="M308" s="13" t="n">
        <v>8376.62</v>
      </c>
      <c r="N308" s="4" t="n">
        <f aca="false">IF(OR(L308="",M308=""),"",IFERROR(IF($K308="%",M308-L308,M308/L308-1),""))</f>
        <v>0.14626683489013</v>
      </c>
      <c r="O308" s="5" t="str">
        <f aca="false">IF(OR(L308="",M308=""),"",IF($F308="Maior Melhor",IF(M308&gt;=L308,"Sim","Não"),IF(M308&lt;=L308,"Sim","Não")))</f>
        <v>Não</v>
      </c>
      <c r="P308" s="13" t="n">
        <v>5180.42</v>
      </c>
      <c r="Q308" s="13" t="n">
        <v>9240.28</v>
      </c>
      <c r="R308" s="4" t="n">
        <f aca="false">IF(OR(P308="",Q308=""),"",IFERROR(IF($K308="%",Q308-P308,Q308/P308-1),""))</f>
        <v>0.783693214063725</v>
      </c>
      <c r="S308" s="5" t="str">
        <f aca="false">IF(OR(P308="",Q308=""),"",IF($F308="Maior Melhor",IF(Q308&gt;=P308,"Sim","Não"),IF(Q308&lt;=P308,"Sim","Não")))</f>
        <v>Não</v>
      </c>
      <c r="T308" s="13" t="n">
        <v>4235.41</v>
      </c>
      <c r="U308" s="13" t="n">
        <v>8156.24</v>
      </c>
      <c r="V308" s="4" t="n">
        <f aca="false">IF(OR(T308="",U308=""),"",IFERROR(IF($K308="%",U308-T308,U308/T308-1),""))</f>
        <v>0.925726198880392</v>
      </c>
      <c r="W308" s="5" t="str">
        <f aca="false">IF(OR(T308="",U308=""),"",IF($F308="Maior Melhor",IF(U308&gt;=T308,"Sim","Não"),IF(U308&lt;=T308,"Sim","Não")))</f>
        <v>Não</v>
      </c>
      <c r="X308" s="13" t="n">
        <v>5519.54</v>
      </c>
      <c r="Y308" s="13" t="n">
        <v>5826.26</v>
      </c>
      <c r="Z308" s="4" t="n">
        <f aca="false">IF(OR(X308="",Y308=""),"",IFERROR(IF($K308="%",Y308-X308,Y308/X308-1),""))</f>
        <v>0.0555698482119886</v>
      </c>
      <c r="AA308" s="5" t="str">
        <f aca="false">IF(OR(X308="",Y308=""),"",IF($F308="Maior Melhor",IF(Y308&gt;=X308,"Sim","Não"),IF(Y308&lt;=X308,"Sim","Não")))</f>
        <v>Não</v>
      </c>
      <c r="AB308" s="13" t="n">
        <v>22243.1</v>
      </c>
      <c r="AC308" s="13" t="n">
        <v>31599.4</v>
      </c>
      <c r="AD308" s="4" t="n">
        <f aca="false">IF(OR(AB308="",AC308=""),"",IFERROR(IF($K308="%",AC308-AB308,AC308/AB308-1),""))</f>
        <v>0.420638310307466</v>
      </c>
      <c r="AE308" s="5" t="str">
        <f aca="false">IF(OR(AB308="",AC308=""),"",IF($F308="Maior Melhor",IF(AC308&gt;=AB308,"Sim","Não"),IF(AC308&lt;=AB308,"Sim","Não")))</f>
        <v>Não</v>
      </c>
      <c r="AF308" s="13" t="n">
        <v>6624.53</v>
      </c>
      <c r="AG308" s="13" t="n">
        <v>4118.87</v>
      </c>
      <c r="AH308" s="4" t="n">
        <f aca="false">IF(OR(AF308="",AG308=""),"",IFERROR(IF($K308="%",AG308-AF308,AG308/AF308-1),""))</f>
        <v>-0.378239663795016</v>
      </c>
      <c r="AI308" s="5" t="str">
        <f aca="false">IF(OR(AF308="",AG308=""),"",IF($F308="Maior Melhor",IF(AG308&gt;=AF308,"Sim","Não"),IF(AG308&lt;=AF308,"Sim","Não")))</f>
        <v>Sim</v>
      </c>
      <c r="AJ308" s="13" t="n">
        <v>28867.63</v>
      </c>
      <c r="AK308" s="13" t="n">
        <v>35680.16</v>
      </c>
      <c r="AL308" s="4" t="n">
        <f aca="false">IF(OR(AJ308="",AK308=""),"",IFERROR(IF($K308="%",AK308-AJ308,AK308/AJ308-1),""))</f>
        <v>0.235992009042654</v>
      </c>
      <c r="AM308" s="5" t="str">
        <f aca="false">IF(OR(AJ308="",AK308=""),"",IF($F308="Maior Melhor",IF(AK308&gt;=AJ308,"Sim","Não"),IF(AK308&lt;=AJ308,"Sim","Não")))</f>
        <v>Não</v>
      </c>
      <c r="AN308" s="13" t="n">
        <v>7009.7</v>
      </c>
      <c r="AO308" s="13" t="n">
        <v>4180.49</v>
      </c>
      <c r="AP308" s="4" t="n">
        <f aca="false">IF(OR(AN308="",AO308=""),"",IFERROR(IF($K308="%",AO308-AN308,AO308/AN308-1),""))</f>
        <v>-0.40361356406123</v>
      </c>
      <c r="AQ308" s="5" t="str">
        <f aca="false">IF(OR(AN308="",AO308=""),"",IF($F308="Maior Melhor",IF(AO308&gt;=AN308,"Sim","Não"),IF(AO308&lt;=AN308,"Sim","Não")))</f>
        <v>Sim</v>
      </c>
      <c r="AR308" s="13" t="n">
        <v>35877.33</v>
      </c>
      <c r="AS308" s="13" t="n">
        <v>39909.57</v>
      </c>
      <c r="AT308" s="4" t="n">
        <f aca="false">IF(OR(AR308="",AS308=""),"",IFERROR(IF($K308="%",AS308-AR308,AS308/AR308-1),""))</f>
        <v>0.1123896343457</v>
      </c>
      <c r="AU308" s="5" t="str">
        <f aca="false">IF(OR(AR308="",AS308=""),"",IF($F308="Maior Melhor",IF(AS308&gt;=AR308,"Sim","Não"),IF(AS308&lt;=AR308,"Sim","Não")))</f>
        <v>Não</v>
      </c>
      <c r="AV308" s="13" t="n">
        <v>5234.48</v>
      </c>
      <c r="AW308" s="13" t="n">
        <v>2940.66</v>
      </c>
      <c r="AX308" s="4" t="n">
        <f aca="false">IF(OR(AV308="",AW308=""),"",IFERROR(IF($K308="%",AW308-AV308,AW308/AV308-1),""))</f>
        <v>-0.438213537925448</v>
      </c>
      <c r="AY308" s="5" t="str">
        <f aca="false">IF(OR(AV308="",AW308=""),"",IF($F308="Maior Melhor",IF(AW308&gt;=AV308,"Sim","Não"),IF(AW308&lt;=AV308,"Sim","Não")))</f>
        <v>Sim</v>
      </c>
      <c r="AZ308" s="13" t="n">
        <v>41111.82</v>
      </c>
      <c r="BA308" s="13" t="n">
        <v>42850.23</v>
      </c>
      <c r="BB308" s="4" t="n">
        <f aca="false">IF(OR(AZ308="",BA308=""),"",IFERROR(IF($K308="%",BA308-AZ308,BA308/AZ308-1),""))</f>
        <v>0.0422849195194959</v>
      </c>
      <c r="BC308" s="5" t="str">
        <f aca="false">IF(OR(AZ308="",BA308=""),"",IF($F308="Maior Melhor",IF(BA308&gt;=AZ308,"Sim","Não"),IF(BA308&lt;=AZ308,"Sim","Não")))</f>
        <v>Não</v>
      </c>
      <c r="BD308" s="13" t="n">
        <v>4850.5</v>
      </c>
      <c r="BE308" s="13" t="n">
        <v>2491.62</v>
      </c>
      <c r="BF308" s="4" t="n">
        <f aca="false">IF(OR(BD308="",BE308=""),"",IFERROR(IF($K308="%",BE308-BD308,BE308/BD308-1),""))</f>
        <v>-0.486316874549016</v>
      </c>
      <c r="BG308" s="5" t="str">
        <f aca="false">IF(OR(BD308="",BE308=""),"",IF($F308="Maior Melhor",IF(BE308&gt;=BD308,"Sim","Não"),IF(BE308&lt;=BD308,"Sim","Não")))</f>
        <v>Sim</v>
      </c>
      <c r="BH308" s="13" t="n">
        <v>45962.32</v>
      </c>
      <c r="BI308" s="13" t="n">
        <v>45341.92</v>
      </c>
      <c r="BJ308" s="4" t="n">
        <f aca="false">IF(OR(BH308="",BI308=""),"",IFERROR(IF($K308="%",BI308-BH308,BI308/BH308-1),""))</f>
        <v>-0.0134980131551237</v>
      </c>
      <c r="BK308" s="5" t="str">
        <f aca="false">IF(OR(BH308="",BI308=""),"",IF($F308="Maior Melhor",IF(BI308&gt;=BH308,"Sim","Não"),IF(BI308&lt;=BH308,"Sim","Não")))</f>
        <v>Sim</v>
      </c>
      <c r="BL308" s="14"/>
      <c r="BM308" s="14"/>
      <c r="BN308" s="4" t="str">
        <f aca="false">IF(OR(BL308="",BM308=""),"",IFERROR(IF($K308="%",BM308-BL308,BM308/BL308-1),""))</f>
        <v/>
      </c>
      <c r="BO308" s="5" t="str">
        <f aca="false">IF(OR(BL308="",BM308=""),"",IF($F308="Maior Melhor",IF(BM308&gt;=BL308,"Sim","Não"),IF(BM308&lt;=BL308,"Sim","Não")))</f>
        <v/>
      </c>
      <c r="BP308" s="14"/>
      <c r="BQ308" s="14"/>
      <c r="BR308" s="4" t="str">
        <f aca="false">IF(OR(BP308="",BQ308=""),"",IFERROR(IF($K308="%",BQ308-BP308,BQ308/BP308-1),""))</f>
        <v/>
      </c>
      <c r="BS308" s="5" t="str">
        <f aca="false">IF(OR(BP308="",BQ308=""),"",IF($F308="Maior Melhor",IF(BQ308&gt;=BP308,"Sim","Não"),IF(BQ308&lt;=BP308,"Sim","Não")))</f>
        <v/>
      </c>
      <c r="BT308" s="14"/>
      <c r="BU308" s="14"/>
      <c r="BV308" s="4" t="str">
        <f aca="false">IF(OR(BT308="",BU308=""),"",IFERROR(IF($K308="%",BU308-BT308,BU308/BT308-1),""))</f>
        <v/>
      </c>
      <c r="BW308" s="5" t="str">
        <f aca="false">IF(OR(BT308="",BU308=""),"",IF($F308="Maior Melhor",IF(BU308&gt;=BT308,"Sim","Não"),IF(BU308&lt;=BT308,"Sim","Não")))</f>
        <v/>
      </c>
      <c r="BX308" s="14"/>
      <c r="BY308" s="14"/>
      <c r="BZ308" s="4" t="str">
        <f aca="false">IF(OR(BX308="",BY308=""),"",IFERROR(IF($K308="%",BY308-BX308,BY308/BX308-1),""))</f>
        <v/>
      </c>
      <c r="CA308" s="5" t="str">
        <f aca="false">IF(OR(BX308="",BY308=""),"",IF($F308="Maior Melhor",IF(BY308&gt;=BX308,"Sim","Não"),IF(BY308&lt;=BX308,"Sim","Não")))</f>
        <v/>
      </c>
      <c r="CB308" s="14"/>
      <c r="CC308" s="14"/>
      <c r="CD308" s="4" t="str">
        <f aca="false">IF(OR(CB308="",CC308=""),"",IFERROR(IF($K308="%",CC308-CB308,CC308/CB308-1),""))</f>
        <v/>
      </c>
      <c r="CE308" s="5" t="str">
        <f aca="false">IF(OR(CB308="",CC308=""),"",IF($F308="Maior Melhor",IF(CC308&gt;=CB308,"Sim","Não"),IF(CC308&lt;=CB308,"Sim","Não")))</f>
        <v/>
      </c>
      <c r="CF308" s="14"/>
      <c r="CG308" s="14"/>
      <c r="CH308" s="4" t="str">
        <f aca="false">IF(OR(CF308="",CG308=""),"",IFERROR(IF($K308="%",CG308-CF308,CG308/CF308-1),""))</f>
        <v/>
      </c>
      <c r="CI308" s="5" t="str">
        <f aca="false">IF(OR(CF308="",CG308=""),"",IF($F308="Maior Melhor",IF(CG308&gt;=CF308,"Sim","Não"),IF(CG308&lt;=CF308,"Sim","Não")))</f>
        <v/>
      </c>
      <c r="CJ308" s="14"/>
      <c r="CK308" s="14"/>
      <c r="CL308" s="4" t="str">
        <f aca="false">IF(OR(CJ308="",CK308=""),"",IFERROR(IF($K308="%",CK308-CJ308,CK308/CJ308-1),""))</f>
        <v/>
      </c>
      <c r="CM308" s="5" t="str">
        <f aca="false">IF(OR(CJ308="",CK308=""),"",IF($F308="Maior Melhor",IF(CK308&gt;=CJ308,"Sim","Não"),IF(CK308&lt;=CJ308,"Sim","Não")))</f>
        <v/>
      </c>
      <c r="CN308" s="14"/>
      <c r="CO308" s="14"/>
      <c r="CP308" s="4" t="str">
        <f aca="false">IF(OR(CN308="",CO308=""),"",IFERROR(IF($K308="%",CO308-CN308,CO308/CN308-1),""))</f>
        <v/>
      </c>
      <c r="CQ308" s="5" t="str">
        <f aca="false">IF(OR(CN308="",CO308=""),"",IF($F308="Maior Melhor",IF(CO308&gt;=CN308,"Sim","Não"),IF(CO308&lt;=CN308,"Sim","Não")))</f>
        <v/>
      </c>
      <c r="CR308" s="2" t="s">
        <v>105</v>
      </c>
    </row>
    <row r="309" customFormat="false" ht="15" hidden="false" customHeight="false" outlineLevel="0" collapsed="false">
      <c r="A309" s="2" t="s">
        <v>151</v>
      </c>
      <c r="B309" s="2" t="s">
        <v>106</v>
      </c>
      <c r="C309" s="2" t="s">
        <v>107</v>
      </c>
      <c r="D309" s="2" t="s">
        <v>196</v>
      </c>
      <c r="E309" s="2" t="str">
        <f aca="false">C309&amp;D309</f>
        <v>Gerência OesteQuantidade Física de Horas Extras</v>
      </c>
      <c r="F309" s="2" t="s">
        <v>167</v>
      </c>
      <c r="G309" s="2" t="s">
        <v>197</v>
      </c>
      <c r="H309" s="2" t="s">
        <v>102</v>
      </c>
      <c r="I309" s="2" t="s">
        <v>169</v>
      </c>
      <c r="J309" s="2" t="n">
        <v>2</v>
      </c>
      <c r="K309" s="2" t="s">
        <v>198</v>
      </c>
      <c r="L309" s="13" t="n">
        <v>9230.58</v>
      </c>
      <c r="M309" s="13" t="n">
        <v>8464.12</v>
      </c>
      <c r="N309" s="4" t="n">
        <f aca="false">IF(OR(L309="",M309=""),"",IFERROR(IF($K309="%",M309-L309,M309/L309-1),""))</f>
        <v>-0.0830348688814786</v>
      </c>
      <c r="O309" s="5" t="str">
        <f aca="false">IF(OR(L309="",M309=""),"",IF($F309="Maior Melhor",IF(M309&gt;=L309,"Sim","Não"),IF(M309&lt;=L309,"Sim","Não")))</f>
        <v>Sim</v>
      </c>
      <c r="P309" s="13" t="n">
        <v>6545.32</v>
      </c>
      <c r="Q309" s="13" t="n">
        <v>9099.89</v>
      </c>
      <c r="R309" s="4" t="n">
        <f aca="false">IF(OR(P309="",Q309=""),"",IFERROR(IF($K309="%",Q309-P309,Q309/P309-1),""))</f>
        <v>0.390289550396314</v>
      </c>
      <c r="S309" s="5" t="str">
        <f aca="false">IF(OR(P309="",Q309=""),"",IF($F309="Maior Melhor",IF(Q309&gt;=P309,"Sim","Não"),IF(Q309&lt;=P309,"Sim","Não")))</f>
        <v>Não</v>
      </c>
      <c r="T309" s="13" t="n">
        <v>5349.32</v>
      </c>
      <c r="U309" s="13" t="n">
        <v>8732.95</v>
      </c>
      <c r="V309" s="4" t="n">
        <f aca="false">IF(OR(T309="",U309=""),"",IFERROR(IF($K309="%",U309-T309,U309/T309-1),""))</f>
        <v>0.63253460252892</v>
      </c>
      <c r="W309" s="5" t="str">
        <f aca="false">IF(OR(T309="",U309=""),"",IF($F309="Maior Melhor",IF(U309&gt;=T309,"Sim","Não"),IF(U309&lt;=T309,"Sim","Não")))</f>
        <v>Não</v>
      </c>
      <c r="X309" s="13" t="n">
        <v>6971.42</v>
      </c>
      <c r="Y309" s="13" t="n">
        <v>7367.87</v>
      </c>
      <c r="Z309" s="4" t="n">
        <f aca="false">IF(OR(X309="",Y309=""),"",IFERROR(IF($K309="%",Y309-X309,Y309/X309-1),""))</f>
        <v>0.056867897788399</v>
      </c>
      <c r="AA309" s="5" t="str">
        <f aca="false">IF(OR(X309="",Y309=""),"",IF($F309="Maior Melhor",IF(Y309&gt;=X309,"Sim","Não"),IF(Y309&lt;=X309,"Sim","Não")))</f>
        <v>Não</v>
      </c>
      <c r="AB309" s="13" t="n">
        <v>28096.64</v>
      </c>
      <c r="AC309" s="13" t="n">
        <v>33664.83</v>
      </c>
      <c r="AD309" s="4" t="n">
        <f aca="false">IF(OR(AB309="",AC309=""),"",IFERROR(IF($K309="%",AC309-AB309,AC309/AB309-1),""))</f>
        <v>0.198179924716977</v>
      </c>
      <c r="AE309" s="5" t="str">
        <f aca="false">IF(OR(AB309="",AC309=""),"",IF($F309="Maior Melhor",IF(AC309&gt;=AB309,"Sim","Não"),IF(AC309&lt;=AB309,"Sim","Não")))</f>
        <v>Não</v>
      </c>
      <c r="AF309" s="13" t="n">
        <v>8367.41</v>
      </c>
      <c r="AG309" s="13" t="n">
        <v>4977.4</v>
      </c>
      <c r="AH309" s="4" t="n">
        <f aca="false">IF(OR(AF309="",AG309=""),"",IFERROR(IF($K309="%",AG309-AF309,AG309/AF309-1),""))</f>
        <v>-0.405144483179383</v>
      </c>
      <c r="AI309" s="5" t="str">
        <f aca="false">IF(OR(AF309="",AG309=""),"",IF($F309="Maior Melhor",IF(AG309&gt;=AF309,"Sim","Não"),IF(AG309&lt;=AF309,"Sim","Não")))</f>
        <v>Sim</v>
      </c>
      <c r="AJ309" s="13" t="n">
        <v>36464.05</v>
      </c>
      <c r="AK309" s="13" t="n">
        <v>38399.82</v>
      </c>
      <c r="AL309" s="4" t="n">
        <f aca="false">IF(OR(AJ309="",AK309=""),"",IFERROR(IF($K309="%",AK309-AJ309,AK309/AJ309-1),""))</f>
        <v>0.0530870816598814</v>
      </c>
      <c r="AM309" s="5" t="str">
        <f aca="false">IF(OR(AJ309="",AK309=""),"",IF($F309="Maior Melhor",IF(AK309&gt;=AJ309,"Sim","Não"),IF(AK309&lt;=AJ309,"Sim","Não")))</f>
        <v>Não</v>
      </c>
      <c r="AN309" s="13" t="n">
        <v>8853.55</v>
      </c>
      <c r="AO309" s="13" t="n">
        <v>4249.25</v>
      </c>
      <c r="AP309" s="4" t="n">
        <f aca="false">IF(OR(AN309="",AO309=""),"",IFERROR(IF($K309="%",AO309-AN309,AO309/AN309-1),""))</f>
        <v>-0.52005127886554</v>
      </c>
      <c r="AQ309" s="5" t="str">
        <f aca="false">IF(OR(AN309="",AO309=""),"",IF($F309="Maior Melhor",IF(AO309&gt;=AN309,"Sim","Não"),IF(AO309&lt;=AN309,"Sim","Não")))</f>
        <v>Sim</v>
      </c>
      <c r="AR309" s="13" t="n">
        <v>45317.59</v>
      </c>
      <c r="AS309" s="13" t="n">
        <v>42680.92</v>
      </c>
      <c r="AT309" s="4" t="n">
        <f aca="false">IF(OR(AR309="",AS309=""),"",IFERROR(IF($K309="%",AS309-AR309,AS309/AR309-1),""))</f>
        <v>-0.0581820436611921</v>
      </c>
      <c r="AU309" s="5" t="str">
        <f aca="false">IF(OR(AR309="",AS309=""),"",IF($F309="Maior Melhor",IF(AS309&gt;=AR309,"Sim","Não"),IF(AS309&lt;=AR309,"Sim","Não")))</f>
        <v>Sim</v>
      </c>
      <c r="AV309" s="13" t="n">
        <v>6610.38</v>
      </c>
      <c r="AW309" s="13" t="n">
        <v>3671.64</v>
      </c>
      <c r="AX309" s="4" t="n">
        <f aca="false">IF(OR(AV309="",AW309=""),"",IFERROR(IF($K309="%",AW309-AV309,AW309/AV309-1),""))</f>
        <v>-0.4445644577165</v>
      </c>
      <c r="AY309" s="5" t="str">
        <f aca="false">IF(OR(AV309="",AW309=""),"",IF($F309="Maior Melhor",IF(AW309&gt;=AV309,"Sim","Não"),IF(AW309&lt;=AV309,"Sim","Não")))</f>
        <v>Sim</v>
      </c>
      <c r="AZ309" s="13" t="n">
        <v>51927.97</v>
      </c>
      <c r="BA309" s="13" t="n">
        <v>46352.56</v>
      </c>
      <c r="BB309" s="4" t="n">
        <f aca="false">IF(OR(AZ309="",BA309=""),"",IFERROR(IF($K309="%",BA309-AZ309,BA309/AZ309-1),""))</f>
        <v>-0.10736814861047</v>
      </c>
      <c r="BC309" s="5" t="str">
        <f aca="false">IF(OR(AZ309="",BA309=""),"",IF($F309="Maior Melhor",IF(BA309&gt;=AZ309,"Sim","Não"),IF(BA309&lt;=AZ309,"Sim","Não")))</f>
        <v>Sim</v>
      </c>
      <c r="BD309" s="13" t="n">
        <v>6125.39</v>
      </c>
      <c r="BE309" s="13" t="n">
        <v>4216.65</v>
      </c>
      <c r="BF309" s="4" t="n">
        <f aca="false">IF(OR(BD309="",BE309=""),"",IFERROR(IF($K309="%",BE309-BD309,BE309/BD309-1),""))</f>
        <v>-0.311611179043294</v>
      </c>
      <c r="BG309" s="5" t="str">
        <f aca="false">IF(OR(BD309="",BE309=""),"",IF($F309="Maior Melhor",IF(BE309&gt;=BD309,"Sim","Não"),IF(BE309&lt;=BD309,"Sim","Não")))</f>
        <v>Sim</v>
      </c>
      <c r="BH309" s="13" t="n">
        <v>58053.36</v>
      </c>
      <c r="BI309" s="13" t="n">
        <v>50578.26</v>
      </c>
      <c r="BJ309" s="4" t="n">
        <f aca="false">IF(OR(BH309="",BI309=""),"",IFERROR(IF($K309="%",BI309-BH309,BI309/BH309-1),""))</f>
        <v>-0.128762572915676</v>
      </c>
      <c r="BK309" s="5" t="str">
        <f aca="false">IF(OR(BH309="",BI309=""),"",IF($F309="Maior Melhor",IF(BI309&gt;=BH309,"Sim","Não"),IF(BI309&lt;=BH309,"Sim","Não")))</f>
        <v>Sim</v>
      </c>
      <c r="BL309" s="14"/>
      <c r="BM309" s="14"/>
      <c r="BN309" s="4" t="str">
        <f aca="false">IF(OR(BL309="",BM309=""),"",IFERROR(IF($K309="%",BM309-BL309,BM309/BL309-1),""))</f>
        <v/>
      </c>
      <c r="BO309" s="5" t="str">
        <f aca="false">IF(OR(BL309="",BM309=""),"",IF($F309="Maior Melhor",IF(BM309&gt;=BL309,"Sim","Não"),IF(BM309&lt;=BL309,"Sim","Não")))</f>
        <v/>
      </c>
      <c r="BP309" s="14"/>
      <c r="BQ309" s="14"/>
      <c r="BR309" s="4" t="str">
        <f aca="false">IF(OR(BP309="",BQ309=""),"",IFERROR(IF($K309="%",BQ309-BP309,BQ309/BP309-1),""))</f>
        <v/>
      </c>
      <c r="BS309" s="5" t="str">
        <f aca="false">IF(OR(BP309="",BQ309=""),"",IF($F309="Maior Melhor",IF(BQ309&gt;=BP309,"Sim","Não"),IF(BQ309&lt;=BP309,"Sim","Não")))</f>
        <v/>
      </c>
      <c r="BT309" s="14"/>
      <c r="BU309" s="14"/>
      <c r="BV309" s="4" t="str">
        <f aca="false">IF(OR(BT309="",BU309=""),"",IFERROR(IF($K309="%",BU309-BT309,BU309/BT309-1),""))</f>
        <v/>
      </c>
      <c r="BW309" s="5" t="str">
        <f aca="false">IF(OR(BT309="",BU309=""),"",IF($F309="Maior Melhor",IF(BU309&gt;=BT309,"Sim","Não"),IF(BU309&lt;=BT309,"Sim","Não")))</f>
        <v/>
      </c>
      <c r="BX309" s="14"/>
      <c r="BY309" s="14"/>
      <c r="BZ309" s="4" t="str">
        <f aca="false">IF(OR(BX309="",BY309=""),"",IFERROR(IF($K309="%",BY309-BX309,BY309/BX309-1),""))</f>
        <v/>
      </c>
      <c r="CA309" s="5" t="str">
        <f aca="false">IF(OR(BX309="",BY309=""),"",IF($F309="Maior Melhor",IF(BY309&gt;=BX309,"Sim","Não"),IF(BY309&lt;=BX309,"Sim","Não")))</f>
        <v/>
      </c>
      <c r="CB309" s="14"/>
      <c r="CC309" s="14"/>
      <c r="CD309" s="4" t="str">
        <f aca="false">IF(OR(CB309="",CC309=""),"",IFERROR(IF($K309="%",CC309-CB309,CC309/CB309-1),""))</f>
        <v/>
      </c>
      <c r="CE309" s="5" t="str">
        <f aca="false">IF(OR(CB309="",CC309=""),"",IF($F309="Maior Melhor",IF(CC309&gt;=CB309,"Sim","Não"),IF(CC309&lt;=CB309,"Sim","Não")))</f>
        <v/>
      </c>
      <c r="CF309" s="14"/>
      <c r="CG309" s="14"/>
      <c r="CH309" s="4" t="str">
        <f aca="false">IF(OR(CF309="",CG309=""),"",IFERROR(IF($K309="%",CG309-CF309,CG309/CF309-1),""))</f>
        <v/>
      </c>
      <c r="CI309" s="5" t="str">
        <f aca="false">IF(OR(CF309="",CG309=""),"",IF($F309="Maior Melhor",IF(CG309&gt;=CF309,"Sim","Não"),IF(CG309&lt;=CF309,"Sim","Não")))</f>
        <v/>
      </c>
      <c r="CJ309" s="14"/>
      <c r="CK309" s="14"/>
      <c r="CL309" s="4" t="str">
        <f aca="false">IF(OR(CJ309="",CK309=""),"",IFERROR(IF($K309="%",CK309-CJ309,CK309/CJ309-1),""))</f>
        <v/>
      </c>
      <c r="CM309" s="5" t="str">
        <f aca="false">IF(OR(CJ309="",CK309=""),"",IF($F309="Maior Melhor",IF(CK309&gt;=CJ309,"Sim","Não"),IF(CK309&lt;=CJ309,"Sim","Não")))</f>
        <v/>
      </c>
      <c r="CN309" s="14"/>
      <c r="CO309" s="14"/>
      <c r="CP309" s="4" t="str">
        <f aca="false">IF(OR(CN309="",CO309=""),"",IFERROR(IF($K309="%",CO309-CN309,CO309/CN309-1),""))</f>
        <v/>
      </c>
      <c r="CQ309" s="5" t="str">
        <f aca="false">IF(OR(CN309="",CO309=""),"",IF($F309="Maior Melhor",IF(CO309&gt;=CN309,"Sim","Não"),IF(CO309&lt;=CN309,"Sim","Não")))</f>
        <v/>
      </c>
      <c r="CR309" s="2" t="s">
        <v>105</v>
      </c>
    </row>
    <row r="310" customFormat="false" ht="15" hidden="false" customHeight="false" outlineLevel="0" collapsed="false">
      <c r="A310" s="2" t="s">
        <v>151</v>
      </c>
      <c r="B310" s="2" t="s">
        <v>108</v>
      </c>
      <c r="C310" s="2" t="s">
        <v>109</v>
      </c>
      <c r="D310" s="2" t="s">
        <v>196</v>
      </c>
      <c r="E310" s="2" t="str">
        <f aca="false">C310&amp;D310</f>
        <v>Gerência SudoesteQuantidade Física de Horas Extras</v>
      </c>
      <c r="F310" s="2" t="s">
        <v>167</v>
      </c>
      <c r="G310" s="2" t="s">
        <v>197</v>
      </c>
      <c r="H310" s="2" t="s">
        <v>102</v>
      </c>
      <c r="I310" s="2" t="s">
        <v>169</v>
      </c>
      <c r="J310" s="2" t="n">
        <v>2</v>
      </c>
      <c r="K310" s="2" t="s">
        <v>198</v>
      </c>
      <c r="L310" s="13" t="n">
        <v>6587.82</v>
      </c>
      <c r="M310" s="13" t="n">
        <v>7702.09</v>
      </c>
      <c r="N310" s="4" t="n">
        <f aca="false">IF(OR(L310="",M310=""),"",IFERROR(IF($K310="%",M310-L310,M310/L310-1),""))</f>
        <v>0.169140929776466</v>
      </c>
      <c r="O310" s="5" t="str">
        <f aca="false">IF(OR(L310="",M310=""),"",IF($F310="Maior Melhor",IF(M310&gt;=L310,"Sim","Não"),IF(M310&lt;=L310,"Sim","Não")))</f>
        <v>Não</v>
      </c>
      <c r="P310" s="13" t="n">
        <v>4668.46</v>
      </c>
      <c r="Q310" s="13" t="n">
        <v>8305.19</v>
      </c>
      <c r="R310" s="4" t="n">
        <f aca="false">IF(OR(P310="",Q310=""),"",IFERROR(IF($K310="%",Q310-P310,Q310/P310-1),""))</f>
        <v>0.778999927170845</v>
      </c>
      <c r="S310" s="5" t="str">
        <f aca="false">IF(OR(P310="",Q310=""),"",IF($F310="Maior Melhor",IF(Q310&gt;=P310,"Sim","Não"),IF(Q310&lt;=P310,"Sim","Não")))</f>
        <v>Não</v>
      </c>
      <c r="T310" s="13" t="n">
        <v>3817.45</v>
      </c>
      <c r="U310" s="13" t="n">
        <v>8578.99</v>
      </c>
      <c r="V310" s="4" t="n">
        <f aca="false">IF(OR(T310="",U310=""),"",IFERROR(IF($K310="%",U310-T310,U310/T310-1),""))</f>
        <v>1.24730906757128</v>
      </c>
      <c r="W310" s="5" t="str">
        <f aca="false">IF(OR(T310="",U310=""),"",IF($F310="Maior Melhor",IF(U310&gt;=T310,"Sim","Não"),IF(U310&lt;=T310,"Sim","Não")))</f>
        <v>Não</v>
      </c>
      <c r="X310" s="13" t="n">
        <v>4973.6</v>
      </c>
      <c r="Y310" s="13" t="n">
        <v>6248.53</v>
      </c>
      <c r="Z310" s="4" t="n">
        <f aca="false">IF(OR(X310="",Y310=""),"",IFERROR(IF($K310="%",Y310-X310,Y310/X310-1),""))</f>
        <v>0.256339472414348</v>
      </c>
      <c r="AA310" s="5" t="str">
        <f aca="false">IF(OR(X310="",Y310=""),"",IF($F310="Maior Melhor",IF(Y310&gt;=X310,"Sim","Não"),IF(Y310&lt;=X310,"Sim","Não")))</f>
        <v>Não</v>
      </c>
      <c r="AB310" s="13" t="n">
        <v>20047.34</v>
      </c>
      <c r="AC310" s="13" t="n">
        <v>30825.8</v>
      </c>
      <c r="AD310" s="4" t="n">
        <f aca="false">IF(OR(AB310="",AC310=""),"",IFERROR(IF($K310="%",AC310-AB310,AC310/AB310-1),""))</f>
        <v>0.537650381546879</v>
      </c>
      <c r="AE310" s="5" t="str">
        <f aca="false">IF(OR(AB310="",AC310=""),"",IF($F310="Maior Melhor",IF(AC310&gt;=AB310,"Sim","Não"),IF(AC310&lt;=AB310,"Sim","Não")))</f>
        <v>Não</v>
      </c>
      <c r="AF310" s="13" t="n">
        <v>5971.59</v>
      </c>
      <c r="AG310" s="13" t="n">
        <v>4735.79</v>
      </c>
      <c r="AH310" s="4" t="n">
        <f aca="false">IF(OR(AF310="",AG310=""),"",IFERROR(IF($K310="%",AG310-AF310,AG310/AF310-1),""))</f>
        <v>-0.206946558621741</v>
      </c>
      <c r="AI310" s="5" t="str">
        <f aca="false">IF(OR(AF310="",AG310=""),"",IF($F310="Maior Melhor",IF(AG310&gt;=AF310,"Sim","Não"),IF(AG310&lt;=AF310,"Sim","Não")))</f>
        <v>Sim</v>
      </c>
      <c r="AJ310" s="13" t="n">
        <v>26018.92</v>
      </c>
      <c r="AK310" s="13" t="n">
        <v>35517.88</v>
      </c>
      <c r="AL310" s="4" t="n">
        <f aca="false">IF(OR(AJ310="",AK310=""),"",IFERROR(IF($K310="%",AK310-AJ310,AK310/AJ310-1),""))</f>
        <v>0.365078950240825</v>
      </c>
      <c r="AM310" s="5" t="str">
        <f aca="false">IF(OR(AJ310="",AK310=""),"",IF($F310="Maior Melhor",IF(AK310&gt;=AJ310,"Sim","Não"),IF(AK310&lt;=AJ310,"Sim","Não")))</f>
        <v>Não</v>
      </c>
      <c r="AN310" s="13" t="n">
        <v>6317.78</v>
      </c>
      <c r="AO310" s="13" t="n">
        <v>3609.15</v>
      </c>
      <c r="AP310" s="4" t="n">
        <f aca="false">IF(OR(AN310="",AO310=""),"",IFERROR(IF($K310="%",AO310-AN310,AO310/AN310-1),""))</f>
        <v>-0.428731294853572</v>
      </c>
      <c r="AQ310" s="5" t="str">
        <f aca="false">IF(OR(AN310="",AO310=""),"",IF($F310="Maior Melhor",IF(AO310&gt;=AN310,"Sim","Não"),IF(AO310&lt;=AN310,"Sim","Não")))</f>
        <v>Sim</v>
      </c>
      <c r="AR310" s="13" t="n">
        <v>32336.7</v>
      </c>
      <c r="AS310" s="13" t="n">
        <v>39101.41</v>
      </c>
      <c r="AT310" s="4" t="n">
        <f aca="false">IF(OR(AR310="",AS310=""),"",IFERROR(IF($K310="%",AS310-AR310,AS310/AR310-1),""))</f>
        <v>0.209196052782133</v>
      </c>
      <c r="AU310" s="5" t="str">
        <f aca="false">IF(OR(AR310="",AS310=""),"",IF($F310="Maior Melhor",IF(AS310&gt;=AR310,"Sim","Não"),IF(AS310&lt;=AR310,"Sim","Não")))</f>
        <v>Não</v>
      </c>
      <c r="AV310" s="13" t="n">
        <v>4716.54</v>
      </c>
      <c r="AW310" s="13" t="n">
        <v>2976.95</v>
      </c>
      <c r="AX310" s="4" t="n">
        <f aca="false">IF(OR(AV310="",AW310=""),"",IFERROR(IF($K310="%",AW310-AV310,AW310/AV310-1),""))</f>
        <v>-0.368827572754604</v>
      </c>
      <c r="AY310" s="5" t="str">
        <f aca="false">IF(OR(AV310="",AW310=""),"",IF($F310="Maior Melhor",IF(AW310&gt;=AV310,"Sim","Não"),IF(AW310&lt;=AV310,"Sim","Não")))</f>
        <v>Sim</v>
      </c>
      <c r="AZ310" s="13" t="n">
        <v>37053.24</v>
      </c>
      <c r="BA310" s="13" t="n">
        <v>42078.36</v>
      </c>
      <c r="BB310" s="4" t="n">
        <f aca="false">IF(OR(AZ310="",BA310=""),"",IFERROR(IF($K310="%",BA310-AZ310,BA310/AZ310-1),""))</f>
        <v>0.135618909439498</v>
      </c>
      <c r="BC310" s="5" t="str">
        <f aca="false">IF(OR(AZ310="",BA310=""),"",IF($F310="Maior Melhor",IF(BA310&gt;=AZ310,"Sim","Não"),IF(BA310&lt;=AZ310,"Sim","Não")))</f>
        <v>Não</v>
      </c>
      <c r="BD310" s="13" t="n">
        <v>4371.56</v>
      </c>
      <c r="BE310" s="13" t="n">
        <v>2536.43</v>
      </c>
      <c r="BF310" s="4" t="n">
        <f aca="false">IF(OR(BD310="",BE310=""),"",IFERROR(IF($K310="%",BE310-BD310,BE310/BD310-1),""))</f>
        <v>-0.41978835930423</v>
      </c>
      <c r="BG310" s="5" t="str">
        <f aca="false">IF(OR(BD310="",BE310=""),"",IF($F310="Maior Melhor",IF(BE310&gt;=BD310,"Sim","Não"),IF(BE310&lt;=BD310,"Sim","Não")))</f>
        <v>Sim</v>
      </c>
      <c r="BH310" s="13" t="n">
        <v>41424.79</v>
      </c>
      <c r="BI310" s="13" t="n">
        <v>44614.79</v>
      </c>
      <c r="BJ310" s="4" t="n">
        <f aca="false">IF(OR(BH310="",BI310=""),"",IFERROR(IF($K310="%",BI310-BH310,BI310/BH310-1),""))</f>
        <v>0.0770070288829468</v>
      </c>
      <c r="BK310" s="5" t="str">
        <f aca="false">IF(OR(BH310="",BI310=""),"",IF($F310="Maior Melhor",IF(BI310&gt;=BH310,"Sim","Não"),IF(BI310&lt;=BH310,"Sim","Não")))</f>
        <v>Não</v>
      </c>
      <c r="BL310" s="14"/>
      <c r="BM310" s="14"/>
      <c r="BN310" s="4" t="str">
        <f aca="false">IF(OR(BL310="",BM310=""),"",IFERROR(IF($K310="%",BM310-BL310,BM310/BL310-1),""))</f>
        <v/>
      </c>
      <c r="BO310" s="5" t="str">
        <f aca="false">IF(OR(BL310="",BM310=""),"",IF($F310="Maior Melhor",IF(BM310&gt;=BL310,"Sim","Não"),IF(BM310&lt;=BL310,"Sim","Não")))</f>
        <v/>
      </c>
      <c r="BP310" s="14"/>
      <c r="BQ310" s="14"/>
      <c r="BR310" s="4" t="str">
        <f aca="false">IF(OR(BP310="",BQ310=""),"",IFERROR(IF($K310="%",BQ310-BP310,BQ310/BP310-1),""))</f>
        <v/>
      </c>
      <c r="BS310" s="5" t="str">
        <f aca="false">IF(OR(BP310="",BQ310=""),"",IF($F310="Maior Melhor",IF(BQ310&gt;=BP310,"Sim","Não"),IF(BQ310&lt;=BP310,"Sim","Não")))</f>
        <v/>
      </c>
      <c r="BT310" s="14"/>
      <c r="BU310" s="14"/>
      <c r="BV310" s="4" t="str">
        <f aca="false">IF(OR(BT310="",BU310=""),"",IFERROR(IF($K310="%",BU310-BT310,BU310/BT310-1),""))</f>
        <v/>
      </c>
      <c r="BW310" s="5" t="str">
        <f aca="false">IF(OR(BT310="",BU310=""),"",IF($F310="Maior Melhor",IF(BU310&gt;=BT310,"Sim","Não"),IF(BU310&lt;=BT310,"Sim","Não")))</f>
        <v/>
      </c>
      <c r="BX310" s="14"/>
      <c r="BY310" s="14"/>
      <c r="BZ310" s="4" t="str">
        <f aca="false">IF(OR(BX310="",BY310=""),"",IFERROR(IF($K310="%",BY310-BX310,BY310/BX310-1),""))</f>
        <v/>
      </c>
      <c r="CA310" s="5" t="str">
        <f aca="false">IF(OR(BX310="",BY310=""),"",IF($F310="Maior Melhor",IF(BY310&gt;=BX310,"Sim","Não"),IF(BY310&lt;=BX310,"Sim","Não")))</f>
        <v/>
      </c>
      <c r="CB310" s="14"/>
      <c r="CC310" s="14"/>
      <c r="CD310" s="4" t="str">
        <f aca="false">IF(OR(CB310="",CC310=""),"",IFERROR(IF($K310="%",CC310-CB310,CC310/CB310-1),""))</f>
        <v/>
      </c>
      <c r="CE310" s="5" t="str">
        <f aca="false">IF(OR(CB310="",CC310=""),"",IF($F310="Maior Melhor",IF(CC310&gt;=CB310,"Sim","Não"),IF(CC310&lt;=CB310,"Sim","Não")))</f>
        <v/>
      </c>
      <c r="CF310" s="14"/>
      <c r="CG310" s="14"/>
      <c r="CH310" s="4" t="str">
        <f aca="false">IF(OR(CF310="",CG310=""),"",IFERROR(IF($K310="%",CG310-CF310,CG310/CF310-1),""))</f>
        <v/>
      </c>
      <c r="CI310" s="5" t="str">
        <f aca="false">IF(OR(CF310="",CG310=""),"",IF($F310="Maior Melhor",IF(CG310&gt;=CF310,"Sim","Não"),IF(CG310&lt;=CF310,"Sim","Não")))</f>
        <v/>
      </c>
      <c r="CJ310" s="14"/>
      <c r="CK310" s="14"/>
      <c r="CL310" s="4" t="str">
        <f aca="false">IF(OR(CJ310="",CK310=""),"",IFERROR(IF($K310="%",CK310-CJ310,CK310/CJ310-1),""))</f>
        <v/>
      </c>
      <c r="CM310" s="5" t="str">
        <f aca="false">IF(OR(CJ310="",CK310=""),"",IF($F310="Maior Melhor",IF(CK310&gt;=CJ310,"Sim","Não"),IF(CK310&lt;=CJ310,"Sim","Não")))</f>
        <v/>
      </c>
      <c r="CN310" s="14"/>
      <c r="CO310" s="14"/>
      <c r="CP310" s="4" t="str">
        <f aca="false">IF(OR(CN310="",CO310=""),"",IFERROR(IF($K310="%",CO310-CN310,CO310/CN310-1),""))</f>
        <v/>
      </c>
      <c r="CQ310" s="5" t="str">
        <f aca="false">IF(OR(CN310="",CO310=""),"",IF($F310="Maior Melhor",IF(CO310&gt;=CN310,"Sim","Não"),IF(CO310&lt;=CN310,"Sim","Não")))</f>
        <v/>
      </c>
      <c r="CR310" s="2" t="s">
        <v>105</v>
      </c>
    </row>
    <row r="311" customFormat="false" ht="15" hidden="false" customHeight="false" outlineLevel="0" collapsed="false">
      <c r="A311" s="2" t="s">
        <v>151</v>
      </c>
      <c r="B311" s="2" t="s">
        <v>110</v>
      </c>
      <c r="C311" s="2" t="s">
        <v>110</v>
      </c>
      <c r="D311" s="2" t="s">
        <v>196</v>
      </c>
      <c r="E311" s="2" t="str">
        <f aca="false">C311&amp;D311</f>
        <v>Sup OesteQuantidade Física de Horas Extras</v>
      </c>
      <c r="F311" s="2" t="s">
        <v>167</v>
      </c>
      <c r="G311" s="2" t="s">
        <v>197</v>
      </c>
      <c r="H311" s="2" t="s">
        <v>102</v>
      </c>
      <c r="I311" s="2" t="s">
        <v>169</v>
      </c>
      <c r="J311" s="2" t="n">
        <v>2</v>
      </c>
      <c r="K311" s="2" t="s">
        <v>198</v>
      </c>
      <c r="L311" s="13" t="n">
        <v>3.77</v>
      </c>
      <c r="M311" s="13" t="n">
        <v>24551.05</v>
      </c>
      <c r="N311" s="4" t="n">
        <f aca="false">IF(OR(L311="",M311=""),"",IFERROR(IF($K311="%",M311-L311,M311/L311-1),""))</f>
        <v>6511.21485411141</v>
      </c>
      <c r="O311" s="5" t="str">
        <f aca="false">IF(OR(L311="",M311=""),"",IF($F311="Maior Melhor",IF(M311&gt;=L311,"Sim","Não"),IF(M311&lt;=L311,"Sim","Não")))</f>
        <v>Não</v>
      </c>
      <c r="P311" s="13" t="n">
        <v>16396.32</v>
      </c>
      <c r="Q311" s="13" t="n">
        <v>26651.4</v>
      </c>
      <c r="R311" s="4" t="n">
        <f aca="false">IF(OR(P311="",Q311=""),"",IFERROR(IF($K311="%",Q311-P311,Q311/P311-1),""))</f>
        <v>0.625450100998273</v>
      </c>
      <c r="S311" s="5" t="str">
        <f aca="false">IF(OR(P311="",Q311=""),"",IF($F311="Maior Melhor",IF(Q311&gt;=P311,"Sim","Não"),IF(Q311&lt;=P311,"Sim","Não")))</f>
        <v>Não</v>
      </c>
      <c r="T311" s="13" t="n">
        <v>13404.23</v>
      </c>
      <c r="U311" s="13" t="n">
        <v>25476.14</v>
      </c>
      <c r="V311" s="4" t="n">
        <f aca="false">IF(OR(T311="",U311=""),"",IFERROR(IF($K311="%",U311-T311,U311/T311-1),""))</f>
        <v>0.900604510665663</v>
      </c>
      <c r="W311" s="5" t="str">
        <f aca="false">IF(OR(T311="",U311=""),"",IF($F311="Maior Melhor",IF(U311&gt;=T311,"Sim","Não"),IF(U311&lt;=T311,"Sim","Não")))</f>
        <v>Não</v>
      </c>
      <c r="X311" s="13" t="n">
        <v>17467.29</v>
      </c>
      <c r="Y311" s="13" t="n">
        <v>19453.01</v>
      </c>
      <c r="Z311" s="4" t="n">
        <f aca="false">IF(OR(X311="",Y311=""),"",IFERROR(IF($K311="%",Y311-X311,Y311/X311-1),""))</f>
        <v>0.113682202562618</v>
      </c>
      <c r="AA311" s="5" t="str">
        <f aca="false">IF(OR(X311="",Y311=""),"",IF($F311="Maior Melhor",IF(Y311&gt;=X311,"Sim","Não"),IF(Y311&lt;=X311,"Sim","Não")))</f>
        <v>Não</v>
      </c>
      <c r="AB311" s="13" t="n">
        <v>70397.74</v>
      </c>
      <c r="AC311" s="13" t="n">
        <v>96122.6</v>
      </c>
      <c r="AD311" s="4" t="n">
        <f aca="false">IF(OR(AB311="",AC311=""),"",IFERROR(IF($K311="%",AC311-AB311,AC311/AB311-1),""))</f>
        <v>0.365421674048059</v>
      </c>
      <c r="AE311" s="5" t="str">
        <f aca="false">IF(OR(AB311="",AC311=""),"",IF($F311="Maior Melhor",IF(AC311&gt;=AB311,"Sim","Não"),IF(AC311&lt;=AB311,"Sim","Não")))</f>
        <v>Não</v>
      </c>
      <c r="AF311" s="13" t="n">
        <v>20966.21</v>
      </c>
      <c r="AG311" s="13" t="n">
        <v>13843.37</v>
      </c>
      <c r="AH311" s="4" t="n">
        <f aca="false">IF(OR(AF311="",AG311=""),"",IFERROR(IF($K311="%",AG311-AF311,AG311/AF311-1),""))</f>
        <v>-0.339729498082868</v>
      </c>
      <c r="AI311" s="5" t="str">
        <f aca="false">IF(OR(AF311="",AG311=""),"",IF($F311="Maior Melhor",IF(AG311&gt;=AF311,"Sim","Não"),IF(AG311&lt;=AF311,"Sim","Não")))</f>
        <v>Sim</v>
      </c>
      <c r="AJ311" s="13" t="n">
        <v>91363.96</v>
      </c>
      <c r="AK311" s="13" t="n">
        <v>109641.74</v>
      </c>
      <c r="AL311" s="4" t="n">
        <f aca="false">IF(OR(AJ311="",AK311=""),"",IFERROR(IF($K311="%",AK311-AJ311,AK311/AJ311-1),""))</f>
        <v>0.200054594831485</v>
      </c>
      <c r="AM311" s="5" t="str">
        <f aca="false">IF(OR(AJ311="",AK311=""),"",IF($F311="Maior Melhor",IF(AK311&gt;=AJ311,"Sim","Não"),IF(AK311&lt;=AJ311,"Sim","Não")))</f>
        <v>Não</v>
      </c>
      <c r="AN311" s="13" t="n">
        <v>22184.58</v>
      </c>
      <c r="AO311" s="13" t="n">
        <v>12043.53</v>
      </c>
      <c r="AP311" s="4" t="n">
        <f aca="false">IF(OR(AN311="",AO311=""),"",IFERROR(IF($K311="%",AO311-AN311,AO311/AN311-1),""))</f>
        <v>-0.457121568224415</v>
      </c>
      <c r="AQ311" s="5" t="str">
        <f aca="false">IF(OR(AN311="",AO311=""),"",IF($F311="Maior Melhor",IF(AO311&gt;=AN311,"Sim","Não"),IF(AO311&lt;=AN311,"Sim","Não")))</f>
        <v>Sim</v>
      </c>
      <c r="AR311" s="13" t="n">
        <v>113548.54</v>
      </c>
      <c r="AS311" s="13" t="n">
        <v>121740.42</v>
      </c>
      <c r="AT311" s="4" t="n">
        <f aca="false">IF(OR(AR311="",AS311=""),"",IFERROR(IF($K311="%",AS311-AR311,AS311/AR311-1),""))</f>
        <v>0.0721443005784135</v>
      </c>
      <c r="AU311" s="5" t="str">
        <f aca="false">IF(OR(AR311="",AS311=""),"",IF($F311="Maior Melhor",IF(AS311&gt;=AR311,"Sim","Não"),IF(AS311&lt;=AR311,"Sim","Não")))</f>
        <v>Não</v>
      </c>
      <c r="AV311" s="13" t="n">
        <v>16563.85</v>
      </c>
      <c r="AW311" s="13" t="n">
        <v>9599.27</v>
      </c>
      <c r="AX311" s="4" t="n">
        <f aca="false">IF(OR(AV311="",AW311=""),"",IFERROR(IF($K311="%",AW311-AV311,AW311/AV311-1),""))</f>
        <v>-0.420468671232835</v>
      </c>
      <c r="AY311" s="5" t="str">
        <f aca="false">IF(OR(AV311="",AW311=""),"",IF($F311="Maior Melhor",IF(AW311&gt;=AV311,"Sim","Não"),IF(AW311&lt;=AV311,"Sim","Não")))</f>
        <v>Sim</v>
      </c>
      <c r="AZ311" s="13" t="n">
        <v>130112.38</v>
      </c>
      <c r="BA311" s="13" t="n">
        <v>131339.69</v>
      </c>
      <c r="BB311" s="4" t="n">
        <f aca="false">IF(OR(AZ311="",BA311=""),"",IFERROR(IF($K311="%",BA311-AZ311,BA311/AZ311-1),""))</f>
        <v>0.0094326919544474</v>
      </c>
      <c r="BC311" s="5" t="str">
        <f aca="false">IF(OR(AZ311="",BA311=""),"",IF($F311="Maior Melhor",IF(BA311&gt;=AZ311,"Sim","Não"),IF(BA311&lt;=AZ311,"Sim","Não")))</f>
        <v>Não</v>
      </c>
      <c r="BD311" s="13" t="n">
        <v>15349.98</v>
      </c>
      <c r="BE311" s="13" t="n">
        <v>9259.63</v>
      </c>
      <c r="BF311" s="4" t="n">
        <f aca="false">IF(OR(BD311="",BE311=""),"",IFERROR(IF($K311="%",BE311-BD311,BE311/BD311-1),""))</f>
        <v>-0.396765989271647</v>
      </c>
      <c r="BG311" s="5" t="str">
        <f aca="false">IF(OR(BD311="",BE311=""),"",IF($F311="Maior Melhor",IF(BE311&gt;=BD311,"Sim","Não"),IF(BE311&lt;=BD311,"Sim","Não")))</f>
        <v>Sim</v>
      </c>
      <c r="BH311" s="13" t="n">
        <v>145462.37</v>
      </c>
      <c r="BI311" s="13" t="n">
        <v>140608.44</v>
      </c>
      <c r="BJ311" s="4" t="n">
        <f aca="false">IF(OR(BH311="",BI311=""),"",IFERROR(IF($K311="%",BI311-BH311,BI311/BH311-1),""))</f>
        <v>-0.0333689737077706</v>
      </c>
      <c r="BK311" s="5" t="str">
        <f aca="false">IF(OR(BH311="",BI311=""),"",IF($F311="Maior Melhor",IF(BI311&gt;=BH311,"Sim","Não"),IF(BI311&lt;=BH311,"Sim","Não")))</f>
        <v>Sim</v>
      </c>
      <c r="BL311" s="14"/>
      <c r="BM311" s="14"/>
      <c r="BN311" s="4" t="str">
        <f aca="false">IF(OR(BL311="",BM311=""),"",IFERROR(IF($K311="%",BM311-BL311,BM311/BL311-1),""))</f>
        <v/>
      </c>
      <c r="BO311" s="5" t="str">
        <f aca="false">IF(OR(BL311="",BM311=""),"",IF($F311="Maior Melhor",IF(BM311&gt;=BL311,"Sim","Não"),IF(BM311&lt;=BL311,"Sim","Não")))</f>
        <v/>
      </c>
      <c r="BP311" s="14"/>
      <c r="BQ311" s="14"/>
      <c r="BR311" s="4" t="str">
        <f aca="false">IF(OR(BP311="",BQ311=""),"",IFERROR(IF($K311="%",BQ311-BP311,BQ311/BP311-1),""))</f>
        <v/>
      </c>
      <c r="BS311" s="5" t="str">
        <f aca="false">IF(OR(BP311="",BQ311=""),"",IF($F311="Maior Melhor",IF(BQ311&gt;=BP311,"Sim","Não"),IF(BQ311&lt;=BP311,"Sim","Não")))</f>
        <v/>
      </c>
      <c r="BT311" s="14"/>
      <c r="BU311" s="14"/>
      <c r="BV311" s="4" t="str">
        <f aca="false">IF(OR(BT311="",BU311=""),"",IFERROR(IF($K311="%",BU311-BT311,BU311/BT311-1),""))</f>
        <v/>
      </c>
      <c r="BW311" s="5" t="str">
        <f aca="false">IF(OR(BT311="",BU311=""),"",IF($F311="Maior Melhor",IF(BU311&gt;=BT311,"Sim","Não"),IF(BU311&lt;=BT311,"Sim","Não")))</f>
        <v/>
      </c>
      <c r="BX311" s="14"/>
      <c r="BY311" s="14"/>
      <c r="BZ311" s="4" t="str">
        <f aca="false">IF(OR(BX311="",BY311=""),"",IFERROR(IF($K311="%",BY311-BX311,BY311/BX311-1),""))</f>
        <v/>
      </c>
      <c r="CA311" s="5" t="str">
        <f aca="false">IF(OR(BX311="",BY311=""),"",IF($F311="Maior Melhor",IF(BY311&gt;=BX311,"Sim","Não"),IF(BY311&lt;=BX311,"Sim","Não")))</f>
        <v/>
      </c>
      <c r="CB311" s="14"/>
      <c r="CC311" s="14"/>
      <c r="CD311" s="4" t="str">
        <f aca="false">IF(OR(CB311="",CC311=""),"",IFERROR(IF($K311="%",CC311-CB311,CC311/CB311-1),""))</f>
        <v/>
      </c>
      <c r="CE311" s="5" t="str">
        <f aca="false">IF(OR(CB311="",CC311=""),"",IF($F311="Maior Melhor",IF(CC311&gt;=CB311,"Sim","Não"),IF(CC311&lt;=CB311,"Sim","Não")))</f>
        <v/>
      </c>
      <c r="CF311" s="14"/>
      <c r="CG311" s="14"/>
      <c r="CH311" s="4" t="str">
        <f aca="false">IF(OR(CF311="",CG311=""),"",IFERROR(IF($K311="%",CG311-CF311,CG311/CF311-1),""))</f>
        <v/>
      </c>
      <c r="CI311" s="5" t="str">
        <f aca="false">IF(OR(CF311="",CG311=""),"",IF($F311="Maior Melhor",IF(CG311&gt;=CF311,"Sim","Não"),IF(CG311&lt;=CF311,"Sim","Não")))</f>
        <v/>
      </c>
      <c r="CJ311" s="14"/>
      <c r="CK311" s="14"/>
      <c r="CL311" s="4" t="str">
        <f aca="false">IF(OR(CJ311="",CK311=""),"",IFERROR(IF($K311="%",CK311-CJ311,CK311/CJ311-1),""))</f>
        <v/>
      </c>
      <c r="CM311" s="5" t="str">
        <f aca="false">IF(OR(CJ311="",CK311=""),"",IF($F311="Maior Melhor",IF(CK311&gt;=CJ311,"Sim","Não"),IF(CK311&lt;=CJ311,"Sim","Não")))</f>
        <v/>
      </c>
      <c r="CN311" s="14"/>
      <c r="CO311" s="14"/>
      <c r="CP311" s="4" t="str">
        <f aca="false">IF(OR(CN311="",CO311=""),"",IFERROR(IF($K311="%",CO311-CN311,CO311/CN311-1),""))</f>
        <v/>
      </c>
      <c r="CQ311" s="5" t="str">
        <f aca="false">IF(OR(CN311="",CO311=""),"",IF($F311="Maior Melhor",IF(CO311&gt;=CN311,"Sim","Não"),IF(CO311&lt;=CN311,"Sim","Não")))</f>
        <v/>
      </c>
      <c r="CR311" s="2" t="s">
        <v>105</v>
      </c>
    </row>
    <row r="312" customFormat="false" ht="15" hidden="false" customHeight="false" outlineLevel="0" collapsed="false">
      <c r="A312" s="2" t="s">
        <v>151</v>
      </c>
      <c r="B312" s="2" t="s">
        <v>106</v>
      </c>
      <c r="C312" s="2" t="s">
        <v>111</v>
      </c>
      <c r="D312" s="2" t="s">
        <v>196</v>
      </c>
      <c r="E312" s="2" t="str">
        <f aca="false">C312&amp;D312</f>
        <v>UTD BARREIRASQuantidade Física de Horas Extras</v>
      </c>
      <c r="F312" s="2" t="s">
        <v>167</v>
      </c>
      <c r="G312" s="2" t="s">
        <v>197</v>
      </c>
      <c r="H312" s="2" t="s">
        <v>102</v>
      </c>
      <c r="I312" s="2" t="s">
        <v>169</v>
      </c>
      <c r="J312" s="2" t="n">
        <v>2</v>
      </c>
      <c r="K312" s="2" t="s">
        <v>198</v>
      </c>
      <c r="L312" s="13" t="n">
        <v>2043.16</v>
      </c>
      <c r="M312" s="13" t="n">
        <v>2049.55</v>
      </c>
      <c r="N312" s="4" t="n">
        <f aca="false">IF(OR(L312="",M312=""),"",IFERROR(IF($K312="%",M312-L312,M312/L312-1),""))</f>
        <v>0.00312750836938869</v>
      </c>
      <c r="O312" s="5" t="str">
        <f aca="false">IF(OR(L312="",M312=""),"",IF($F312="Maior Melhor",IF(M312&gt;=L312,"Sim","Não"),IF(M312&lt;=L312,"Sim","Não")))</f>
        <v>Não</v>
      </c>
      <c r="P312" s="13" t="n">
        <v>1449.09</v>
      </c>
      <c r="Q312" s="13" t="n">
        <v>2262.66</v>
      </c>
      <c r="R312" s="4" t="n">
        <f aca="false">IF(OR(P312="",Q312=""),"",IFERROR(IF($K312="%",Q312-P312,Q312/P312-1),""))</f>
        <v>0.561435107550256</v>
      </c>
      <c r="S312" s="5" t="str">
        <f aca="false">IF(OR(P312="",Q312=""),"",IF($F312="Maior Melhor",IF(Q312&gt;=P312,"Sim","Não"),IF(Q312&lt;=P312,"Sim","Não")))</f>
        <v>Não</v>
      </c>
      <c r="T312" s="13" t="n">
        <v>1184.09</v>
      </c>
      <c r="U312" s="13" t="n">
        <v>2300.57</v>
      </c>
      <c r="V312" s="4" t="n">
        <f aca="false">IF(OR(T312="",U312=""),"",IFERROR(IF($K312="%",U312-T312,U312/T312-1),""))</f>
        <v>0.942901299732284</v>
      </c>
      <c r="W312" s="5" t="str">
        <f aca="false">IF(OR(T312="",U312=""),"",IF($F312="Maior Melhor",IF(U312&gt;=T312,"Sim","Não"),IF(U312&lt;=T312,"Sim","Não")))</f>
        <v>Não</v>
      </c>
      <c r="X312" s="13" t="n">
        <v>1543.12</v>
      </c>
      <c r="Y312" s="13" t="n">
        <v>1668.1</v>
      </c>
      <c r="Z312" s="4" t="n">
        <f aca="false">IF(OR(X312="",Y312=""),"",IFERROR(IF($K312="%",Y312-X312,Y312/X312-1),""))</f>
        <v>0.0809917569599254</v>
      </c>
      <c r="AA312" s="5" t="str">
        <f aca="false">IF(OR(X312="",Y312=""),"",IF($F312="Maior Melhor",IF(Y312&gt;=X312,"Sim","Não"),IF(Y312&lt;=X312,"Sim","Não")))</f>
        <v>Não</v>
      </c>
      <c r="AB312" s="13" t="n">
        <v>6219.47</v>
      </c>
      <c r="AC312" s="13" t="n">
        <v>8280.88</v>
      </c>
      <c r="AD312" s="4" t="n">
        <f aca="false">IF(OR(AB312="",AC312=""),"",IFERROR(IF($K312="%",AC312-AB312,AC312/AB312-1),""))</f>
        <v>0.331444640781288</v>
      </c>
      <c r="AE312" s="5" t="str">
        <f aca="false">IF(OR(AB312="",AC312=""),"",IF($F312="Maior Melhor",IF(AC312&gt;=AB312,"Sim","Não"),IF(AC312&lt;=AB312,"Sim","Não")))</f>
        <v>Não</v>
      </c>
      <c r="AF312" s="13" t="n">
        <v>1852.12</v>
      </c>
      <c r="AG312" s="13" t="n">
        <v>1262.92</v>
      </c>
      <c r="AH312" s="4" t="n">
        <f aca="false">IF(OR(AF312="",AG312=""),"",IFERROR(IF($K312="%",AG312-AF312,AG312/AF312-1),""))</f>
        <v>-0.318121935943675</v>
      </c>
      <c r="AI312" s="5" t="str">
        <f aca="false">IF(OR(AF312="",AG312=""),"",IF($F312="Maior Melhor",IF(AG312&gt;=AF312,"Sim","Não"),IF(AG312&lt;=AF312,"Sim","Não")))</f>
        <v>Sim</v>
      </c>
      <c r="AJ312" s="13" t="n">
        <v>8071.58</v>
      </c>
      <c r="AK312" s="13" t="n">
        <v>9535.48</v>
      </c>
      <c r="AL312" s="4" t="n">
        <f aca="false">IF(OR(AJ312="",AK312=""),"",IFERROR(IF($K312="%",AK312-AJ312,AK312/AJ312-1),""))</f>
        <v>0.181364738997817</v>
      </c>
      <c r="AM312" s="5" t="str">
        <f aca="false">IF(OR(AJ312="",AK312=""),"",IF($F312="Maior Melhor",IF(AK312&gt;=AJ312,"Sim","Não"),IF(AK312&lt;=AJ312,"Sim","Não")))</f>
        <v>Não</v>
      </c>
      <c r="AN312" s="13" t="n">
        <v>1960.16</v>
      </c>
      <c r="AO312" s="13" t="n">
        <v>454.39</v>
      </c>
      <c r="AP312" s="4" t="n">
        <f aca="false">IF(OR(AN312="",AO312=""),"",IFERROR(IF($K312="%",AO312-AN312,AO312/AN312-1),""))</f>
        <v>-0.768187290833401</v>
      </c>
      <c r="AQ312" s="5" t="str">
        <f aca="false">IF(OR(AN312="",AO312=""),"",IF($F312="Maior Melhor",IF(AO312&gt;=AN312,"Sim","Não"),IF(AO312&lt;=AN312,"Sim","Não")))</f>
        <v>Sim</v>
      </c>
      <c r="AR312" s="13" t="n">
        <v>10031.74</v>
      </c>
      <c r="AS312" s="13" t="n">
        <v>9964.62</v>
      </c>
      <c r="AT312" s="4" t="n">
        <f aca="false">IF(OR(AR312="",AS312=""),"",IFERROR(IF($K312="%",AS312-AR312,AS312/AR312-1),""))</f>
        <v>-0.00669076351659825</v>
      </c>
      <c r="AU312" s="5" t="str">
        <f aca="false">IF(OR(AR312="",AS312=""),"",IF($F312="Maior Melhor",IF(AS312&gt;=AR312,"Sim","Não"),IF(AS312&lt;=AR312,"Sim","Não")))</f>
        <v>Sim</v>
      </c>
      <c r="AV312" s="13" t="n">
        <v>1463.11</v>
      </c>
      <c r="AW312" s="13" t="n">
        <v>649.85</v>
      </c>
      <c r="AX312" s="4" t="n">
        <f aca="false">IF(OR(AV312="",AW312=""),"",IFERROR(IF($K312="%",AW312-AV312,AW312/AV312-1),""))</f>
        <v>-0.555843374729173</v>
      </c>
      <c r="AY312" s="5" t="str">
        <f aca="false">IF(OR(AV312="",AW312=""),"",IF($F312="Maior Melhor",IF(AW312&gt;=AV312,"Sim","Não"),IF(AW312&lt;=AV312,"Sim","Não")))</f>
        <v>Sim</v>
      </c>
      <c r="AZ312" s="13" t="n">
        <v>11494.85</v>
      </c>
      <c r="BA312" s="13" t="n">
        <v>10614.47</v>
      </c>
      <c r="BB312" s="4" t="n">
        <f aca="false">IF(OR(AZ312="",BA312=""),"",IFERROR(IF($K312="%",BA312-AZ312,BA312/AZ312-1),""))</f>
        <v>-0.0765890811972319</v>
      </c>
      <c r="BC312" s="5" t="str">
        <f aca="false">IF(OR(AZ312="",BA312=""),"",IF($F312="Maior Melhor",IF(BA312&gt;=AZ312,"Sim","Não"),IF(BA312&lt;=AZ312,"Sim","Não")))</f>
        <v>Sim</v>
      </c>
      <c r="BD312" s="13" t="n">
        <v>1356.11</v>
      </c>
      <c r="BE312" s="13" t="n">
        <v>692.54</v>
      </c>
      <c r="BF312" s="4" t="n">
        <f aca="false">IF(OR(BD312="",BE312=""),"",IFERROR(IF($K312="%",BE312-BD312,BE312/BD312-1),""))</f>
        <v>-0.489318713083747</v>
      </c>
      <c r="BG312" s="5" t="str">
        <f aca="false">IF(OR(BD312="",BE312=""),"",IF($F312="Maior Melhor",IF(BE312&gt;=BD312,"Sim","Não"),IF(BE312&lt;=BD312,"Sim","Não")))</f>
        <v>Sim</v>
      </c>
      <c r="BH312" s="13" t="n">
        <v>12850.96</v>
      </c>
      <c r="BI312" s="13" t="n">
        <v>11307.01</v>
      </c>
      <c r="BJ312" s="4" t="n">
        <f aca="false">IF(OR(BH312="",BI312=""),"",IFERROR(IF($K312="%",BI312-BH312,BI312/BH312-1),""))</f>
        <v>-0.120142775325734</v>
      </c>
      <c r="BK312" s="5" t="str">
        <f aca="false">IF(OR(BH312="",BI312=""),"",IF($F312="Maior Melhor",IF(BI312&gt;=BH312,"Sim","Não"),IF(BI312&lt;=BH312,"Sim","Não")))</f>
        <v>Sim</v>
      </c>
      <c r="BL312" s="14"/>
      <c r="BM312" s="14"/>
      <c r="BN312" s="4" t="str">
        <f aca="false">IF(OR(BL312="",BM312=""),"",IFERROR(IF($K312="%",BM312-BL312,BM312/BL312-1),""))</f>
        <v/>
      </c>
      <c r="BO312" s="5" t="str">
        <f aca="false">IF(OR(BL312="",BM312=""),"",IF($F312="Maior Melhor",IF(BM312&gt;=BL312,"Sim","Não"),IF(BM312&lt;=BL312,"Sim","Não")))</f>
        <v/>
      </c>
      <c r="BP312" s="14"/>
      <c r="BQ312" s="14"/>
      <c r="BR312" s="4" t="str">
        <f aca="false">IF(OR(BP312="",BQ312=""),"",IFERROR(IF($K312="%",BQ312-BP312,BQ312/BP312-1),""))</f>
        <v/>
      </c>
      <c r="BS312" s="5" t="str">
        <f aca="false">IF(OR(BP312="",BQ312=""),"",IF($F312="Maior Melhor",IF(BQ312&gt;=BP312,"Sim","Não"),IF(BQ312&lt;=BP312,"Sim","Não")))</f>
        <v/>
      </c>
      <c r="BT312" s="14"/>
      <c r="BU312" s="14"/>
      <c r="BV312" s="4" t="str">
        <f aca="false">IF(OR(BT312="",BU312=""),"",IFERROR(IF($K312="%",BU312-BT312,BU312/BT312-1),""))</f>
        <v/>
      </c>
      <c r="BW312" s="5" t="str">
        <f aca="false">IF(OR(BT312="",BU312=""),"",IF($F312="Maior Melhor",IF(BU312&gt;=BT312,"Sim","Não"),IF(BU312&lt;=BT312,"Sim","Não")))</f>
        <v/>
      </c>
      <c r="BX312" s="14"/>
      <c r="BY312" s="14"/>
      <c r="BZ312" s="4" t="str">
        <f aca="false">IF(OR(BX312="",BY312=""),"",IFERROR(IF($K312="%",BY312-BX312,BY312/BX312-1),""))</f>
        <v/>
      </c>
      <c r="CA312" s="5" t="str">
        <f aca="false">IF(OR(BX312="",BY312=""),"",IF($F312="Maior Melhor",IF(BY312&gt;=BX312,"Sim","Não"),IF(BY312&lt;=BX312,"Sim","Não")))</f>
        <v/>
      </c>
      <c r="CB312" s="14"/>
      <c r="CC312" s="14"/>
      <c r="CD312" s="4" t="str">
        <f aca="false">IF(OR(CB312="",CC312=""),"",IFERROR(IF($K312="%",CC312-CB312,CC312/CB312-1),""))</f>
        <v/>
      </c>
      <c r="CE312" s="5" t="str">
        <f aca="false">IF(OR(CB312="",CC312=""),"",IF($F312="Maior Melhor",IF(CC312&gt;=CB312,"Sim","Não"),IF(CC312&lt;=CB312,"Sim","Não")))</f>
        <v/>
      </c>
      <c r="CF312" s="14"/>
      <c r="CG312" s="14"/>
      <c r="CH312" s="4" t="str">
        <f aca="false">IF(OR(CF312="",CG312=""),"",IFERROR(IF($K312="%",CG312-CF312,CG312/CF312-1),""))</f>
        <v/>
      </c>
      <c r="CI312" s="5" t="str">
        <f aca="false">IF(OR(CF312="",CG312=""),"",IF($F312="Maior Melhor",IF(CG312&gt;=CF312,"Sim","Não"),IF(CG312&lt;=CF312,"Sim","Não")))</f>
        <v/>
      </c>
      <c r="CJ312" s="14"/>
      <c r="CK312" s="14"/>
      <c r="CL312" s="4" t="str">
        <f aca="false">IF(OR(CJ312="",CK312=""),"",IFERROR(IF($K312="%",CK312-CJ312,CK312/CJ312-1),""))</f>
        <v/>
      </c>
      <c r="CM312" s="5" t="str">
        <f aca="false">IF(OR(CJ312="",CK312=""),"",IF($F312="Maior Melhor",IF(CK312&gt;=CJ312,"Sim","Não"),IF(CK312&lt;=CJ312,"Sim","Não")))</f>
        <v/>
      </c>
      <c r="CN312" s="14"/>
      <c r="CO312" s="14"/>
      <c r="CP312" s="4" t="str">
        <f aca="false">IF(OR(CN312="",CO312=""),"",IFERROR(IF($K312="%",CO312-CN312,CO312/CN312-1),""))</f>
        <v/>
      </c>
      <c r="CQ312" s="5" t="str">
        <f aca="false">IF(OR(CN312="",CO312=""),"",IF($F312="Maior Melhor",IF(CO312&gt;=CN312,"Sim","Não"),IF(CO312&lt;=CN312,"Sim","Não")))</f>
        <v/>
      </c>
      <c r="CR312" s="2" t="s">
        <v>157</v>
      </c>
    </row>
    <row r="313" customFormat="false" ht="15" hidden="false" customHeight="false" outlineLevel="0" collapsed="false">
      <c r="A313" s="2" t="s">
        <v>151</v>
      </c>
      <c r="B313" s="2" t="s">
        <v>106</v>
      </c>
      <c r="C313" s="2" t="s">
        <v>113</v>
      </c>
      <c r="D313" s="2" t="s">
        <v>196</v>
      </c>
      <c r="E313" s="2" t="str">
        <f aca="false">C313&amp;D313</f>
        <v>UTD BOM JESUS DA LAPAQuantidade Física de Horas Extras</v>
      </c>
      <c r="F313" s="2" t="s">
        <v>167</v>
      </c>
      <c r="G313" s="2" t="s">
        <v>197</v>
      </c>
      <c r="H313" s="2" t="s">
        <v>102</v>
      </c>
      <c r="I313" s="2" t="s">
        <v>169</v>
      </c>
      <c r="J313" s="2" t="n">
        <v>2</v>
      </c>
      <c r="K313" s="2" t="s">
        <v>198</v>
      </c>
      <c r="L313" s="13" t="n">
        <v>1973.08</v>
      </c>
      <c r="M313" s="13" t="n">
        <v>1798.34</v>
      </c>
      <c r="N313" s="4" t="n">
        <f aca="false">IF(OR(L313="",M313=""),"",IFERROR(IF($K313="%",M313-L313,M313/L313-1),""))</f>
        <v>-0.0885620451274151</v>
      </c>
      <c r="O313" s="5" t="str">
        <f aca="false">IF(OR(L313="",M313=""),"",IF($F313="Maior Melhor",IF(M313&gt;=L313,"Sim","Não"),IF(M313&lt;=L313,"Sim","Não")))</f>
        <v>Sim</v>
      </c>
      <c r="P313" s="13" t="n">
        <v>1399.05</v>
      </c>
      <c r="Q313" s="13" t="n">
        <v>2167.16</v>
      </c>
      <c r="R313" s="4" t="n">
        <f aca="false">IF(OR(P313="",Q313=""),"",IFERROR(IF($K313="%",Q313-P313,Q313/P313-1),""))</f>
        <v>0.549022551016761</v>
      </c>
      <c r="S313" s="5" t="str">
        <f aca="false">IF(OR(P313="",Q313=""),"",IF($F313="Maior Melhor",IF(Q313&gt;=P313,"Sim","Não"),IF(Q313&lt;=P313,"Sim","Não")))</f>
        <v>Não</v>
      </c>
      <c r="T313" s="13" t="n">
        <v>1143.05</v>
      </c>
      <c r="U313" s="13" t="n">
        <v>1651.69</v>
      </c>
      <c r="V313" s="4" t="n">
        <f aca="false">IF(OR(T313="",U313=""),"",IFERROR(IF($K313="%",U313-T313,U313/T313-1),""))</f>
        <v>0.444984908796641</v>
      </c>
      <c r="W313" s="5" t="str">
        <f aca="false">IF(OR(T313="",U313=""),"",IF($F313="Maior Melhor",IF(U313&gt;=T313,"Sim","Não"),IF(U313&lt;=T313,"Sim","Não")))</f>
        <v>Não</v>
      </c>
      <c r="X313" s="13" t="n">
        <v>1490.06</v>
      </c>
      <c r="Y313" s="13" t="n">
        <v>1450.61</v>
      </c>
      <c r="Z313" s="4" t="n">
        <f aca="false">IF(OR(X313="",Y313=""),"",IFERROR(IF($K313="%",Y313-X313,Y313/X313-1),""))</f>
        <v>-0.0264754439418547</v>
      </c>
      <c r="AA313" s="5" t="str">
        <f aca="false">IF(OR(X313="",Y313=""),"",IF($F313="Maior Melhor",IF(Y313&gt;=X313,"Sim","Não"),IF(Y313&lt;=X313,"Sim","Não")))</f>
        <v>Sim</v>
      </c>
      <c r="AB313" s="13" t="n">
        <v>6005.23</v>
      </c>
      <c r="AC313" s="13" t="n">
        <v>7067.8</v>
      </c>
      <c r="AD313" s="4" t="n">
        <f aca="false">IF(OR(AB313="",AC313=""),"",IFERROR(IF($K313="%",AC313-AB313,AC313/AB313-1),""))</f>
        <v>0.176940766631753</v>
      </c>
      <c r="AE313" s="5" t="str">
        <f aca="false">IF(OR(AB313="",AC313=""),"",IF($F313="Maior Melhor",IF(AC313&gt;=AB313,"Sim","Não"),IF(AC313&lt;=AB313,"Sim","Não")))</f>
        <v>Não</v>
      </c>
      <c r="AF313" s="13" t="n">
        <v>1789.06</v>
      </c>
      <c r="AG313" s="13" t="n">
        <v>992.08</v>
      </c>
      <c r="AH313" s="4" t="n">
        <f aca="false">IF(OR(AF313="",AG313=""),"",IFERROR(IF($K313="%",AG313-AF313,AG313/AF313-1),""))</f>
        <v>-0.445474159614546</v>
      </c>
      <c r="AI313" s="5" t="str">
        <f aca="false">IF(OR(AF313="",AG313=""),"",IF($F313="Maior Melhor",IF(AG313&gt;=AF313,"Sim","Não"),IF(AG313&lt;=AF313,"Sim","Não")))</f>
        <v>Sim</v>
      </c>
      <c r="AJ313" s="13" t="n">
        <v>7794.29</v>
      </c>
      <c r="AK313" s="13" t="n">
        <v>8033.12</v>
      </c>
      <c r="AL313" s="4" t="n">
        <f aca="false">IF(OR(AJ313="",AK313=""),"",IFERROR(IF($K313="%",AK313-AJ313,AK313/AJ313-1),""))</f>
        <v>0.0306416620372092</v>
      </c>
      <c r="AM313" s="5" t="str">
        <f aca="false">IF(OR(AJ313="",AK313=""),"",IF($F313="Maior Melhor",IF(AK313&gt;=AJ313,"Sim","Não"),IF(AK313&lt;=AJ313,"Sim","Não")))</f>
        <v>Não</v>
      </c>
      <c r="AN313" s="13" t="n">
        <v>1892.08</v>
      </c>
      <c r="AO313" s="13" t="n">
        <v>704.17</v>
      </c>
      <c r="AP313" s="4" t="n">
        <f aca="false">IF(OR(AN313="",AO313=""),"",IFERROR(IF($K313="%",AO313-AN313,AO313/AN313-1),""))</f>
        <v>-0.627832861189802</v>
      </c>
      <c r="AQ313" s="5" t="str">
        <f aca="false">IF(OR(AN313="",AO313=""),"",IF($F313="Maior Melhor",IF(AO313&gt;=AN313,"Sim","Não"),IF(AO313&lt;=AN313,"Sim","Não")))</f>
        <v>Sim</v>
      </c>
      <c r="AR313" s="13" t="n">
        <v>9686.37</v>
      </c>
      <c r="AS313" s="13" t="n">
        <v>8762.94</v>
      </c>
      <c r="AT313" s="4" t="n">
        <f aca="false">IF(OR(AR313="",AS313=""),"",IFERROR(IF($K313="%",AS313-AR313,AS313/AR313-1),""))</f>
        <v>-0.0953329265762097</v>
      </c>
      <c r="AU313" s="5" t="str">
        <f aca="false">IF(OR(AR313="",AS313=""),"",IF($F313="Maior Melhor",IF(AS313&gt;=AR313,"Sim","Não"),IF(AS313&lt;=AR313,"Sim","Não")))</f>
        <v>Sim</v>
      </c>
      <c r="AV313" s="13" t="n">
        <v>1413.05</v>
      </c>
      <c r="AW313" s="13" t="n">
        <v>821.06</v>
      </c>
      <c r="AX313" s="4" t="n">
        <f aca="false">IF(OR(AV313="",AW313=""),"",IFERROR(IF($K313="%",AW313-AV313,AW313/AV313-1),""))</f>
        <v>-0.41894483563922</v>
      </c>
      <c r="AY313" s="5" t="str">
        <f aca="false">IF(OR(AV313="",AW313=""),"",IF($F313="Maior Melhor",IF(AW313&gt;=AV313,"Sim","Não"),IF(AW313&lt;=AV313,"Sim","Não")))</f>
        <v>Sim</v>
      </c>
      <c r="AZ313" s="13" t="n">
        <v>11099.42</v>
      </c>
      <c r="BA313" s="13" t="n">
        <v>9584</v>
      </c>
      <c r="BB313" s="4" t="n">
        <f aca="false">IF(OR(AZ313="",BA313=""),"",IFERROR(IF($K313="%",BA313-AZ313,BA313/AZ313-1),""))</f>
        <v>-0.136531458400529</v>
      </c>
      <c r="BC313" s="5" t="str">
        <f aca="false">IF(OR(AZ313="",BA313=""),"",IF($F313="Maior Melhor",IF(BA313&gt;=AZ313,"Sim","Não"),IF(BA313&lt;=AZ313,"Sim","Não")))</f>
        <v>Sim</v>
      </c>
      <c r="BD313" s="13" t="n">
        <v>1309.06</v>
      </c>
      <c r="BE313" s="13" t="n">
        <v>996.16</v>
      </c>
      <c r="BF313" s="4" t="n">
        <f aca="false">IF(OR(BD313="",BE313=""),"",IFERROR(IF($K313="%",BE313-BD313,BE313/BD313-1),""))</f>
        <v>-0.239026477014041</v>
      </c>
      <c r="BG313" s="5" t="str">
        <f aca="false">IF(OR(BD313="",BE313=""),"",IF($F313="Maior Melhor",IF(BE313&gt;=BD313,"Sim","Não"),IF(BE313&lt;=BD313,"Sim","Não")))</f>
        <v>Sim</v>
      </c>
      <c r="BH313" s="13" t="n">
        <v>12408.48</v>
      </c>
      <c r="BI313" s="13" t="n">
        <v>10589.21</v>
      </c>
      <c r="BJ313" s="4" t="n">
        <f aca="false">IF(OR(BH313="",BI313=""),"",IFERROR(IF($K313="%",BI313-BH313,BI313/BH313-1),""))</f>
        <v>-0.146615056799866</v>
      </c>
      <c r="BK313" s="5" t="str">
        <f aca="false">IF(OR(BH313="",BI313=""),"",IF($F313="Maior Melhor",IF(BI313&gt;=BH313,"Sim","Não"),IF(BI313&lt;=BH313,"Sim","Não")))</f>
        <v>Sim</v>
      </c>
      <c r="BL313" s="14"/>
      <c r="BM313" s="14"/>
      <c r="BN313" s="4" t="str">
        <f aca="false">IF(OR(BL313="",BM313=""),"",IFERROR(IF($K313="%",BM313-BL313,BM313/BL313-1),""))</f>
        <v/>
      </c>
      <c r="BO313" s="5" t="str">
        <f aca="false">IF(OR(BL313="",BM313=""),"",IF($F313="Maior Melhor",IF(BM313&gt;=BL313,"Sim","Não"),IF(BM313&lt;=BL313,"Sim","Não")))</f>
        <v/>
      </c>
      <c r="BP313" s="14"/>
      <c r="BQ313" s="14"/>
      <c r="BR313" s="4" t="str">
        <f aca="false">IF(OR(BP313="",BQ313=""),"",IFERROR(IF($K313="%",BQ313-BP313,BQ313/BP313-1),""))</f>
        <v/>
      </c>
      <c r="BS313" s="5" t="str">
        <f aca="false">IF(OR(BP313="",BQ313=""),"",IF($F313="Maior Melhor",IF(BQ313&gt;=BP313,"Sim","Não"),IF(BQ313&lt;=BP313,"Sim","Não")))</f>
        <v/>
      </c>
      <c r="BT313" s="14"/>
      <c r="BU313" s="14"/>
      <c r="BV313" s="4" t="str">
        <f aca="false">IF(OR(BT313="",BU313=""),"",IFERROR(IF($K313="%",BU313-BT313,BU313/BT313-1),""))</f>
        <v/>
      </c>
      <c r="BW313" s="5" t="str">
        <f aca="false">IF(OR(BT313="",BU313=""),"",IF($F313="Maior Melhor",IF(BU313&gt;=BT313,"Sim","Não"),IF(BU313&lt;=BT313,"Sim","Não")))</f>
        <v/>
      </c>
      <c r="BX313" s="14"/>
      <c r="BY313" s="14"/>
      <c r="BZ313" s="4" t="str">
        <f aca="false">IF(OR(BX313="",BY313=""),"",IFERROR(IF($K313="%",BY313-BX313,BY313/BX313-1),""))</f>
        <v/>
      </c>
      <c r="CA313" s="5" t="str">
        <f aca="false">IF(OR(BX313="",BY313=""),"",IF($F313="Maior Melhor",IF(BY313&gt;=BX313,"Sim","Não"),IF(BY313&lt;=BX313,"Sim","Não")))</f>
        <v/>
      </c>
      <c r="CB313" s="14"/>
      <c r="CC313" s="14"/>
      <c r="CD313" s="4" t="str">
        <f aca="false">IF(OR(CB313="",CC313=""),"",IFERROR(IF($K313="%",CC313-CB313,CC313/CB313-1),""))</f>
        <v/>
      </c>
      <c r="CE313" s="5" t="str">
        <f aca="false">IF(OR(CB313="",CC313=""),"",IF($F313="Maior Melhor",IF(CC313&gt;=CB313,"Sim","Não"),IF(CC313&lt;=CB313,"Sim","Não")))</f>
        <v/>
      </c>
      <c r="CF313" s="14"/>
      <c r="CG313" s="14"/>
      <c r="CH313" s="4" t="str">
        <f aca="false">IF(OR(CF313="",CG313=""),"",IFERROR(IF($K313="%",CG313-CF313,CG313/CF313-1),""))</f>
        <v/>
      </c>
      <c r="CI313" s="5" t="str">
        <f aca="false">IF(OR(CF313="",CG313=""),"",IF($F313="Maior Melhor",IF(CG313&gt;=CF313,"Sim","Não"),IF(CG313&lt;=CF313,"Sim","Não")))</f>
        <v/>
      </c>
      <c r="CJ313" s="14"/>
      <c r="CK313" s="14"/>
      <c r="CL313" s="4" t="str">
        <f aca="false">IF(OR(CJ313="",CK313=""),"",IFERROR(IF($K313="%",CK313-CJ313,CK313/CJ313-1),""))</f>
        <v/>
      </c>
      <c r="CM313" s="5" t="str">
        <f aca="false">IF(OR(CJ313="",CK313=""),"",IF($F313="Maior Melhor",IF(CK313&gt;=CJ313,"Sim","Não"),IF(CK313&lt;=CJ313,"Sim","Não")))</f>
        <v/>
      </c>
      <c r="CN313" s="14"/>
      <c r="CO313" s="14"/>
      <c r="CP313" s="4" t="str">
        <f aca="false">IF(OR(CN313="",CO313=""),"",IFERROR(IF($K313="%",CO313-CN313,CO313/CN313-1),""))</f>
        <v/>
      </c>
      <c r="CQ313" s="5" t="str">
        <f aca="false">IF(OR(CN313="",CO313=""),"",IF($F313="Maior Melhor",IF(CO313&gt;=CN313,"Sim","Não"),IF(CO313&lt;=CN313,"Sim","Não")))</f>
        <v/>
      </c>
      <c r="CR313" s="2" t="s">
        <v>158</v>
      </c>
    </row>
    <row r="314" customFormat="false" ht="15" hidden="false" customHeight="false" outlineLevel="0" collapsed="false">
      <c r="A314" s="2" t="s">
        <v>151</v>
      </c>
      <c r="B314" s="2" t="s">
        <v>108</v>
      </c>
      <c r="C314" s="2" t="s">
        <v>115</v>
      </c>
      <c r="D314" s="2" t="s">
        <v>196</v>
      </c>
      <c r="E314" s="2" t="str">
        <f aca="false">C314&amp;D314</f>
        <v>UTD BRUMADOQuantidade Física de Horas Extras</v>
      </c>
      <c r="F314" s="2" t="s">
        <v>167</v>
      </c>
      <c r="G314" s="2" t="s">
        <v>197</v>
      </c>
      <c r="H314" s="2" t="s">
        <v>102</v>
      </c>
      <c r="I314" s="2" t="s">
        <v>169</v>
      </c>
      <c r="J314" s="2" t="n">
        <v>2</v>
      </c>
      <c r="K314" s="2" t="s">
        <v>198</v>
      </c>
      <c r="L314" s="13" t="n">
        <v>1302.08</v>
      </c>
      <c r="M314" s="13" t="n">
        <v>1213.77</v>
      </c>
      <c r="N314" s="4" t="n">
        <f aca="false">IF(OR(L314="",M314=""),"",IFERROR(IF($K314="%",M314-L314,M314/L314-1),""))</f>
        <v>-0.0678222536249692</v>
      </c>
      <c r="O314" s="5" t="str">
        <f aca="false">IF(OR(L314="",M314=""),"",IF($F314="Maior Melhor",IF(M314&gt;=L314,"Sim","Não"),IF(M314&lt;=L314,"Sim","Não")))</f>
        <v>Sim</v>
      </c>
      <c r="P314" s="13" t="n">
        <v>923.05</v>
      </c>
      <c r="Q314" s="13" t="n">
        <v>1263.08</v>
      </c>
      <c r="R314" s="4" t="n">
        <f aca="false">IF(OR(P314="",Q314=""),"",IFERROR(IF($K314="%",Q314-P314,Q314/P314-1),""))</f>
        <v>0.368376577650182</v>
      </c>
      <c r="S314" s="5" t="str">
        <f aca="false">IF(OR(P314="",Q314=""),"",IF($F314="Maior Melhor",IF(Q314&gt;=P314,"Sim","Não"),IF(Q314&lt;=P314,"Sim","Não")))</f>
        <v>Não</v>
      </c>
      <c r="T314" s="13" t="n">
        <v>755.05</v>
      </c>
      <c r="U314" s="13" t="n">
        <v>1446.59</v>
      </c>
      <c r="V314" s="4" t="n">
        <f aca="false">IF(OR(T314="",U314=""),"",IFERROR(IF($K314="%",U314-T314,U314/T314-1),""))</f>
        <v>0.915886365141381</v>
      </c>
      <c r="W314" s="5" t="str">
        <f aca="false">IF(OR(T314="",U314=""),"",IF($F314="Maior Melhor",IF(U314&gt;=T314,"Sim","Não"),IF(U314&lt;=T314,"Sim","Não")))</f>
        <v>Não</v>
      </c>
      <c r="X314" s="13" t="n">
        <v>983.06</v>
      </c>
      <c r="Y314" s="13" t="n">
        <v>1164.75</v>
      </c>
      <c r="Z314" s="4" t="n">
        <f aca="false">IF(OR(X314="",Y314=""),"",IFERROR(IF($K314="%",Y314-X314,Y314/X314-1),""))</f>
        <v>0.184820865460908</v>
      </c>
      <c r="AA314" s="5" t="str">
        <f aca="false">IF(OR(X314="",Y314=""),"",IF($F314="Maior Melhor",IF(Y314&gt;=X314,"Sim","Não"),IF(Y314&lt;=X314,"Sim","Não")))</f>
        <v>Não</v>
      </c>
      <c r="AB314" s="13" t="n">
        <v>3963.23</v>
      </c>
      <c r="AC314" s="13" t="n">
        <v>5088.19</v>
      </c>
      <c r="AD314" s="4" t="n">
        <f aca="false">IF(OR(AB314="",AC314=""),"",IFERROR(IF($K314="%",AC314-AB314,AC314/AB314-1),""))</f>
        <v>0.283849284548209</v>
      </c>
      <c r="AE314" s="5" t="str">
        <f aca="false">IF(OR(AB314="",AC314=""),"",IF($F314="Maior Melhor",IF(AC314&gt;=AB314,"Sim","Não"),IF(AC314&lt;=AB314,"Sim","Não")))</f>
        <v>Não</v>
      </c>
      <c r="AF314" s="13" t="n">
        <v>1181.06</v>
      </c>
      <c r="AG314" s="13" t="n">
        <v>696.06</v>
      </c>
      <c r="AH314" s="4" t="n">
        <f aca="false">IF(OR(AF314="",AG314=""),"",IFERROR(IF($K314="%",AG314-AF314,AG314/AF314-1),""))</f>
        <v>-0.410648061910487</v>
      </c>
      <c r="AI314" s="5" t="str">
        <f aca="false">IF(OR(AF314="",AG314=""),"",IF($F314="Maior Melhor",IF(AG314&gt;=AF314,"Sim","Não"),IF(AG314&lt;=AF314,"Sim","Não")))</f>
        <v>Sim</v>
      </c>
      <c r="AJ314" s="13" t="n">
        <v>5144.29</v>
      </c>
      <c r="AK314" s="13" t="n">
        <v>5764.56</v>
      </c>
      <c r="AL314" s="4" t="n">
        <f aca="false">IF(OR(AJ314="",AK314=""),"",IFERROR(IF($K314="%",AK314-AJ314,AK314/AJ314-1),""))</f>
        <v>0.120574462170679</v>
      </c>
      <c r="AM314" s="5" t="str">
        <f aca="false">IF(OR(AJ314="",AK314=""),"",IF($F314="Maior Melhor",IF(AK314&gt;=AJ314,"Sim","Não"),IF(AK314&lt;=AJ314,"Sim","Não")))</f>
        <v>Não</v>
      </c>
      <c r="AN314" s="13" t="n">
        <v>1249.08</v>
      </c>
      <c r="AO314" s="13" t="n">
        <v>541.77</v>
      </c>
      <c r="AP314" s="4" t="n">
        <f aca="false">IF(OR(AN314="",AO314=""),"",IFERROR(IF($K314="%",AO314-AN314,AO314/AN314-1),""))</f>
        <v>-0.566264770871361</v>
      </c>
      <c r="AQ314" s="5" t="str">
        <f aca="false">IF(OR(AN314="",AO314=""),"",IF($F314="Maior Melhor",IF(AO314&gt;=AN314,"Sim","Não"),IF(AO314&lt;=AN314,"Sim","Não")))</f>
        <v>Sim</v>
      </c>
      <c r="AR314" s="13" t="n">
        <v>6393.37</v>
      </c>
      <c r="AS314" s="13" t="n">
        <v>6306.33</v>
      </c>
      <c r="AT314" s="4" t="n">
        <f aca="false">IF(OR(AR314="",AS314=""),"",IFERROR(IF($K314="%",AS314-AR314,AS314/AR314-1),""))</f>
        <v>-0.0136141033601997</v>
      </c>
      <c r="AU314" s="5" t="str">
        <f aca="false">IF(OR(AR314="",AS314=""),"",IF($F314="Maior Melhor",IF(AS314&gt;=AR314,"Sim","Não"),IF(AS314&lt;=AR314,"Sim","Não")))</f>
        <v>Sim</v>
      </c>
      <c r="AV314" s="13" t="n">
        <v>932.05</v>
      </c>
      <c r="AW314" s="13" t="n">
        <v>511.94</v>
      </c>
      <c r="AX314" s="4" t="n">
        <f aca="false">IF(OR(AV314="",AW314=""),"",IFERROR(IF($K314="%",AW314-AV314,AW314/AV314-1),""))</f>
        <v>-0.450737621372244</v>
      </c>
      <c r="AY314" s="5" t="str">
        <f aca="false">IF(OR(AV314="",AW314=""),"",IF($F314="Maior Melhor",IF(AW314&gt;=AV314,"Sim","Não"),IF(AW314&lt;=AV314,"Sim","Não")))</f>
        <v>Sim</v>
      </c>
      <c r="AZ314" s="13" t="n">
        <v>7325.42</v>
      </c>
      <c r="BA314" s="13" t="n">
        <v>6818.27</v>
      </c>
      <c r="BB314" s="4" t="n">
        <f aca="false">IF(OR(AZ314="",BA314=""),"",IFERROR(IF($K314="%",BA314-AZ314,BA314/AZ314-1),""))</f>
        <v>-0.0692315252913826</v>
      </c>
      <c r="BC314" s="5" t="str">
        <f aca="false">IF(OR(AZ314="",BA314=""),"",IF($F314="Maior Melhor",IF(BA314&gt;=AZ314,"Sim","Não"),IF(BA314&lt;=AZ314,"Sim","Não")))</f>
        <v>Sim</v>
      </c>
      <c r="BD314" s="13" t="n">
        <v>864.06</v>
      </c>
      <c r="BE314" s="13" t="n">
        <v>571.35</v>
      </c>
      <c r="BF314" s="4" t="n">
        <f aca="false">IF(OR(BD314="",BE314=""),"",IFERROR(IF($K314="%",BE314-BD314,BE314/BD314-1),""))</f>
        <v>-0.338761197139088</v>
      </c>
      <c r="BG314" s="5" t="str">
        <f aca="false">IF(OR(BD314="",BE314=""),"",IF($F314="Maior Melhor",IF(BE314&gt;=BD314,"Sim","Não"),IF(BE314&lt;=BD314,"Sim","Não")))</f>
        <v>Sim</v>
      </c>
      <c r="BH314" s="13" t="n">
        <v>8189.48</v>
      </c>
      <c r="BI314" s="13" t="n">
        <v>7389.62</v>
      </c>
      <c r="BJ314" s="4" t="n">
        <f aca="false">IF(OR(BH314="",BI314=""),"",IFERROR(IF($K314="%",BI314-BH314,BI314/BH314-1),""))</f>
        <v>-0.0976692048823612</v>
      </c>
      <c r="BK314" s="5" t="str">
        <f aca="false">IF(OR(BH314="",BI314=""),"",IF($F314="Maior Melhor",IF(BI314&gt;=BH314,"Sim","Não"),IF(BI314&lt;=BH314,"Sim","Não")))</f>
        <v>Sim</v>
      </c>
      <c r="BL314" s="14"/>
      <c r="BM314" s="14"/>
      <c r="BN314" s="4" t="str">
        <f aca="false">IF(OR(BL314="",BM314=""),"",IFERROR(IF($K314="%",BM314-BL314,BM314/BL314-1),""))</f>
        <v/>
      </c>
      <c r="BO314" s="5" t="str">
        <f aca="false">IF(OR(BL314="",BM314=""),"",IF($F314="Maior Melhor",IF(BM314&gt;=BL314,"Sim","Não"),IF(BM314&lt;=BL314,"Sim","Não")))</f>
        <v/>
      </c>
      <c r="BP314" s="14"/>
      <c r="BQ314" s="14"/>
      <c r="BR314" s="4" t="str">
        <f aca="false">IF(OR(BP314="",BQ314=""),"",IFERROR(IF($K314="%",BQ314-BP314,BQ314/BP314-1),""))</f>
        <v/>
      </c>
      <c r="BS314" s="5" t="str">
        <f aca="false">IF(OR(BP314="",BQ314=""),"",IF($F314="Maior Melhor",IF(BQ314&gt;=BP314,"Sim","Não"),IF(BQ314&lt;=BP314,"Sim","Não")))</f>
        <v/>
      </c>
      <c r="BT314" s="14"/>
      <c r="BU314" s="14"/>
      <c r="BV314" s="4" t="str">
        <f aca="false">IF(OR(BT314="",BU314=""),"",IFERROR(IF($K314="%",BU314-BT314,BU314/BT314-1),""))</f>
        <v/>
      </c>
      <c r="BW314" s="5" t="str">
        <f aca="false">IF(OR(BT314="",BU314=""),"",IF($F314="Maior Melhor",IF(BU314&gt;=BT314,"Sim","Não"),IF(BU314&lt;=BT314,"Sim","Não")))</f>
        <v/>
      </c>
      <c r="BX314" s="14"/>
      <c r="BY314" s="14"/>
      <c r="BZ314" s="4" t="str">
        <f aca="false">IF(OR(BX314="",BY314=""),"",IFERROR(IF($K314="%",BY314-BX314,BY314/BX314-1),""))</f>
        <v/>
      </c>
      <c r="CA314" s="5" t="str">
        <f aca="false">IF(OR(BX314="",BY314=""),"",IF($F314="Maior Melhor",IF(BY314&gt;=BX314,"Sim","Não"),IF(BY314&lt;=BX314,"Sim","Não")))</f>
        <v/>
      </c>
      <c r="CB314" s="14"/>
      <c r="CC314" s="14"/>
      <c r="CD314" s="4" t="str">
        <f aca="false">IF(OR(CB314="",CC314=""),"",IFERROR(IF($K314="%",CC314-CB314,CC314/CB314-1),""))</f>
        <v/>
      </c>
      <c r="CE314" s="5" t="str">
        <f aca="false">IF(OR(CB314="",CC314=""),"",IF($F314="Maior Melhor",IF(CC314&gt;=CB314,"Sim","Não"),IF(CC314&lt;=CB314,"Sim","Não")))</f>
        <v/>
      </c>
      <c r="CF314" s="14"/>
      <c r="CG314" s="14"/>
      <c r="CH314" s="4" t="str">
        <f aca="false">IF(OR(CF314="",CG314=""),"",IFERROR(IF($K314="%",CG314-CF314,CG314/CF314-1),""))</f>
        <v/>
      </c>
      <c r="CI314" s="5" t="str">
        <f aca="false">IF(OR(CF314="",CG314=""),"",IF($F314="Maior Melhor",IF(CG314&gt;=CF314,"Sim","Não"),IF(CG314&lt;=CF314,"Sim","Não")))</f>
        <v/>
      </c>
      <c r="CJ314" s="14"/>
      <c r="CK314" s="14"/>
      <c r="CL314" s="4" t="str">
        <f aca="false">IF(OR(CJ314="",CK314=""),"",IFERROR(IF($K314="%",CK314-CJ314,CK314/CJ314-1),""))</f>
        <v/>
      </c>
      <c r="CM314" s="5" t="str">
        <f aca="false">IF(OR(CJ314="",CK314=""),"",IF($F314="Maior Melhor",IF(CK314&gt;=CJ314,"Sim","Não"),IF(CK314&lt;=CJ314,"Sim","Não")))</f>
        <v/>
      </c>
      <c r="CN314" s="14"/>
      <c r="CO314" s="14"/>
      <c r="CP314" s="4" t="str">
        <f aca="false">IF(OR(CN314="",CO314=""),"",IFERROR(IF($K314="%",CO314-CN314,CO314/CN314-1),""))</f>
        <v/>
      </c>
      <c r="CQ314" s="5" t="str">
        <f aca="false">IF(OR(CN314="",CO314=""),"",IF($F314="Maior Melhor",IF(CO314&gt;=CN314,"Sim","Não"),IF(CO314&lt;=CN314,"Sim","Não")))</f>
        <v/>
      </c>
      <c r="CR314" s="2" t="s">
        <v>105</v>
      </c>
    </row>
    <row r="315" customFormat="false" ht="15" hidden="false" customHeight="false" outlineLevel="0" collapsed="false">
      <c r="A315" s="2" t="s">
        <v>151</v>
      </c>
      <c r="B315" s="2" t="s">
        <v>108</v>
      </c>
      <c r="C315" s="2" t="s">
        <v>117</v>
      </c>
      <c r="D315" s="2" t="s">
        <v>196</v>
      </c>
      <c r="E315" s="2" t="str">
        <f aca="false">C315&amp;D315</f>
        <v>UTD GUANAMBIQuantidade Física de Horas Extras</v>
      </c>
      <c r="F315" s="2" t="s">
        <v>167</v>
      </c>
      <c r="G315" s="2" t="s">
        <v>197</v>
      </c>
      <c r="H315" s="2" t="s">
        <v>102</v>
      </c>
      <c r="I315" s="2" t="s">
        <v>169</v>
      </c>
      <c r="J315" s="2" t="n">
        <v>2</v>
      </c>
      <c r="K315" s="2" t="s">
        <v>198</v>
      </c>
      <c r="L315" s="13" t="n">
        <v>1578.16</v>
      </c>
      <c r="M315" s="13" t="n">
        <v>2752.3</v>
      </c>
      <c r="N315" s="4" t="n">
        <f aca="false">IF(OR(L315="",M315=""),"",IFERROR(IF($K315="%",M315-L315,M315/L315-1),""))</f>
        <v>0.743993004511583</v>
      </c>
      <c r="O315" s="5" t="str">
        <f aca="false">IF(OR(L315="",M315=""),"",IF($F315="Maior Melhor",IF(M315&gt;=L315,"Sim","Não"),IF(M315&lt;=L315,"Sim","Não")))</f>
        <v>Não</v>
      </c>
      <c r="P315" s="13" t="n">
        <v>1118.09</v>
      </c>
      <c r="Q315" s="13" t="n">
        <v>2867.28</v>
      </c>
      <c r="R315" s="4" t="n">
        <f aca="false">IF(OR(P315="",Q315=""),"",IFERROR(IF($K315="%",Q315-P315,Q315/P315-1),""))</f>
        <v>1.56444472269674</v>
      </c>
      <c r="S315" s="5" t="str">
        <f aca="false">IF(OR(P315="",Q315=""),"",IF($F315="Maior Melhor",IF(Q315&gt;=P315,"Sim","Não"),IF(Q315&lt;=P315,"Sim","Não")))</f>
        <v>Não</v>
      </c>
      <c r="T315" s="13" t="n">
        <v>914.09</v>
      </c>
      <c r="U315" s="13" t="n">
        <v>1856.28</v>
      </c>
      <c r="V315" s="4" t="n">
        <f aca="false">IF(OR(T315="",U315=""),"",IFERROR(IF($K315="%",U315-T315,U315/T315-1),""))</f>
        <v>1.03074095548578</v>
      </c>
      <c r="W315" s="5" t="str">
        <f aca="false">IF(OR(T315="",U315=""),"",IF($F315="Maior Melhor",IF(U315&gt;=T315,"Sim","Não"),IF(U315&lt;=T315,"Sim","Não")))</f>
        <v>Não</v>
      </c>
      <c r="X315" s="13" t="n">
        <v>1191.12</v>
      </c>
      <c r="Y315" s="13" t="n">
        <v>1323.87</v>
      </c>
      <c r="Z315" s="4" t="n">
        <f aca="false">IF(OR(X315="",Y315=""),"",IFERROR(IF($K315="%",Y315-X315,Y315/X315-1),""))</f>
        <v>0.111449727987105</v>
      </c>
      <c r="AA315" s="5" t="str">
        <f aca="false">IF(OR(X315="",Y315=""),"",IF($F315="Maior Melhor",IF(Y315&gt;=X315,"Sim","Não"),IF(Y315&lt;=X315,"Sim","Não")))</f>
        <v>Não</v>
      </c>
      <c r="AB315" s="13" t="n">
        <v>4801.47</v>
      </c>
      <c r="AC315" s="13" t="n">
        <v>8799.73</v>
      </c>
      <c r="AD315" s="4" t="n">
        <f aca="false">IF(OR(AB315="",AC315=""),"",IFERROR(IF($K315="%",AC315-AB315,AC315/AB315-1),""))</f>
        <v>0.83271581411526</v>
      </c>
      <c r="AE315" s="5" t="str">
        <f aca="false">IF(OR(AB315="",AC315=""),"",IF($F315="Maior Melhor",IF(AC315&gt;=AB315,"Sim","Não"),IF(AC315&lt;=AB315,"Sim","Não")))</f>
        <v>Não</v>
      </c>
      <c r="AF315" s="13" t="n">
        <v>1430.12</v>
      </c>
      <c r="AG315" s="13" t="n">
        <v>1137.48</v>
      </c>
      <c r="AH315" s="4" t="n">
        <f aca="false">IF(OR(AF315="",AG315=""),"",IFERROR(IF($K315="%",AG315-AF315,AG315/AF315-1),""))</f>
        <v>-0.204626185215227</v>
      </c>
      <c r="AI315" s="5" t="str">
        <f aca="false">IF(OR(AF315="",AG315=""),"",IF($F315="Maior Melhor",IF(AG315&gt;=AF315,"Sim","Não"),IF(AG315&lt;=AF315,"Sim","Não")))</f>
        <v>Sim</v>
      </c>
      <c r="AJ315" s="13" t="n">
        <v>6231.58</v>
      </c>
      <c r="AK315" s="13" t="n">
        <v>9937.21</v>
      </c>
      <c r="AL315" s="4" t="n">
        <f aca="false">IF(OR(AJ315="",AK315=""),"",IFERROR(IF($K315="%",AK315-AJ315,AK315/AJ315-1),""))</f>
        <v>0.594653362389635</v>
      </c>
      <c r="AM315" s="5" t="str">
        <f aca="false">IF(OR(AJ315="",AK315=""),"",IF($F315="Maior Melhor",IF(AK315&gt;=AJ315,"Sim","Não"),IF(AK315&lt;=AJ315,"Sim","Não")))</f>
        <v>Não</v>
      </c>
      <c r="AN315" s="13" t="n">
        <v>1513.16</v>
      </c>
      <c r="AO315" s="13" t="n">
        <v>1062.28</v>
      </c>
      <c r="AP315" s="4" t="n">
        <f aca="false">IF(OR(AN315="",AO315=""),"",IFERROR(IF($K315="%",AO315-AN315,AO315/AN315-1),""))</f>
        <v>-0.297972454994845</v>
      </c>
      <c r="AQ315" s="5" t="str">
        <f aca="false">IF(OR(AN315="",AO315=""),"",IF($F315="Maior Melhor",IF(AO315&gt;=AN315,"Sim","Não"),IF(AO315&lt;=AN315,"Sim","Não")))</f>
        <v>Sim</v>
      </c>
      <c r="AR315" s="13" t="n">
        <v>7744.74</v>
      </c>
      <c r="AS315" s="13" t="n">
        <v>11001.99</v>
      </c>
      <c r="AT315" s="4" t="n">
        <f aca="false">IF(OR(AR315="",AS315=""),"",IFERROR(IF($K315="%",AS315-AR315,AS315/AR315-1),""))</f>
        <v>0.420575771426801</v>
      </c>
      <c r="AU315" s="5" t="str">
        <f aca="false">IF(OR(AR315="",AS315=""),"",IF($F315="Maior Melhor",IF(AS315&gt;=AR315,"Sim","Não"),IF(AS315&lt;=AR315,"Sim","Não")))</f>
        <v>Não</v>
      </c>
      <c r="AV315" s="13" t="n">
        <v>1130.11</v>
      </c>
      <c r="AW315" s="13" t="n">
        <v>576.47</v>
      </c>
      <c r="AX315" s="4" t="n">
        <f aca="false">IF(OR(AV315="",AW315=""),"",IFERROR(IF($K315="%",AW315-AV315,AW315/AV315-1),""))</f>
        <v>-0.489899213350913</v>
      </c>
      <c r="AY315" s="5" t="str">
        <f aca="false">IF(OR(AV315="",AW315=""),"",IF($F315="Maior Melhor",IF(AW315&gt;=AV315,"Sim","Não"),IF(AW315&lt;=AV315,"Sim","Não")))</f>
        <v>Sim</v>
      </c>
      <c r="AZ315" s="13" t="n">
        <v>8874.85</v>
      </c>
      <c r="BA315" s="13" t="n">
        <v>11578.46</v>
      </c>
      <c r="BB315" s="4" t="n">
        <f aca="false">IF(OR(AZ315="",BA315=""),"",IFERROR(IF($K315="%",BA315-AZ315,BA315/AZ315-1),""))</f>
        <v>0.304637261474842</v>
      </c>
      <c r="BC315" s="5" t="str">
        <f aca="false">IF(OR(AZ315="",BA315=""),"",IF($F315="Maior Melhor",IF(BA315&gt;=AZ315,"Sim","Não"),IF(BA315&lt;=AZ315,"Sim","Não")))</f>
        <v>Não</v>
      </c>
      <c r="BD315" s="13" t="n">
        <v>1047.11</v>
      </c>
      <c r="BE315" s="13" t="n">
        <v>589.79</v>
      </c>
      <c r="BF315" s="4" t="n">
        <f aca="false">IF(OR(BD315="",BE315=""),"",IFERROR(IF($K315="%",BE315-BD315,BE315/BD315-1),""))</f>
        <v>-0.436744945612209</v>
      </c>
      <c r="BG315" s="5" t="str">
        <f aca="false">IF(OR(BD315="",BE315=""),"",IF($F315="Maior Melhor",IF(BE315&gt;=BD315,"Sim","Não"),IF(BE315&lt;=BD315,"Sim","Não")))</f>
        <v>Sim</v>
      </c>
      <c r="BH315" s="13" t="n">
        <v>9921.96</v>
      </c>
      <c r="BI315" s="13" t="n">
        <v>12168.25</v>
      </c>
      <c r="BJ315" s="4" t="n">
        <f aca="false">IF(OR(BH315="",BI315=""),"",IFERROR(IF($K315="%",BI315-BH315,BI315/BH315-1),""))</f>
        <v>0.226395792766752</v>
      </c>
      <c r="BK315" s="5" t="str">
        <f aca="false">IF(OR(BH315="",BI315=""),"",IF($F315="Maior Melhor",IF(BI315&gt;=BH315,"Sim","Não"),IF(BI315&lt;=BH315,"Sim","Não")))</f>
        <v>Não</v>
      </c>
      <c r="BL315" s="14"/>
      <c r="BM315" s="14"/>
      <c r="BN315" s="4" t="str">
        <f aca="false">IF(OR(BL315="",BM315=""),"",IFERROR(IF($K315="%",BM315-BL315,BM315/BL315-1),""))</f>
        <v/>
      </c>
      <c r="BO315" s="5" t="str">
        <f aca="false">IF(OR(BL315="",BM315=""),"",IF($F315="Maior Melhor",IF(BM315&gt;=BL315,"Sim","Não"),IF(BM315&lt;=BL315,"Sim","Não")))</f>
        <v/>
      </c>
      <c r="BP315" s="14"/>
      <c r="BQ315" s="14"/>
      <c r="BR315" s="4" t="str">
        <f aca="false">IF(OR(BP315="",BQ315=""),"",IFERROR(IF($K315="%",BQ315-BP315,BQ315/BP315-1),""))</f>
        <v/>
      </c>
      <c r="BS315" s="5" t="str">
        <f aca="false">IF(OR(BP315="",BQ315=""),"",IF($F315="Maior Melhor",IF(BQ315&gt;=BP315,"Sim","Não"),IF(BQ315&lt;=BP315,"Sim","Não")))</f>
        <v/>
      </c>
      <c r="BT315" s="14"/>
      <c r="BU315" s="14"/>
      <c r="BV315" s="4" t="str">
        <f aca="false">IF(OR(BT315="",BU315=""),"",IFERROR(IF($K315="%",BU315-BT315,BU315/BT315-1),""))</f>
        <v/>
      </c>
      <c r="BW315" s="5" t="str">
        <f aca="false">IF(OR(BT315="",BU315=""),"",IF($F315="Maior Melhor",IF(BU315&gt;=BT315,"Sim","Não"),IF(BU315&lt;=BT315,"Sim","Não")))</f>
        <v/>
      </c>
      <c r="BX315" s="14"/>
      <c r="BY315" s="14"/>
      <c r="BZ315" s="4" t="str">
        <f aca="false">IF(OR(BX315="",BY315=""),"",IFERROR(IF($K315="%",BY315-BX315,BY315/BX315-1),""))</f>
        <v/>
      </c>
      <c r="CA315" s="5" t="str">
        <f aca="false">IF(OR(BX315="",BY315=""),"",IF($F315="Maior Melhor",IF(BY315&gt;=BX315,"Sim","Não"),IF(BY315&lt;=BX315,"Sim","Não")))</f>
        <v/>
      </c>
      <c r="CB315" s="14"/>
      <c r="CC315" s="14"/>
      <c r="CD315" s="4" t="str">
        <f aca="false">IF(OR(CB315="",CC315=""),"",IFERROR(IF($K315="%",CC315-CB315,CC315/CB315-1),""))</f>
        <v/>
      </c>
      <c r="CE315" s="5" t="str">
        <f aca="false">IF(OR(CB315="",CC315=""),"",IF($F315="Maior Melhor",IF(CC315&gt;=CB315,"Sim","Não"),IF(CC315&lt;=CB315,"Sim","Não")))</f>
        <v/>
      </c>
      <c r="CF315" s="14"/>
      <c r="CG315" s="14"/>
      <c r="CH315" s="4" t="str">
        <f aca="false">IF(OR(CF315="",CG315=""),"",IFERROR(IF($K315="%",CG315-CF315,CG315/CF315-1),""))</f>
        <v/>
      </c>
      <c r="CI315" s="5" t="str">
        <f aca="false">IF(OR(CF315="",CG315=""),"",IF($F315="Maior Melhor",IF(CG315&gt;=CF315,"Sim","Não"),IF(CG315&lt;=CF315,"Sim","Não")))</f>
        <v/>
      </c>
      <c r="CJ315" s="14"/>
      <c r="CK315" s="14"/>
      <c r="CL315" s="4" t="str">
        <f aca="false">IF(OR(CJ315="",CK315=""),"",IFERROR(IF($K315="%",CK315-CJ315,CK315/CJ315-1),""))</f>
        <v/>
      </c>
      <c r="CM315" s="5" t="str">
        <f aca="false">IF(OR(CJ315="",CK315=""),"",IF($F315="Maior Melhor",IF(CK315&gt;=CJ315,"Sim","Não"),IF(CK315&lt;=CJ315,"Sim","Não")))</f>
        <v/>
      </c>
      <c r="CN315" s="14"/>
      <c r="CO315" s="14"/>
      <c r="CP315" s="4" t="str">
        <f aca="false">IF(OR(CN315="",CO315=""),"",IFERROR(IF($K315="%",CO315-CN315,CO315/CN315-1),""))</f>
        <v/>
      </c>
      <c r="CQ315" s="5" t="str">
        <f aca="false">IF(OR(CN315="",CO315=""),"",IF($F315="Maior Melhor",IF(CO315&gt;=CN315,"Sim","Não"),IF(CO315&lt;=CN315,"Sim","Não")))</f>
        <v/>
      </c>
      <c r="CR315" s="2" t="s">
        <v>105</v>
      </c>
    </row>
    <row r="316" customFormat="false" ht="15" hidden="false" customHeight="false" outlineLevel="0" collapsed="false">
      <c r="A316" s="2" t="s">
        <v>151</v>
      </c>
      <c r="B316" s="2" t="s">
        <v>106</v>
      </c>
      <c r="C316" s="2" t="s">
        <v>118</v>
      </c>
      <c r="D316" s="2" t="s">
        <v>196</v>
      </c>
      <c r="E316" s="2" t="str">
        <f aca="false">C316&amp;D316</f>
        <v>UTD IBOTIRAMAQuantidade Física de Horas Extras</v>
      </c>
      <c r="F316" s="2" t="s">
        <v>167</v>
      </c>
      <c r="G316" s="2" t="s">
        <v>197</v>
      </c>
      <c r="H316" s="2" t="s">
        <v>119</v>
      </c>
      <c r="I316" s="2" t="s">
        <v>169</v>
      </c>
      <c r="J316" s="2" t="n">
        <v>2</v>
      </c>
      <c r="K316" s="2" t="s">
        <v>198</v>
      </c>
      <c r="L316" s="13" t="n">
        <v>1691.16</v>
      </c>
      <c r="M316" s="13" t="n">
        <v>1105.88</v>
      </c>
      <c r="N316" s="4" t="n">
        <f aca="false">IF(OR(L316="",M316=""),"",IFERROR(IF($K316="%",M316-L316,M316/L316-1),""))</f>
        <v>-0.346081979233189</v>
      </c>
      <c r="O316" s="5" t="str">
        <f aca="false">IF(OR(L316="",M316=""),"",IF($F316="Maior Melhor",IF(M316&gt;=L316,"Sim","Não"),IF(M316&lt;=L316,"Sim","Não")))</f>
        <v>Sim</v>
      </c>
      <c r="P316" s="13" t="n">
        <v>1199.09</v>
      </c>
      <c r="Q316" s="13" t="n">
        <v>1699.02</v>
      </c>
      <c r="R316" s="4" t="n">
        <f aca="false">IF(OR(P316="",Q316=""),"",IFERROR(IF($K316="%",Q316-P316,Q316/P316-1),""))</f>
        <v>0.416924501079986</v>
      </c>
      <c r="S316" s="5" t="str">
        <f aca="false">IF(OR(P316="",Q316=""),"",IF($F316="Maior Melhor",IF(Q316&gt;=P316,"Sim","Não"),IF(Q316&lt;=P316,"Sim","Não")))</f>
        <v>Não</v>
      </c>
      <c r="T316" s="13" t="n">
        <v>980.09</v>
      </c>
      <c r="U316" s="13" t="n">
        <v>1656.39</v>
      </c>
      <c r="V316" s="4" t="n">
        <f aca="false">IF(OR(T316="",U316=""),"",IFERROR(IF($K316="%",U316-T316,U316/T316-1),""))</f>
        <v>0.690038669918069</v>
      </c>
      <c r="W316" s="5" t="str">
        <f aca="false">IF(OR(T316="",U316=""),"",IF($F316="Maior Melhor",IF(U316&gt;=T316,"Sim","Não"),IF(U316&lt;=T316,"Sim","Não")))</f>
        <v>Não</v>
      </c>
      <c r="X316" s="13" t="n">
        <v>1277.12</v>
      </c>
      <c r="Y316" s="13" t="n">
        <v>1383.17</v>
      </c>
      <c r="Z316" s="4" t="n">
        <f aca="false">IF(OR(X316="",Y316=""),"",IFERROR(IF($K316="%",Y316-X316,Y316/X316-1),""))</f>
        <v>0.0830383988975196</v>
      </c>
      <c r="AA316" s="5" t="str">
        <f aca="false">IF(OR(X316="",Y316=""),"",IF($F316="Maior Melhor",IF(Y316&gt;=X316,"Sim","Não"),IF(Y316&lt;=X316,"Sim","Não")))</f>
        <v>Não</v>
      </c>
      <c r="AB316" s="13" t="n">
        <v>5147.47</v>
      </c>
      <c r="AC316" s="13" t="n">
        <v>5844.46</v>
      </c>
      <c r="AD316" s="4" t="n">
        <f aca="false">IF(OR(AB316="",AC316=""),"",IFERROR(IF($K316="%",AC316-AB316,AC316/AB316-1),""))</f>
        <v>0.135404383124137</v>
      </c>
      <c r="AE316" s="5" t="str">
        <f aca="false">IF(OR(AB316="",AC316=""),"",IF($F316="Maior Melhor",IF(AC316&gt;=AB316,"Sim","Não"),IF(AC316&lt;=AB316,"Sim","Não")))</f>
        <v>Não</v>
      </c>
      <c r="AF316" s="13" t="n">
        <v>1533.12</v>
      </c>
      <c r="AG316" s="13" t="n">
        <v>852.61</v>
      </c>
      <c r="AH316" s="4" t="n">
        <f aca="false">IF(OR(AF316="",AG316=""),"",IFERROR(IF($K316="%",AG316-AF316,AG316/AF316-1),""))</f>
        <v>-0.443872625756627</v>
      </c>
      <c r="AI316" s="5" t="str">
        <f aca="false">IF(OR(AF316="",AG316=""),"",IF($F316="Maior Melhor",IF(AG316&gt;=AF316,"Sim","Não"),IF(AG316&lt;=AF316,"Sim","Não")))</f>
        <v>Sim</v>
      </c>
      <c r="AJ316" s="13" t="n">
        <v>6680.58</v>
      </c>
      <c r="AK316" s="13" t="n">
        <v>6659.14</v>
      </c>
      <c r="AL316" s="4" t="n">
        <f aca="false">IF(OR(AJ316="",AK316=""),"",IFERROR(IF($K316="%",AK316-AJ316,AK316/AJ316-1),""))</f>
        <v>-0.00320930218633708</v>
      </c>
      <c r="AM316" s="5" t="str">
        <f aca="false">IF(OR(AJ316="",AK316=""),"",IF($F316="Maior Melhor",IF(AK316&gt;=AJ316,"Sim","Não"),IF(AK316&lt;=AJ316,"Sim","Não")))</f>
        <v>Sim</v>
      </c>
      <c r="AN316" s="13" t="n">
        <v>1622.16</v>
      </c>
      <c r="AO316" s="13" t="n">
        <v>1064.98</v>
      </c>
      <c r="AP316" s="4" t="n">
        <f aca="false">IF(OR(AN316="",AO316=""),"",IFERROR(IF($K316="%",AO316-AN316,AO316/AN316-1),""))</f>
        <v>-0.343480297874439</v>
      </c>
      <c r="AQ316" s="5" t="str">
        <f aca="false">IF(OR(AN316="",AO316=""),"",IF($F316="Maior Melhor",IF(AO316&gt;=AN316,"Sim","Não"),IF(AO316&lt;=AN316,"Sim","Não")))</f>
        <v>Sim</v>
      </c>
      <c r="AR316" s="13" t="n">
        <v>8302.74</v>
      </c>
      <c r="AS316" s="13" t="n">
        <v>7742.37</v>
      </c>
      <c r="AT316" s="4" t="n">
        <f aca="false">IF(OR(AR316="",AS316=""),"",IFERROR(IF($K316="%",AS316-AR316,AS316/AR316-1),""))</f>
        <v>-0.0674921772812349</v>
      </c>
      <c r="AU316" s="5" t="str">
        <f aca="false">IF(OR(AR316="",AS316=""),"",IF($F316="Maior Melhor",IF(AS316&gt;=AR316,"Sim","Não"),IF(AS316&lt;=AR316,"Sim","Não")))</f>
        <v>Sim</v>
      </c>
      <c r="AV316" s="13" t="n">
        <v>1211.11</v>
      </c>
      <c r="AW316" s="13" t="n">
        <v>883.82</v>
      </c>
      <c r="AX316" s="4" t="n">
        <f aca="false">IF(OR(AV316="",AW316=""),"",IFERROR(IF($K316="%",AW316-AV316,AW316/AV316-1),""))</f>
        <v>-0.270239697467612</v>
      </c>
      <c r="AY316" s="5" t="str">
        <f aca="false">IF(OR(AV316="",AW316=""),"",IF($F316="Maior Melhor",IF(AW316&gt;=AV316,"Sim","Não"),IF(AW316&lt;=AV316,"Sim","Não")))</f>
        <v>Sim</v>
      </c>
      <c r="AZ316" s="13" t="n">
        <v>9513.85</v>
      </c>
      <c r="BA316" s="13" t="n">
        <v>8626.19</v>
      </c>
      <c r="BB316" s="4" t="n">
        <f aca="false">IF(OR(AZ316="",BA316=""),"",IFERROR(IF($K316="%",BA316-AZ316,BA316/AZ316-1),""))</f>
        <v>-0.0933018704310032</v>
      </c>
      <c r="BC316" s="5" t="str">
        <f aca="false">IF(OR(AZ316="",BA316=""),"",IF($F316="Maior Melhor",IF(BA316&gt;=AZ316,"Sim","Não"),IF(BA316&lt;=AZ316,"Sim","Não")))</f>
        <v>Sim</v>
      </c>
      <c r="BD316" s="13" t="n">
        <v>1122.11</v>
      </c>
      <c r="BE316" s="13" t="n">
        <v>978.28</v>
      </c>
      <c r="BF316" s="4" t="n">
        <f aca="false">IF(OR(BD316="",BE316=""),"",IFERROR(IF($K316="%",BE316-BD316,BE316/BD316-1),""))</f>
        <v>-0.128178164351089</v>
      </c>
      <c r="BG316" s="5" t="str">
        <f aca="false">IF(OR(BD316="",BE316=""),"",IF($F316="Maior Melhor",IF(BE316&gt;=BD316,"Sim","Não"),IF(BE316&lt;=BD316,"Sim","Não")))</f>
        <v>Sim</v>
      </c>
      <c r="BH316" s="13" t="n">
        <v>10635.96</v>
      </c>
      <c r="BI316" s="13" t="n">
        <v>9604.47</v>
      </c>
      <c r="BJ316" s="4" t="n">
        <f aca="false">IF(OR(BH316="",BI316=""),"",IFERROR(IF($K316="%",BI316-BH316,BI316/BH316-1),""))</f>
        <v>-0.0969813726264484</v>
      </c>
      <c r="BK316" s="5" t="str">
        <f aca="false">IF(OR(BH316="",BI316=""),"",IF($F316="Maior Melhor",IF(BI316&gt;=BH316,"Sim","Não"),IF(BI316&lt;=BH316,"Sim","Não")))</f>
        <v>Sim</v>
      </c>
      <c r="BL316" s="14"/>
      <c r="BM316" s="14"/>
      <c r="BN316" s="4" t="str">
        <f aca="false">IF(OR(BL316="",BM316=""),"",IFERROR(IF($K316="%",BM316-BL316,BM316/BL316-1),""))</f>
        <v/>
      </c>
      <c r="BO316" s="5" t="str">
        <f aca="false">IF(OR(BL316="",BM316=""),"",IF($F316="Maior Melhor",IF(BM316&gt;=BL316,"Sim","Não"),IF(BM316&lt;=BL316,"Sim","Não")))</f>
        <v/>
      </c>
      <c r="BP316" s="14"/>
      <c r="BQ316" s="14"/>
      <c r="BR316" s="4" t="str">
        <f aca="false">IF(OR(BP316="",BQ316=""),"",IFERROR(IF($K316="%",BQ316-BP316,BQ316/BP316-1),""))</f>
        <v/>
      </c>
      <c r="BS316" s="5" t="str">
        <f aca="false">IF(OR(BP316="",BQ316=""),"",IF($F316="Maior Melhor",IF(BQ316&gt;=BP316,"Sim","Não"),IF(BQ316&lt;=BP316,"Sim","Não")))</f>
        <v/>
      </c>
      <c r="BT316" s="14"/>
      <c r="BU316" s="14"/>
      <c r="BV316" s="4" t="str">
        <f aca="false">IF(OR(BT316="",BU316=""),"",IFERROR(IF($K316="%",BU316-BT316,BU316/BT316-1),""))</f>
        <v/>
      </c>
      <c r="BW316" s="5" t="str">
        <f aca="false">IF(OR(BT316="",BU316=""),"",IF($F316="Maior Melhor",IF(BU316&gt;=BT316,"Sim","Não"),IF(BU316&lt;=BT316,"Sim","Não")))</f>
        <v/>
      </c>
      <c r="BX316" s="14"/>
      <c r="BY316" s="14"/>
      <c r="BZ316" s="4" t="str">
        <f aca="false">IF(OR(BX316="",BY316=""),"",IFERROR(IF($K316="%",BY316-BX316,BY316/BX316-1),""))</f>
        <v/>
      </c>
      <c r="CA316" s="5" t="str">
        <f aca="false">IF(OR(BX316="",BY316=""),"",IF($F316="Maior Melhor",IF(BY316&gt;=BX316,"Sim","Não"),IF(BY316&lt;=BX316,"Sim","Não")))</f>
        <v/>
      </c>
      <c r="CB316" s="14"/>
      <c r="CC316" s="14"/>
      <c r="CD316" s="4" t="str">
        <f aca="false">IF(OR(CB316="",CC316=""),"",IFERROR(IF($K316="%",CC316-CB316,CC316/CB316-1),""))</f>
        <v/>
      </c>
      <c r="CE316" s="5" t="str">
        <f aca="false">IF(OR(CB316="",CC316=""),"",IF($F316="Maior Melhor",IF(CC316&gt;=CB316,"Sim","Não"),IF(CC316&lt;=CB316,"Sim","Não")))</f>
        <v/>
      </c>
      <c r="CF316" s="14"/>
      <c r="CG316" s="14"/>
      <c r="CH316" s="4" t="str">
        <f aca="false">IF(OR(CF316="",CG316=""),"",IFERROR(IF($K316="%",CG316-CF316,CG316/CF316-1),""))</f>
        <v/>
      </c>
      <c r="CI316" s="5" t="str">
        <f aca="false">IF(OR(CF316="",CG316=""),"",IF($F316="Maior Melhor",IF(CG316&gt;=CF316,"Sim","Não"),IF(CG316&lt;=CF316,"Sim","Não")))</f>
        <v/>
      </c>
      <c r="CJ316" s="14"/>
      <c r="CK316" s="14"/>
      <c r="CL316" s="4" t="str">
        <f aca="false">IF(OR(CJ316="",CK316=""),"",IFERROR(IF($K316="%",CK316-CJ316,CK316/CJ316-1),""))</f>
        <v/>
      </c>
      <c r="CM316" s="5" t="str">
        <f aca="false">IF(OR(CJ316="",CK316=""),"",IF($F316="Maior Melhor",IF(CK316&gt;=CJ316,"Sim","Não"),IF(CK316&lt;=CJ316,"Sim","Não")))</f>
        <v/>
      </c>
      <c r="CN316" s="14"/>
      <c r="CO316" s="14"/>
      <c r="CP316" s="4" t="str">
        <f aca="false">IF(OR(CN316="",CO316=""),"",IFERROR(IF($K316="%",CO316-CN316,CO316/CN316-1),""))</f>
        <v/>
      </c>
      <c r="CQ316" s="5" t="str">
        <f aca="false">IF(OR(CN316="",CO316=""),"",IF($F316="Maior Melhor",IF(CO316&gt;=CN316,"Sim","Não"),IF(CO316&lt;=CN316,"Sim","Não")))</f>
        <v/>
      </c>
      <c r="CR316" s="2" t="s">
        <v>134</v>
      </c>
    </row>
    <row r="317" customFormat="false" ht="15" hidden="false" customHeight="false" outlineLevel="0" collapsed="false">
      <c r="A317" s="2" t="s">
        <v>151</v>
      </c>
      <c r="B317" s="2" t="s">
        <v>97</v>
      </c>
      <c r="C317" s="2" t="s">
        <v>121</v>
      </c>
      <c r="D317" s="2" t="s">
        <v>196</v>
      </c>
      <c r="E317" s="2" t="str">
        <f aca="false">C317&amp;D317</f>
        <v>UTD IRECÊQuantidade Física de Horas Extras</v>
      </c>
      <c r="F317" s="2" t="s">
        <v>167</v>
      </c>
      <c r="G317" s="2" t="s">
        <v>197</v>
      </c>
      <c r="H317" s="2" t="s">
        <v>102</v>
      </c>
      <c r="I317" s="2" t="s">
        <v>169</v>
      </c>
      <c r="J317" s="2" t="n">
        <v>2</v>
      </c>
      <c r="K317" s="2" t="s">
        <v>198</v>
      </c>
      <c r="L317" s="13" t="n">
        <v>2136.16</v>
      </c>
      <c r="M317" s="13" t="n">
        <v>2400.72</v>
      </c>
      <c r="N317" s="4" t="n">
        <f aca="false">IF(OR(L317="",M317=""),"",IFERROR(IF($K317="%",M317-L317,M317/L317-1),""))</f>
        <v>0.123848400868849</v>
      </c>
      <c r="O317" s="5" t="str">
        <f aca="false">IF(OR(L317="",M317=""),"",IF($F317="Maior Melhor",IF(M317&gt;=L317,"Sim","Não"),IF(M317&lt;=L317,"Sim","Não")))</f>
        <v>Não</v>
      </c>
      <c r="P317" s="13" t="n">
        <v>1514.09</v>
      </c>
      <c r="Q317" s="13" t="n">
        <v>2739.05</v>
      </c>
      <c r="R317" s="4" t="n">
        <f aca="false">IF(OR(P317="",Q317=""),"",IFERROR(IF($K317="%",Q317-P317,Q317/P317-1),""))</f>
        <v>0.809040413713848</v>
      </c>
      <c r="S317" s="5" t="str">
        <f aca="false">IF(OR(P317="",Q317=""),"",IF($F317="Maior Melhor",IF(Q317&gt;=P317,"Sim","Não"),IF(Q317&lt;=P317,"Sim","Não")))</f>
        <v>Não</v>
      </c>
      <c r="T317" s="13" t="n">
        <v>1238.09</v>
      </c>
      <c r="U317" s="13" t="n">
        <v>2210.08</v>
      </c>
      <c r="V317" s="4" t="n">
        <f aca="false">IF(OR(T317="",U317=""),"",IFERROR(IF($K317="%",U317-T317,U317/T317-1),""))</f>
        <v>0.785072167613017</v>
      </c>
      <c r="W317" s="5" t="str">
        <f aca="false">IF(OR(T317="",U317=""),"",IF($F317="Maior Melhor",IF(U317&gt;=T317,"Sim","Não"),IF(U317&lt;=T317,"Sim","Não")))</f>
        <v>Não</v>
      </c>
      <c r="X317" s="13" t="n">
        <v>1613.12</v>
      </c>
      <c r="Y317" s="13" t="n">
        <v>1638.76</v>
      </c>
      <c r="Z317" s="4" t="n">
        <f aca="false">IF(OR(X317="",Y317=""),"",IFERROR(IF($K317="%",Y317-X317,Y317/X317-1),""))</f>
        <v>0.0158946637571911</v>
      </c>
      <c r="AA317" s="5" t="str">
        <f aca="false">IF(OR(X317="",Y317=""),"",IF($F317="Maior Melhor",IF(Y317&gt;=X317,"Sim","Não"),IF(Y317&lt;=X317,"Sim","Não")))</f>
        <v>Não</v>
      </c>
      <c r="AB317" s="13" t="n">
        <v>6501.47</v>
      </c>
      <c r="AC317" s="13" t="n">
        <v>8988.61</v>
      </c>
      <c r="AD317" s="4" t="n">
        <f aca="false">IF(OR(AB317="",AC317=""),"",IFERROR(IF($K317="%",AC317-AB317,AC317/AB317-1),""))</f>
        <v>0.382550407830844</v>
      </c>
      <c r="AE317" s="5" t="str">
        <f aca="false">IF(OR(AB317="",AC317=""),"",IF($F317="Maior Melhor",IF(AC317&gt;=AB317,"Sim","Não"),IF(AC317&lt;=AB317,"Sim","Não")))</f>
        <v>Não</v>
      </c>
      <c r="AF317" s="13" t="n">
        <v>1936.12</v>
      </c>
      <c r="AG317" s="13" t="n">
        <v>1351.89</v>
      </c>
      <c r="AH317" s="4" t="n">
        <f aca="false">IF(OR(AF317="",AG317=""),"",IFERROR(IF($K317="%",AG317-AF317,AG317/AF317-1),""))</f>
        <v>-0.301752990517117</v>
      </c>
      <c r="AI317" s="5" t="str">
        <f aca="false">IF(OR(AF317="",AG317=""),"",IF($F317="Maior Melhor",IF(AG317&gt;=AF317,"Sim","Não"),IF(AG317&lt;=AF317,"Sim","Não")))</f>
        <v>Sim</v>
      </c>
      <c r="AJ317" s="13" t="n">
        <v>8437.58</v>
      </c>
      <c r="AK317" s="13" t="n">
        <v>10324.08</v>
      </c>
      <c r="AL317" s="4" t="n">
        <f aca="false">IF(OR(AJ317="",AK317=""),"",IFERROR(IF($K317="%",AK317-AJ317,AK317/AJ317-1),""))</f>
        <v>0.223583065286492</v>
      </c>
      <c r="AM317" s="5" t="str">
        <f aca="false">IF(OR(AJ317="",AK317=""),"",IF($F317="Maior Melhor",IF(AK317&gt;=AJ317,"Sim","Não"),IF(AK317&lt;=AJ317,"Sim","Não")))</f>
        <v>Não</v>
      </c>
      <c r="AN317" s="13" t="n">
        <v>2049.16</v>
      </c>
      <c r="AO317" s="13" t="n">
        <v>1269.06</v>
      </c>
      <c r="AP317" s="4" t="n">
        <f aca="false">IF(OR(AN317="",AO317=""),"",IFERROR(IF($K317="%",AO317-AN317,AO317/AN317-1),""))</f>
        <v>-0.380692576470359</v>
      </c>
      <c r="AQ317" s="5" t="str">
        <f aca="false">IF(OR(AN317="",AO317=""),"",IF($F317="Maior Melhor",IF(AO317&gt;=AN317,"Sim","Não"),IF(AO317&lt;=AN317,"Sim","Não")))</f>
        <v>Sim</v>
      </c>
      <c r="AR317" s="13" t="n">
        <v>10486.74</v>
      </c>
      <c r="AS317" s="13" t="n">
        <v>11632.4</v>
      </c>
      <c r="AT317" s="4" t="n">
        <f aca="false">IF(OR(AR317="",AS317=""),"",IFERROR(IF($K317="%",AS317-AR317,AS317/AR317-1),""))</f>
        <v>0.109248441365</v>
      </c>
      <c r="AU317" s="5" t="str">
        <f aca="false">IF(OR(AR317="",AS317=""),"",IF($F317="Maior Melhor",IF(AS317&gt;=AR317,"Sim","Não"),IF(AS317&lt;=AR317,"Sim","Não")))</f>
        <v>Não</v>
      </c>
      <c r="AV317" s="13" t="n">
        <v>1530.11</v>
      </c>
      <c r="AW317" s="13" t="n">
        <v>1076.8</v>
      </c>
      <c r="AX317" s="4" t="n">
        <f aca="false">IF(OR(AV317="",AW317=""),"",IFERROR(IF($K317="%",AW317-AV317,AW317/AV317-1),""))</f>
        <v>-0.296259746031331</v>
      </c>
      <c r="AY317" s="5" t="str">
        <f aca="false">IF(OR(AV317="",AW317=""),"",IF($F317="Maior Melhor",IF(AW317&gt;=AV317,"Sim","Não"),IF(AW317&lt;=AV317,"Sim","Não")))</f>
        <v>Sim</v>
      </c>
      <c r="AZ317" s="13" t="n">
        <v>12016.85</v>
      </c>
      <c r="BA317" s="13" t="n">
        <v>12709.2</v>
      </c>
      <c r="BB317" s="4" t="n">
        <f aca="false">IF(OR(AZ317="",BA317=""),"",IFERROR(IF($K317="%",BA317-AZ317,BA317/AZ317-1),""))</f>
        <v>0.0576149323658031</v>
      </c>
      <c r="BC317" s="5" t="str">
        <f aca="false">IF(OR(AZ317="",BA317=""),"",IF($F317="Maior Melhor",IF(BA317&gt;=AZ317,"Sim","Não"),IF(BA317&lt;=AZ317,"Sim","Não")))</f>
        <v>Não</v>
      </c>
      <c r="BD317" s="13" t="n">
        <v>1418.11</v>
      </c>
      <c r="BE317" s="13" t="n">
        <v>1029.96</v>
      </c>
      <c r="BF317" s="4" t="n">
        <f aca="false">IF(OR(BD317="",BE317=""),"",IFERROR(IF($K317="%",BE317-BD317,BE317/BD317-1),""))</f>
        <v>-0.273709373743927</v>
      </c>
      <c r="BG317" s="5" t="str">
        <f aca="false">IF(OR(BD317="",BE317=""),"",IF($F317="Maior Melhor",IF(BE317&gt;=BD317,"Sim","Não"),IF(BE317&lt;=BD317,"Sim","Não")))</f>
        <v>Sim</v>
      </c>
      <c r="BH317" s="13" t="n">
        <v>13434.96</v>
      </c>
      <c r="BI317" s="13" t="n">
        <v>13739.16</v>
      </c>
      <c r="BJ317" s="4" t="n">
        <f aca="false">IF(OR(BH317="",BI317=""),"",IFERROR(IF($K317="%",BI317-BH317,BI317/BH317-1),""))</f>
        <v>0.0226424194787331</v>
      </c>
      <c r="BK317" s="5" t="str">
        <f aca="false">IF(OR(BH317="",BI317=""),"",IF($F317="Maior Melhor",IF(BI317&gt;=BH317,"Sim","Não"),IF(BI317&lt;=BH317,"Sim","Não")))</f>
        <v>Não</v>
      </c>
      <c r="BL317" s="14"/>
      <c r="BM317" s="14"/>
      <c r="BN317" s="4" t="str">
        <f aca="false">IF(OR(BL317="",BM317=""),"",IFERROR(IF($K317="%",BM317-BL317,BM317/BL317-1),""))</f>
        <v/>
      </c>
      <c r="BO317" s="5" t="str">
        <f aca="false">IF(OR(BL317="",BM317=""),"",IF($F317="Maior Melhor",IF(BM317&gt;=BL317,"Sim","Não"),IF(BM317&lt;=BL317,"Sim","Não")))</f>
        <v/>
      </c>
      <c r="BP317" s="14"/>
      <c r="BQ317" s="14"/>
      <c r="BR317" s="4" t="str">
        <f aca="false">IF(OR(BP317="",BQ317=""),"",IFERROR(IF($K317="%",BQ317-BP317,BQ317/BP317-1),""))</f>
        <v/>
      </c>
      <c r="BS317" s="5" t="str">
        <f aca="false">IF(OR(BP317="",BQ317=""),"",IF($F317="Maior Melhor",IF(BQ317&gt;=BP317,"Sim","Não"),IF(BQ317&lt;=BP317,"Sim","Não")))</f>
        <v/>
      </c>
      <c r="BT317" s="14"/>
      <c r="BU317" s="14"/>
      <c r="BV317" s="4" t="str">
        <f aca="false">IF(OR(BT317="",BU317=""),"",IFERROR(IF($K317="%",BU317-BT317,BU317/BT317-1),""))</f>
        <v/>
      </c>
      <c r="BW317" s="5" t="str">
        <f aca="false">IF(OR(BT317="",BU317=""),"",IF($F317="Maior Melhor",IF(BU317&gt;=BT317,"Sim","Não"),IF(BU317&lt;=BT317,"Sim","Não")))</f>
        <v/>
      </c>
      <c r="BX317" s="14"/>
      <c r="BY317" s="14"/>
      <c r="BZ317" s="4" t="str">
        <f aca="false">IF(OR(BX317="",BY317=""),"",IFERROR(IF($K317="%",BY317-BX317,BY317/BX317-1),""))</f>
        <v/>
      </c>
      <c r="CA317" s="5" t="str">
        <f aca="false">IF(OR(BX317="",BY317=""),"",IF($F317="Maior Melhor",IF(BY317&gt;=BX317,"Sim","Não"),IF(BY317&lt;=BX317,"Sim","Não")))</f>
        <v/>
      </c>
      <c r="CB317" s="14"/>
      <c r="CC317" s="14"/>
      <c r="CD317" s="4" t="str">
        <f aca="false">IF(OR(CB317="",CC317=""),"",IFERROR(IF($K317="%",CC317-CB317,CC317/CB317-1),""))</f>
        <v/>
      </c>
      <c r="CE317" s="5" t="str">
        <f aca="false">IF(OR(CB317="",CC317=""),"",IF($F317="Maior Melhor",IF(CC317&gt;=CB317,"Sim","Não"),IF(CC317&lt;=CB317,"Sim","Não")))</f>
        <v/>
      </c>
      <c r="CF317" s="14"/>
      <c r="CG317" s="14"/>
      <c r="CH317" s="4" t="str">
        <f aca="false">IF(OR(CF317="",CG317=""),"",IFERROR(IF($K317="%",CG317-CF317,CG317/CF317-1),""))</f>
        <v/>
      </c>
      <c r="CI317" s="5" t="str">
        <f aca="false">IF(OR(CF317="",CG317=""),"",IF($F317="Maior Melhor",IF(CG317&gt;=CF317,"Sim","Não"),IF(CG317&lt;=CF317,"Sim","Não")))</f>
        <v/>
      </c>
      <c r="CJ317" s="14"/>
      <c r="CK317" s="14"/>
      <c r="CL317" s="4" t="str">
        <f aca="false">IF(OR(CJ317="",CK317=""),"",IFERROR(IF($K317="%",CK317-CJ317,CK317/CJ317-1),""))</f>
        <v/>
      </c>
      <c r="CM317" s="5" t="str">
        <f aca="false">IF(OR(CJ317="",CK317=""),"",IF($F317="Maior Melhor",IF(CK317&gt;=CJ317,"Sim","Não"),IF(CK317&lt;=CJ317,"Sim","Não")))</f>
        <v/>
      </c>
      <c r="CN317" s="14"/>
      <c r="CO317" s="14"/>
      <c r="CP317" s="4" t="str">
        <f aca="false">IF(OR(CN317="",CO317=""),"",IFERROR(IF($K317="%",CO317-CN317,CO317/CN317-1),""))</f>
        <v/>
      </c>
      <c r="CQ317" s="5" t="str">
        <f aca="false">IF(OR(CN317="",CO317=""),"",IF($F317="Maior Melhor",IF(CO317&gt;=CN317,"Sim","Não"),IF(CO317&lt;=CN317,"Sim","Não")))</f>
        <v/>
      </c>
      <c r="CR317" s="2" t="s">
        <v>105</v>
      </c>
    </row>
    <row r="318" customFormat="false" ht="15" hidden="false" customHeight="false" outlineLevel="0" collapsed="false">
      <c r="A318" s="2" t="s">
        <v>151</v>
      </c>
      <c r="B318" s="2" t="s">
        <v>97</v>
      </c>
      <c r="C318" s="2" t="s">
        <v>122</v>
      </c>
      <c r="D318" s="2" t="s">
        <v>196</v>
      </c>
      <c r="E318" s="2" t="str">
        <f aca="false">C318&amp;D318</f>
        <v>UTD ITABERABAQuantidade Física de Horas Extras</v>
      </c>
      <c r="F318" s="2" t="s">
        <v>167</v>
      </c>
      <c r="G318" s="2" t="s">
        <v>197</v>
      </c>
      <c r="H318" s="2" t="s">
        <v>102</v>
      </c>
      <c r="I318" s="2" t="s">
        <v>169</v>
      </c>
      <c r="J318" s="2" t="n">
        <v>2</v>
      </c>
      <c r="K318" s="2" t="s">
        <v>198</v>
      </c>
      <c r="L318" s="13" t="n">
        <v>1490.25</v>
      </c>
      <c r="M318" s="13" t="n">
        <v>1694.91</v>
      </c>
      <c r="N318" s="4" t="n">
        <f aca="false">IF(OR(L318="",M318=""),"",IFERROR(IF($K318="%",M318-L318,M318/L318-1),""))</f>
        <v>0.137332662304982</v>
      </c>
      <c r="O318" s="5" t="str">
        <f aca="false">IF(OR(L318="",M318=""),"",IF($F318="Maior Melhor",IF(M318&gt;=L318,"Sim","Não"),IF(M318&lt;=L318,"Sim","Não")))</f>
        <v>Não</v>
      </c>
      <c r="P318" s="13" t="n">
        <v>1056.14</v>
      </c>
      <c r="Q318" s="13" t="n">
        <v>2190.47</v>
      </c>
      <c r="R318" s="4" t="n">
        <f aca="false">IF(OR(P318="",Q318=""),"",IFERROR(IF($K318="%",Q318-P318,Q318/P318-1),""))</f>
        <v>1.07403374552616</v>
      </c>
      <c r="S318" s="5" t="str">
        <f aca="false">IF(OR(P318="",Q318=""),"",IF($F318="Maior Melhor",IF(Q318&gt;=P318,"Sim","Não"),IF(Q318&lt;=P318,"Sim","Não")))</f>
        <v>Não</v>
      </c>
      <c r="T318" s="13" t="n">
        <v>863.14</v>
      </c>
      <c r="U318" s="13" t="n">
        <v>1816.84</v>
      </c>
      <c r="V318" s="4" t="n">
        <f aca="false">IF(OR(T318="",U318=""),"",IFERROR(IF($K318="%",U318-T318,U318/T318-1),""))</f>
        <v>1.10491924832588</v>
      </c>
      <c r="W318" s="5" t="str">
        <f aca="false">IF(OR(T318="",U318=""),"",IF($F318="Maior Melhor",IF(U318&gt;=T318,"Sim","Não"),IF(U318&lt;=T318,"Sim","Não")))</f>
        <v>Não</v>
      </c>
      <c r="X318" s="13" t="n">
        <v>1125.18</v>
      </c>
      <c r="Y318" s="13" t="n">
        <v>1121.03</v>
      </c>
      <c r="Z318" s="4" t="n">
        <f aca="false">IF(OR(X318="",Y318=""),"",IFERROR(IF($K318="%",Y318-X318,Y318/X318-1),""))</f>
        <v>-0.00368829876108723</v>
      </c>
      <c r="AA318" s="5" t="str">
        <f aca="false">IF(OR(X318="",Y318=""),"",IF($F318="Maior Melhor",IF(Y318&gt;=X318,"Sim","Não"),IF(Y318&lt;=X318,"Sim","Não")))</f>
        <v>Sim</v>
      </c>
      <c r="AB318" s="13" t="n">
        <v>4534.7</v>
      </c>
      <c r="AC318" s="13" t="n">
        <v>6823.25</v>
      </c>
      <c r="AD318" s="4" t="n">
        <f aca="false">IF(OR(AB318="",AC318=""),"",IFERROR(IF($K318="%",AC318-AB318,AC318/AB318-1),""))</f>
        <v>0.504675061194787</v>
      </c>
      <c r="AE318" s="5" t="str">
        <f aca="false">IF(OR(AB318="",AC318=""),"",IF($F318="Maior Melhor",IF(AC318&gt;=AB318,"Sim","Não"),IF(AC318&lt;=AB318,"Sim","Não")))</f>
        <v>Não</v>
      </c>
      <c r="AF318" s="13" t="n">
        <v>1350.18</v>
      </c>
      <c r="AG318" s="13" t="n">
        <v>832.28</v>
      </c>
      <c r="AH318" s="4" t="n">
        <f aca="false">IF(OR(AF318="",AG318=""),"",IFERROR(IF($K318="%",AG318-AF318,AG318/AF318-1),""))</f>
        <v>-0.383578485831519</v>
      </c>
      <c r="AI318" s="5" t="str">
        <f aca="false">IF(OR(AF318="",AG318=""),"",IF($F318="Maior Melhor",IF(AG318&gt;=AF318,"Sim","Não"),IF(AG318&lt;=AF318,"Sim","Não")))</f>
        <v>Sim</v>
      </c>
      <c r="AJ318" s="13" t="n">
        <v>5884.88</v>
      </c>
      <c r="AK318" s="13" t="n">
        <v>7648.5</v>
      </c>
      <c r="AL318" s="4" t="n">
        <f aca="false">IF(OR(AJ318="",AK318=""),"",IFERROR(IF($K318="%",AK318-AJ318,AK318/AJ318-1),""))</f>
        <v>0.299686654613178</v>
      </c>
      <c r="AM318" s="5" t="str">
        <f aca="false">IF(OR(AJ318="",AK318=""),"",IF($F318="Maior Melhor",IF(AK318&gt;=AJ318,"Sim","Não"),IF(AK318&lt;=AJ318,"Sim","Não")))</f>
        <v>Não</v>
      </c>
      <c r="AN318" s="13" t="n">
        <v>1429.23</v>
      </c>
      <c r="AO318" s="13" t="n">
        <v>800.64</v>
      </c>
      <c r="AP318" s="4" t="n">
        <f aca="false">IF(OR(AN318="",AO318=""),"",IFERROR(IF($K318="%",AO318-AN318,AO318/AN318-1),""))</f>
        <v>-0.439810247475914</v>
      </c>
      <c r="AQ318" s="5" t="str">
        <f aca="false">IF(OR(AN318="",AO318=""),"",IF($F318="Maior Melhor",IF(AO318&gt;=AN318,"Sim","Não"),IF(AO318&lt;=AN318,"Sim","Não")))</f>
        <v>Sim</v>
      </c>
      <c r="AR318" s="13" t="n">
        <v>7314.11</v>
      </c>
      <c r="AS318" s="13" t="n">
        <v>8427.08</v>
      </c>
      <c r="AT318" s="4" t="n">
        <f aca="false">IF(OR(AR318="",AS318=""),"",IFERROR(IF($K318="%",AS318-AR318,AS318/AR318-1),""))</f>
        <v>0.152167522774473</v>
      </c>
      <c r="AU318" s="5" t="str">
        <f aca="false">IF(OR(AR318="",AS318=""),"",IF($F318="Maior Melhor",IF(AS318&gt;=AR318,"Sim","Não"),IF(AS318&lt;=AR318,"Sim","Não")))</f>
        <v>Não</v>
      </c>
      <c r="AV318" s="13" t="n">
        <v>1067.16</v>
      </c>
      <c r="AW318" s="13" t="n">
        <v>538.58</v>
      </c>
      <c r="AX318" s="4" t="n">
        <f aca="false">IF(OR(AV318="",AW318=""),"",IFERROR(IF($K318="%",AW318-AV318,AW318/AV318-1),""))</f>
        <v>-0.495314666966528</v>
      </c>
      <c r="AY318" s="5" t="str">
        <f aca="false">IF(OR(AV318="",AW318=""),"",IF($F318="Maior Melhor",IF(AW318&gt;=AV318,"Sim","Não"),IF(AW318&lt;=AV318,"Sim","Não")))</f>
        <v>Sim</v>
      </c>
      <c r="AZ318" s="13" t="n">
        <v>8381.27</v>
      </c>
      <c r="BA318" s="13" t="n">
        <v>8965.66</v>
      </c>
      <c r="BB318" s="4" t="n">
        <f aca="false">IF(OR(AZ318="",BA318=""),"",IFERROR(IF($K318="%",BA318-AZ318,BA318/AZ318-1),""))</f>
        <v>0.0697257098267923</v>
      </c>
      <c r="BC318" s="5" t="str">
        <f aca="false">IF(OR(AZ318="",BA318=""),"",IF($F318="Maior Melhor",IF(BA318&gt;=AZ318,"Sim","Não"),IF(BA318&lt;=AZ318,"Sim","Não")))</f>
        <v>Não</v>
      </c>
      <c r="BD318" s="13" t="n">
        <v>989.17</v>
      </c>
      <c r="BE318" s="13" t="n">
        <v>258.66</v>
      </c>
      <c r="BF318" s="4" t="n">
        <f aca="false">IF(OR(BD318="",BE318=""),"",IFERROR(IF($K318="%",BE318-BD318,BE318/BD318-1),""))</f>
        <v>-0.738508042095899</v>
      </c>
      <c r="BG318" s="5" t="str">
        <f aca="false">IF(OR(BD318="",BE318=""),"",IF($F318="Maior Melhor",IF(BE318&gt;=BD318,"Sim","Não"),IF(BE318&lt;=BD318,"Sim","Não")))</f>
        <v>Sim</v>
      </c>
      <c r="BH318" s="13" t="n">
        <v>9370.44</v>
      </c>
      <c r="BI318" s="13" t="n">
        <v>9224.39</v>
      </c>
      <c r="BJ318" s="4" t="n">
        <f aca="false">IF(OR(BH318="",BI318=""),"",IFERROR(IF($K318="%",BI318-BH318,BI318/BH318-1),""))</f>
        <v>-0.0155862478176053</v>
      </c>
      <c r="BK318" s="5" t="str">
        <f aca="false">IF(OR(BH318="",BI318=""),"",IF($F318="Maior Melhor",IF(BI318&gt;=BH318,"Sim","Não"),IF(BI318&lt;=BH318,"Sim","Não")))</f>
        <v>Sim</v>
      </c>
      <c r="BL318" s="14"/>
      <c r="BM318" s="14"/>
      <c r="BN318" s="4" t="str">
        <f aca="false">IF(OR(BL318="",BM318=""),"",IFERROR(IF($K318="%",BM318-BL318,BM318/BL318-1),""))</f>
        <v/>
      </c>
      <c r="BO318" s="5" t="str">
        <f aca="false">IF(OR(BL318="",BM318=""),"",IF($F318="Maior Melhor",IF(BM318&gt;=BL318,"Sim","Não"),IF(BM318&lt;=BL318,"Sim","Não")))</f>
        <v/>
      </c>
      <c r="BP318" s="14"/>
      <c r="BQ318" s="14"/>
      <c r="BR318" s="4" t="str">
        <f aca="false">IF(OR(BP318="",BQ318=""),"",IFERROR(IF($K318="%",BQ318-BP318,BQ318/BP318-1),""))</f>
        <v/>
      </c>
      <c r="BS318" s="5" t="str">
        <f aca="false">IF(OR(BP318="",BQ318=""),"",IF($F318="Maior Melhor",IF(BQ318&gt;=BP318,"Sim","Não"),IF(BQ318&lt;=BP318,"Sim","Não")))</f>
        <v/>
      </c>
      <c r="BT318" s="14"/>
      <c r="BU318" s="14"/>
      <c r="BV318" s="4" t="str">
        <f aca="false">IF(OR(BT318="",BU318=""),"",IFERROR(IF($K318="%",BU318-BT318,BU318/BT318-1),""))</f>
        <v/>
      </c>
      <c r="BW318" s="5" t="str">
        <f aca="false">IF(OR(BT318="",BU318=""),"",IF($F318="Maior Melhor",IF(BU318&gt;=BT318,"Sim","Não"),IF(BU318&lt;=BT318,"Sim","Não")))</f>
        <v/>
      </c>
      <c r="BX318" s="14"/>
      <c r="BY318" s="14"/>
      <c r="BZ318" s="4" t="str">
        <f aca="false">IF(OR(BX318="",BY318=""),"",IFERROR(IF($K318="%",BY318-BX318,BY318/BX318-1),""))</f>
        <v/>
      </c>
      <c r="CA318" s="5" t="str">
        <f aca="false">IF(OR(BX318="",BY318=""),"",IF($F318="Maior Melhor",IF(BY318&gt;=BX318,"Sim","Não"),IF(BY318&lt;=BX318,"Sim","Não")))</f>
        <v/>
      </c>
      <c r="CB318" s="14"/>
      <c r="CC318" s="14"/>
      <c r="CD318" s="4" t="str">
        <f aca="false">IF(OR(CB318="",CC318=""),"",IFERROR(IF($K318="%",CC318-CB318,CC318/CB318-1),""))</f>
        <v/>
      </c>
      <c r="CE318" s="5" t="str">
        <f aca="false">IF(OR(CB318="",CC318=""),"",IF($F318="Maior Melhor",IF(CC318&gt;=CB318,"Sim","Não"),IF(CC318&lt;=CB318,"Sim","Não")))</f>
        <v/>
      </c>
      <c r="CF318" s="14"/>
      <c r="CG318" s="14"/>
      <c r="CH318" s="4" t="str">
        <f aca="false">IF(OR(CF318="",CG318=""),"",IFERROR(IF($K318="%",CG318-CF318,CG318/CF318-1),""))</f>
        <v/>
      </c>
      <c r="CI318" s="5" t="str">
        <f aca="false">IF(OR(CF318="",CG318=""),"",IF($F318="Maior Melhor",IF(CG318&gt;=CF318,"Sim","Não"),IF(CG318&lt;=CF318,"Sim","Não")))</f>
        <v/>
      </c>
      <c r="CJ318" s="14"/>
      <c r="CK318" s="14"/>
      <c r="CL318" s="4" t="str">
        <f aca="false">IF(OR(CJ318="",CK318=""),"",IFERROR(IF($K318="%",CK318-CJ318,CK318/CJ318-1),""))</f>
        <v/>
      </c>
      <c r="CM318" s="5" t="str">
        <f aca="false">IF(OR(CJ318="",CK318=""),"",IF($F318="Maior Melhor",IF(CK318&gt;=CJ318,"Sim","Não"),IF(CK318&lt;=CJ318,"Sim","Não")))</f>
        <v/>
      </c>
      <c r="CN318" s="14"/>
      <c r="CO318" s="14"/>
      <c r="CP318" s="4" t="str">
        <f aca="false">IF(OR(CN318="",CO318=""),"",IFERROR(IF($K318="%",CO318-CN318,CO318/CN318-1),""))</f>
        <v/>
      </c>
      <c r="CQ318" s="5" t="str">
        <f aca="false">IF(OR(CN318="",CO318=""),"",IF($F318="Maior Melhor",IF(CO318&gt;=CN318,"Sim","Não"),IF(CO318&lt;=CN318,"Sim","Não")))</f>
        <v/>
      </c>
      <c r="CR318" s="2" t="s">
        <v>164</v>
      </c>
    </row>
    <row r="319" customFormat="false" ht="15" hidden="false" customHeight="false" outlineLevel="0" collapsed="false">
      <c r="A319" s="2" t="s">
        <v>151</v>
      </c>
      <c r="B319" s="2" t="s">
        <v>108</v>
      </c>
      <c r="C319" s="2" t="s">
        <v>124</v>
      </c>
      <c r="D319" s="2" t="s">
        <v>196</v>
      </c>
      <c r="E319" s="2" t="str">
        <f aca="false">C319&amp;D319</f>
        <v>UTD ITAPETINGAQuantidade Física de Horas Extras</v>
      </c>
      <c r="F319" s="2" t="s">
        <v>167</v>
      </c>
      <c r="G319" s="2" t="s">
        <v>197</v>
      </c>
      <c r="H319" s="2" t="s">
        <v>102</v>
      </c>
      <c r="I319" s="2" t="s">
        <v>169</v>
      </c>
      <c r="J319" s="2" t="n">
        <v>2</v>
      </c>
      <c r="K319" s="2" t="s">
        <v>198</v>
      </c>
      <c r="L319" s="13" t="n">
        <v>1102.16</v>
      </c>
      <c r="M319" s="13" t="n">
        <v>1189.88</v>
      </c>
      <c r="N319" s="4" t="n">
        <f aca="false">IF(OR(L319="",M319=""),"",IFERROR(IF($K319="%",M319-L319,M319/L319-1),""))</f>
        <v>0.0795891703563911</v>
      </c>
      <c r="O319" s="5" t="str">
        <f aca="false">IF(OR(L319="",M319=""),"",IF($F319="Maior Melhor",IF(M319&gt;=L319,"Sim","Não"),IF(M319&lt;=L319,"Sim","Não")))</f>
        <v>Não</v>
      </c>
      <c r="P319" s="13" t="n">
        <v>781.09</v>
      </c>
      <c r="Q319" s="13" t="n">
        <v>1267.34</v>
      </c>
      <c r="R319" s="4" t="n">
        <f aca="false">IF(OR(P319="",Q319=""),"",IFERROR(IF($K319="%",Q319-P319,Q319/P319-1),""))</f>
        <v>0.622527493630696</v>
      </c>
      <c r="S319" s="5" t="str">
        <f aca="false">IF(OR(P319="",Q319=""),"",IF($F319="Maior Melhor",IF(Q319&gt;=P319,"Sim","Não"),IF(Q319&lt;=P319,"Sim","Não")))</f>
        <v>Não</v>
      </c>
      <c r="T319" s="13" t="n">
        <v>639.09</v>
      </c>
      <c r="U319" s="13" t="n">
        <v>1505.59</v>
      </c>
      <c r="V319" s="4" t="n">
        <f aca="false">IF(OR(T319="",U319=""),"",IFERROR(IF($K319="%",U319-T319,U319/T319-1),""))</f>
        <v>1.35583407657763</v>
      </c>
      <c r="W319" s="5" t="str">
        <f aca="false">IF(OR(T319="",U319=""),"",IF($F319="Maior Melhor",IF(U319&gt;=T319,"Sim","Não"),IF(U319&lt;=T319,"Sim","Não")))</f>
        <v>Não</v>
      </c>
      <c r="X319" s="13" t="n">
        <v>832.12</v>
      </c>
      <c r="Y319" s="13" t="n">
        <v>1429.9</v>
      </c>
      <c r="Z319" s="4" t="n">
        <f aca="false">IF(OR(X319="",Y319=""),"",IFERROR(IF($K319="%",Y319-X319,Y319/X319-1),""))</f>
        <v>0.718381964139788</v>
      </c>
      <c r="AA319" s="5" t="str">
        <f aca="false">IF(OR(X319="",Y319=""),"",IF($F319="Maior Melhor",IF(Y319&gt;=X319,"Sim","Não"),IF(Y319&lt;=X319,"Sim","Não")))</f>
        <v>Não</v>
      </c>
      <c r="AB319" s="13" t="n">
        <v>3354.47</v>
      </c>
      <c r="AC319" s="13" t="n">
        <v>5392.71</v>
      </c>
      <c r="AD319" s="4" t="n">
        <f aca="false">IF(OR(AB319="",AC319=""),"",IFERROR(IF($K319="%",AC319-AB319,AC319/AB319-1),""))</f>
        <v>0.607619087367006</v>
      </c>
      <c r="AE319" s="5" t="str">
        <f aca="false">IF(OR(AB319="",AC319=""),"",IF($F319="Maior Melhor",IF(AC319&gt;=AB319,"Sim","Não"),IF(AC319&lt;=AB319,"Sim","Não")))</f>
        <v>Não</v>
      </c>
      <c r="AF319" s="13" t="n">
        <v>999.12</v>
      </c>
      <c r="AG319" s="13" t="n">
        <v>975.45</v>
      </c>
      <c r="AH319" s="4" t="n">
        <f aca="false">IF(OR(AF319="",AG319=""),"",IFERROR(IF($K319="%",AG319-AF319,AG319/AF319-1),""))</f>
        <v>-0.0236908479461926</v>
      </c>
      <c r="AI319" s="5" t="str">
        <f aca="false">IF(OR(AF319="",AG319=""),"",IF($F319="Maior Melhor",IF(AG319&gt;=AF319,"Sim","Não"),IF(AG319&lt;=AF319,"Sim","Não")))</f>
        <v>Sim</v>
      </c>
      <c r="AJ319" s="13" t="n">
        <v>4353.58</v>
      </c>
      <c r="AK319" s="13" t="n">
        <v>6368.16</v>
      </c>
      <c r="AL319" s="4" t="n">
        <f aca="false">IF(OR(AJ319="",AK319=""),"",IFERROR(IF($K319="%",AK319-AJ319,AK319/AJ319-1),""))</f>
        <v>0.462741008549286</v>
      </c>
      <c r="AM319" s="5" t="str">
        <f aca="false">IF(OR(AJ319="",AK319=""),"",IF($F319="Maior Melhor",IF(AK319&gt;=AJ319,"Sim","Não"),IF(AK319&lt;=AJ319,"Sim","Não")))</f>
        <v>Não</v>
      </c>
      <c r="AN319" s="13" t="n">
        <v>1057.16</v>
      </c>
      <c r="AO319" s="13" t="n">
        <v>738.3</v>
      </c>
      <c r="AP319" s="4" t="n">
        <f aca="false">IF(OR(AN319="",AO319=""),"",IFERROR(IF($K319="%",AO319-AN319,AO319/AN319-1),""))</f>
        <v>-0.301619433198381</v>
      </c>
      <c r="AQ319" s="5" t="str">
        <f aca="false">IF(OR(AN319="",AO319=""),"",IF($F319="Maior Melhor",IF(AO319&gt;=AN319,"Sim","Não"),IF(AO319&lt;=AN319,"Sim","Não")))</f>
        <v>Sim</v>
      </c>
      <c r="AR319" s="13" t="n">
        <v>5410.74</v>
      </c>
      <c r="AS319" s="13" t="n">
        <v>7120.46</v>
      </c>
      <c r="AT319" s="4" t="n">
        <f aca="false">IF(OR(AR319="",AS319=""),"",IFERROR(IF($K319="%",AS319-AR319,AS319/AR319-1),""))</f>
        <v>0.315986353068157</v>
      </c>
      <c r="AU319" s="5" t="str">
        <f aca="false">IF(OR(AR319="",AS319=""),"",IF($F319="Maior Melhor",IF(AS319&gt;=AR319,"Sim","Não"),IF(AS319&lt;=AR319,"Sim","Não")))</f>
        <v>Não</v>
      </c>
      <c r="AV319" s="13" t="n">
        <v>789.11</v>
      </c>
      <c r="AW319" s="13" t="n">
        <v>611.26</v>
      </c>
      <c r="AX319" s="4" t="n">
        <f aca="false">IF(OR(AV319="",AW319=""),"",IFERROR(IF($K319="%",AW319-AV319,AW319/AV319-1),""))</f>
        <v>-0.225380491946623</v>
      </c>
      <c r="AY319" s="5" t="str">
        <f aca="false">IF(OR(AV319="",AW319=""),"",IF($F319="Maior Melhor",IF(AW319&gt;=AV319,"Sim","Não"),IF(AW319&lt;=AV319,"Sim","Não")))</f>
        <v>Sim</v>
      </c>
      <c r="AZ319" s="13" t="n">
        <v>6199.85</v>
      </c>
      <c r="BA319" s="13" t="n">
        <v>7731.72</v>
      </c>
      <c r="BB319" s="4" t="n">
        <f aca="false">IF(OR(AZ319="",BA319=""),"",IFERROR(IF($K319="%",BA319-AZ319,BA319/AZ319-1),""))</f>
        <v>0.247081784236715</v>
      </c>
      <c r="BC319" s="5" t="str">
        <f aca="false">IF(OR(AZ319="",BA319=""),"",IF($F319="Maior Melhor",IF(BA319&gt;=AZ319,"Sim","Não"),IF(BA319&lt;=AZ319,"Sim","Não")))</f>
        <v>Não</v>
      </c>
      <c r="BD319" s="13" t="n">
        <v>731.11</v>
      </c>
      <c r="BE319" s="13" t="n">
        <v>375.88</v>
      </c>
      <c r="BF319" s="4" t="n">
        <f aca="false">IF(OR(BD319="",BE319=""),"",IFERROR(IF($K319="%",BE319-BD319,BE319/BD319-1),""))</f>
        <v>-0.485877638111912</v>
      </c>
      <c r="BG319" s="5" t="str">
        <f aca="false">IF(OR(BD319="",BE319=""),"",IF($F319="Maior Melhor",IF(BE319&gt;=BD319,"Sim","Não"),IF(BE319&lt;=BD319,"Sim","Não")))</f>
        <v>Sim</v>
      </c>
      <c r="BH319" s="13" t="n">
        <v>6930.96</v>
      </c>
      <c r="BI319" s="13" t="n">
        <v>8107.6</v>
      </c>
      <c r="BJ319" s="4" t="n">
        <f aca="false">IF(OR(BH319="",BI319=""),"",IFERROR(IF($K319="%",BI319-BH319,BI319/BH319-1),""))</f>
        <v>0.169765804448446</v>
      </c>
      <c r="BK319" s="5" t="str">
        <f aca="false">IF(OR(BH319="",BI319=""),"",IF($F319="Maior Melhor",IF(BI319&gt;=BH319,"Sim","Não"),IF(BI319&lt;=BH319,"Sim","Não")))</f>
        <v>Não</v>
      </c>
      <c r="BL319" s="14"/>
      <c r="BM319" s="14"/>
      <c r="BN319" s="4" t="str">
        <f aca="false">IF(OR(BL319="",BM319=""),"",IFERROR(IF($K319="%",BM319-BL319,BM319/BL319-1),""))</f>
        <v/>
      </c>
      <c r="BO319" s="5" t="str">
        <f aca="false">IF(OR(BL319="",BM319=""),"",IF($F319="Maior Melhor",IF(BM319&gt;=BL319,"Sim","Não"),IF(BM319&lt;=BL319,"Sim","Não")))</f>
        <v/>
      </c>
      <c r="BP319" s="14"/>
      <c r="BQ319" s="14"/>
      <c r="BR319" s="4" t="str">
        <f aca="false">IF(OR(BP319="",BQ319=""),"",IFERROR(IF($K319="%",BQ319-BP319,BQ319/BP319-1),""))</f>
        <v/>
      </c>
      <c r="BS319" s="5" t="str">
        <f aca="false">IF(OR(BP319="",BQ319=""),"",IF($F319="Maior Melhor",IF(BQ319&gt;=BP319,"Sim","Não"),IF(BQ319&lt;=BP319,"Sim","Não")))</f>
        <v/>
      </c>
      <c r="BT319" s="14"/>
      <c r="BU319" s="14"/>
      <c r="BV319" s="4" t="str">
        <f aca="false">IF(OR(BT319="",BU319=""),"",IFERROR(IF($K319="%",BU319-BT319,BU319/BT319-1),""))</f>
        <v/>
      </c>
      <c r="BW319" s="5" t="str">
        <f aca="false">IF(OR(BT319="",BU319=""),"",IF($F319="Maior Melhor",IF(BU319&gt;=BT319,"Sim","Não"),IF(BU319&lt;=BT319,"Sim","Não")))</f>
        <v/>
      </c>
      <c r="BX319" s="14"/>
      <c r="BY319" s="14"/>
      <c r="BZ319" s="4" t="str">
        <f aca="false">IF(OR(BX319="",BY319=""),"",IFERROR(IF($K319="%",BY319-BX319,BY319/BX319-1),""))</f>
        <v/>
      </c>
      <c r="CA319" s="5" t="str">
        <f aca="false">IF(OR(BX319="",BY319=""),"",IF($F319="Maior Melhor",IF(BY319&gt;=BX319,"Sim","Não"),IF(BY319&lt;=BX319,"Sim","Não")))</f>
        <v/>
      </c>
      <c r="CB319" s="14"/>
      <c r="CC319" s="14"/>
      <c r="CD319" s="4" t="str">
        <f aca="false">IF(OR(CB319="",CC319=""),"",IFERROR(IF($K319="%",CC319-CB319,CC319/CB319-1),""))</f>
        <v/>
      </c>
      <c r="CE319" s="5" t="str">
        <f aca="false">IF(OR(CB319="",CC319=""),"",IF($F319="Maior Melhor",IF(CC319&gt;=CB319,"Sim","Não"),IF(CC319&lt;=CB319,"Sim","Não")))</f>
        <v/>
      </c>
      <c r="CF319" s="14"/>
      <c r="CG319" s="14"/>
      <c r="CH319" s="4" t="str">
        <f aca="false">IF(OR(CF319="",CG319=""),"",IFERROR(IF($K319="%",CG319-CF319,CG319/CF319-1),""))</f>
        <v/>
      </c>
      <c r="CI319" s="5" t="str">
        <f aca="false">IF(OR(CF319="",CG319=""),"",IF($F319="Maior Melhor",IF(CG319&gt;=CF319,"Sim","Não"),IF(CG319&lt;=CF319,"Sim","Não")))</f>
        <v/>
      </c>
      <c r="CJ319" s="14"/>
      <c r="CK319" s="14"/>
      <c r="CL319" s="4" t="str">
        <f aca="false">IF(OR(CJ319="",CK319=""),"",IFERROR(IF($K319="%",CK319-CJ319,CK319/CJ319-1),""))</f>
        <v/>
      </c>
      <c r="CM319" s="5" t="str">
        <f aca="false">IF(OR(CJ319="",CK319=""),"",IF($F319="Maior Melhor",IF(CK319&gt;=CJ319,"Sim","Não"),IF(CK319&lt;=CJ319,"Sim","Não")))</f>
        <v/>
      </c>
      <c r="CN319" s="14"/>
      <c r="CO319" s="14"/>
      <c r="CP319" s="4" t="str">
        <f aca="false">IF(OR(CN319="",CO319=""),"",IFERROR(IF($K319="%",CO319-CN319,CO319/CN319-1),""))</f>
        <v/>
      </c>
      <c r="CQ319" s="5" t="str">
        <f aca="false">IF(OR(CN319="",CO319=""),"",IF($F319="Maior Melhor",IF(CO319&gt;=CN319,"Sim","Não"),IF(CO319&lt;=CN319,"Sim","Não")))</f>
        <v/>
      </c>
      <c r="CR319" s="2" t="s">
        <v>105</v>
      </c>
    </row>
    <row r="320" customFormat="false" ht="15" hidden="false" customHeight="false" outlineLevel="0" collapsed="false">
      <c r="A320" s="2" t="s">
        <v>151</v>
      </c>
      <c r="B320" s="2" t="s">
        <v>97</v>
      </c>
      <c r="C320" s="2" t="s">
        <v>125</v>
      </c>
      <c r="D320" s="2" t="s">
        <v>196</v>
      </c>
      <c r="E320" s="2" t="str">
        <f aca="false">C320&amp;D320</f>
        <v>UTD JEQUIÉQuantidade Física de Horas Extras</v>
      </c>
      <c r="F320" s="2" t="s">
        <v>167</v>
      </c>
      <c r="G320" s="2" t="s">
        <v>197</v>
      </c>
      <c r="H320" s="2" t="s">
        <v>102</v>
      </c>
      <c r="I320" s="2" t="s">
        <v>169</v>
      </c>
      <c r="J320" s="2" t="n">
        <v>2</v>
      </c>
      <c r="K320" s="2" t="s">
        <v>198</v>
      </c>
      <c r="L320" s="13" t="n">
        <v>1714.16</v>
      </c>
      <c r="M320" s="13" t="n">
        <v>1759.69</v>
      </c>
      <c r="N320" s="4" t="n">
        <f aca="false">IF(OR(L320="",M320=""),"",IFERROR(IF($K320="%",M320-L320,M320/L320-1),""))</f>
        <v>0.0265611144817286</v>
      </c>
      <c r="O320" s="5" t="str">
        <f aca="false">IF(OR(L320="",M320=""),"",IF($F320="Maior Melhor",IF(M320&gt;=L320,"Sim","Não"),IF(M320&lt;=L320,"Sim","Não")))</f>
        <v>Não</v>
      </c>
      <c r="P320" s="13" t="n">
        <v>1215.09</v>
      </c>
      <c r="Q320" s="13" t="n">
        <v>1901.71</v>
      </c>
      <c r="R320" s="4" t="n">
        <f aca="false">IF(OR(P320="",Q320=""),"",IFERROR(IF($K320="%",Q320-P320,Q320/P320-1),""))</f>
        <v>0.565077483972381</v>
      </c>
      <c r="S320" s="5" t="str">
        <f aca="false">IF(OR(P320="",Q320=""),"",IF($F320="Maior Melhor",IF(Q320&gt;=P320,"Sim","Não"),IF(Q320&lt;=P320,"Sim","Não")))</f>
        <v>Não</v>
      </c>
      <c r="T320" s="13" t="n">
        <v>994.09</v>
      </c>
      <c r="U320" s="13" t="n">
        <v>2250.19</v>
      </c>
      <c r="V320" s="4" t="n">
        <f aca="false">IF(OR(T320="",U320=""),"",IFERROR(IF($K320="%",U320-T320,U320/T320-1),""))</f>
        <v>1.26356768501846</v>
      </c>
      <c r="W320" s="5" t="str">
        <f aca="false">IF(OR(T320="",U320=""),"",IF($F320="Maior Melhor",IF(U320&gt;=T320,"Sim","Não"),IF(U320&lt;=T320,"Sim","Não")))</f>
        <v>Não</v>
      </c>
      <c r="X320" s="13" t="n">
        <v>1295.12</v>
      </c>
      <c r="Y320" s="13" t="n">
        <v>1493.31</v>
      </c>
      <c r="Z320" s="4" t="n">
        <f aca="false">IF(OR(X320="",Y320=""),"",IFERROR(IF($K320="%",Y320-X320,Y320/X320-1),""))</f>
        <v>0.153028290814751</v>
      </c>
      <c r="AA320" s="5" t="str">
        <f aca="false">IF(OR(X320="",Y320=""),"",IF($F320="Maior Melhor",IF(Y320&gt;=X320,"Sim","Não"),IF(Y320&lt;=X320,"Sim","Não")))</f>
        <v>Não</v>
      </c>
      <c r="AB320" s="13" t="n">
        <v>5218.47</v>
      </c>
      <c r="AC320" s="13" t="n">
        <v>7404.9</v>
      </c>
      <c r="AD320" s="4" t="n">
        <f aca="false">IF(OR(AB320="",AC320=""),"",IFERROR(IF($K320="%",AC320-AB320,AC320/AB320-1),""))</f>
        <v>0.418979126065686</v>
      </c>
      <c r="AE320" s="5" t="str">
        <f aca="false">IF(OR(AB320="",AC320=""),"",IF($F320="Maior Melhor",IF(AC320&gt;=AB320,"Sim","Não"),IF(AC320&lt;=AB320,"Sim","Não")))</f>
        <v>Não</v>
      </c>
      <c r="AF320" s="13" t="n">
        <v>1554.12</v>
      </c>
      <c r="AG320" s="13" t="n">
        <v>1001.98</v>
      </c>
      <c r="AH320" s="4" t="n">
        <f aca="false">IF(OR(AF320="",AG320=""),"",IFERROR(IF($K320="%",AG320-AF320,AG320/AF320-1),""))</f>
        <v>-0.355275010938666</v>
      </c>
      <c r="AI320" s="5" t="str">
        <f aca="false">IF(OR(AF320="",AG320=""),"",IF($F320="Maior Melhor",IF(AG320&gt;=AF320,"Sim","Não"),IF(AG320&lt;=AF320,"Sim","Não")))</f>
        <v>Sim</v>
      </c>
      <c r="AJ320" s="13" t="n">
        <v>6772.58</v>
      </c>
      <c r="AK320" s="13" t="n">
        <v>8406.88</v>
      </c>
      <c r="AL320" s="4" t="n">
        <f aca="false">IF(OR(AJ320="",AK320=""),"",IFERROR(IF($K320="%",AK320-AJ320,AK320/AJ320-1),""))</f>
        <v>0.241311287574307</v>
      </c>
      <c r="AM320" s="5" t="str">
        <f aca="false">IF(OR(AJ320="",AK320=""),"",IF($F320="Maior Melhor",IF(AK320&gt;=AJ320,"Sim","Não"),IF(AK320&lt;=AJ320,"Sim","Não")))</f>
        <v>Não</v>
      </c>
      <c r="AN320" s="13" t="n">
        <v>1644.16</v>
      </c>
      <c r="AO320" s="13" t="n">
        <v>1096.28</v>
      </c>
      <c r="AP320" s="4" t="n">
        <f aca="false">IF(OR(AN320="",AO320=""),"",IFERROR(IF($K320="%",AO320-AN320,AO320/AN320-1),""))</f>
        <v>-0.333227909692487</v>
      </c>
      <c r="AQ320" s="5" t="str">
        <f aca="false">IF(OR(AN320="",AO320=""),"",IF($F320="Maior Melhor",IF(AO320&gt;=AN320,"Sim","Não"),IF(AO320&lt;=AN320,"Sim","Não")))</f>
        <v>Sim</v>
      </c>
      <c r="AR320" s="13" t="n">
        <v>8416.74</v>
      </c>
      <c r="AS320" s="13" t="n">
        <v>9516.66</v>
      </c>
      <c r="AT320" s="4" t="n">
        <f aca="false">IF(OR(AR320="",AS320=""),"",IFERROR(IF($K320="%",AS320-AR320,AS320/AR320-1),""))</f>
        <v>0.130682425737281</v>
      </c>
      <c r="AU320" s="5" t="str">
        <f aca="false">IF(OR(AR320="",AS320=""),"",IF($F320="Maior Melhor",IF(AS320&gt;=AR320,"Sim","Não"),IF(AS320&lt;=AR320,"Sim","Não")))</f>
        <v>Não</v>
      </c>
      <c r="AV320" s="13" t="n">
        <v>1228.11</v>
      </c>
      <c r="AW320" s="13" t="n">
        <v>566.61</v>
      </c>
      <c r="AX320" s="4" t="n">
        <f aca="false">IF(OR(AV320="",AW320=""),"",IFERROR(IF($K320="%",AW320-AV320,AW320/AV320-1),""))</f>
        <v>-0.538632532916433</v>
      </c>
      <c r="AY320" s="5" t="str">
        <f aca="false">IF(OR(AV320="",AW320=""),"",IF($F320="Maior Melhor",IF(AW320&gt;=AV320,"Sim","Não"),IF(AW320&lt;=AV320,"Sim","Não")))</f>
        <v>Sim</v>
      </c>
      <c r="AZ320" s="13" t="n">
        <v>9644.85</v>
      </c>
      <c r="BA320" s="13" t="n">
        <v>10083.27</v>
      </c>
      <c r="BB320" s="4" t="n">
        <f aca="false">IF(OR(AZ320="",BA320=""),"",IFERROR(IF($K320="%",BA320-AZ320,BA320/AZ320-1),""))</f>
        <v>0.0454563834585298</v>
      </c>
      <c r="BC320" s="5" t="str">
        <f aca="false">IF(OR(AZ320="",BA320=""),"",IF($F320="Maior Melhor",IF(BA320&gt;=AZ320,"Sim","Não"),IF(BA320&lt;=AZ320,"Sim","Não")))</f>
        <v>Não</v>
      </c>
      <c r="BD320" s="13" t="n">
        <v>1138.11</v>
      </c>
      <c r="BE320" s="13" t="n">
        <v>678.37</v>
      </c>
      <c r="BF320" s="4" t="n">
        <f aca="false">IF(OR(BD320="",BE320=""),"",IFERROR(IF($K320="%",BE320-BD320,BE320/BD320-1),""))</f>
        <v>-0.403950409011431</v>
      </c>
      <c r="BG320" s="5" t="str">
        <f aca="false">IF(OR(BD320="",BE320=""),"",IF($F320="Maior Melhor",IF(BE320&gt;=BD320,"Sim","Não"),IF(BE320&lt;=BD320,"Sim","Não")))</f>
        <v>Sim</v>
      </c>
      <c r="BH320" s="13" t="n">
        <v>10782.96</v>
      </c>
      <c r="BI320" s="13" t="n">
        <v>10761.64</v>
      </c>
      <c r="BJ320" s="4" t="n">
        <f aca="false">IF(OR(BH320="",BI320=""),"",IFERROR(IF($K320="%",BI320-BH320,BI320/BH320-1),""))</f>
        <v>-0.00197719364627147</v>
      </c>
      <c r="BK320" s="5" t="str">
        <f aca="false">IF(OR(BH320="",BI320=""),"",IF($F320="Maior Melhor",IF(BI320&gt;=BH320,"Sim","Não"),IF(BI320&lt;=BH320,"Sim","Não")))</f>
        <v>Sim</v>
      </c>
      <c r="BL320" s="14"/>
      <c r="BM320" s="14"/>
      <c r="BN320" s="4" t="str">
        <f aca="false">IF(OR(BL320="",BM320=""),"",IFERROR(IF($K320="%",BM320-BL320,BM320/BL320-1),""))</f>
        <v/>
      </c>
      <c r="BO320" s="5" t="str">
        <f aca="false">IF(OR(BL320="",BM320=""),"",IF($F320="Maior Melhor",IF(BM320&gt;=BL320,"Sim","Não"),IF(BM320&lt;=BL320,"Sim","Não")))</f>
        <v/>
      </c>
      <c r="BP320" s="14"/>
      <c r="BQ320" s="14"/>
      <c r="BR320" s="4" t="str">
        <f aca="false">IF(OR(BP320="",BQ320=""),"",IFERROR(IF($K320="%",BQ320-BP320,BQ320/BP320-1),""))</f>
        <v/>
      </c>
      <c r="BS320" s="5" t="str">
        <f aca="false">IF(OR(BP320="",BQ320=""),"",IF($F320="Maior Melhor",IF(BQ320&gt;=BP320,"Sim","Não"),IF(BQ320&lt;=BP320,"Sim","Não")))</f>
        <v/>
      </c>
      <c r="BT320" s="14"/>
      <c r="BU320" s="14"/>
      <c r="BV320" s="4" t="str">
        <f aca="false">IF(OR(BT320="",BU320=""),"",IFERROR(IF($K320="%",BU320-BT320,BU320/BT320-1),""))</f>
        <v/>
      </c>
      <c r="BW320" s="5" t="str">
        <f aca="false">IF(OR(BT320="",BU320=""),"",IF($F320="Maior Melhor",IF(BU320&gt;=BT320,"Sim","Não"),IF(BU320&lt;=BT320,"Sim","Não")))</f>
        <v/>
      </c>
      <c r="BX320" s="14"/>
      <c r="BY320" s="14"/>
      <c r="BZ320" s="4" t="str">
        <f aca="false">IF(OR(BX320="",BY320=""),"",IFERROR(IF($K320="%",BY320-BX320,BY320/BX320-1),""))</f>
        <v/>
      </c>
      <c r="CA320" s="5" t="str">
        <f aca="false">IF(OR(BX320="",BY320=""),"",IF($F320="Maior Melhor",IF(BY320&gt;=BX320,"Sim","Não"),IF(BY320&lt;=BX320,"Sim","Não")))</f>
        <v/>
      </c>
      <c r="CB320" s="14"/>
      <c r="CC320" s="14"/>
      <c r="CD320" s="4" t="str">
        <f aca="false">IF(OR(CB320="",CC320=""),"",IFERROR(IF($K320="%",CC320-CB320,CC320/CB320-1),""))</f>
        <v/>
      </c>
      <c r="CE320" s="5" t="str">
        <f aca="false">IF(OR(CB320="",CC320=""),"",IF($F320="Maior Melhor",IF(CC320&gt;=CB320,"Sim","Não"),IF(CC320&lt;=CB320,"Sim","Não")))</f>
        <v/>
      </c>
      <c r="CF320" s="14"/>
      <c r="CG320" s="14"/>
      <c r="CH320" s="4" t="str">
        <f aca="false">IF(OR(CF320="",CG320=""),"",IFERROR(IF($K320="%",CG320-CF320,CG320/CF320-1),""))</f>
        <v/>
      </c>
      <c r="CI320" s="5" t="str">
        <f aca="false">IF(OR(CF320="",CG320=""),"",IF($F320="Maior Melhor",IF(CG320&gt;=CF320,"Sim","Não"),IF(CG320&lt;=CF320,"Sim","Não")))</f>
        <v/>
      </c>
      <c r="CJ320" s="14"/>
      <c r="CK320" s="14"/>
      <c r="CL320" s="4" t="str">
        <f aca="false">IF(OR(CJ320="",CK320=""),"",IFERROR(IF($K320="%",CK320-CJ320,CK320/CJ320-1),""))</f>
        <v/>
      </c>
      <c r="CM320" s="5" t="str">
        <f aca="false">IF(OR(CJ320="",CK320=""),"",IF($F320="Maior Melhor",IF(CK320&gt;=CJ320,"Sim","Não"),IF(CK320&lt;=CJ320,"Sim","Não")))</f>
        <v/>
      </c>
      <c r="CN320" s="14"/>
      <c r="CO320" s="14"/>
      <c r="CP320" s="4" t="str">
        <f aca="false">IF(OR(CN320="",CO320=""),"",IFERROR(IF($K320="%",CO320-CN320,CO320/CN320-1),""))</f>
        <v/>
      </c>
      <c r="CQ320" s="5" t="str">
        <f aca="false">IF(OR(CN320="",CO320=""),"",IF($F320="Maior Melhor",IF(CO320&gt;=CN320,"Sim","Não"),IF(CO320&lt;=CN320,"Sim","Não")))</f>
        <v/>
      </c>
      <c r="CR320" s="2" t="s">
        <v>105</v>
      </c>
    </row>
    <row r="321" customFormat="false" ht="15" hidden="false" customHeight="false" outlineLevel="0" collapsed="false">
      <c r="A321" s="2" t="s">
        <v>151</v>
      </c>
      <c r="B321" s="2" t="s">
        <v>97</v>
      </c>
      <c r="C321" s="2" t="s">
        <v>126</v>
      </c>
      <c r="D321" s="2" t="s">
        <v>196</v>
      </c>
      <c r="E321" s="2" t="str">
        <f aca="false">C321&amp;D321</f>
        <v>UTD LIVRAMENTO DE NOSSA SENHORAQuantidade Física de Horas Extras</v>
      </c>
      <c r="F321" s="2" t="s">
        <v>167</v>
      </c>
      <c r="G321" s="2" t="s">
        <v>197</v>
      </c>
      <c r="H321" s="2" t="s">
        <v>102</v>
      </c>
      <c r="I321" s="2" t="s">
        <v>169</v>
      </c>
      <c r="J321" s="2" t="n">
        <v>2</v>
      </c>
      <c r="K321" s="2" t="s">
        <v>198</v>
      </c>
      <c r="L321" s="13" t="n">
        <v>1096.16</v>
      </c>
      <c r="M321" s="13" t="n">
        <v>1372.77</v>
      </c>
      <c r="N321" s="4" t="n">
        <f aca="false">IF(OR(L321="",M321=""),"",IFERROR(IF($K321="%",M321-L321,M321/L321-1),""))</f>
        <v>0.252344548241133</v>
      </c>
      <c r="O321" s="5" t="str">
        <f aca="false">IF(OR(L321="",M321=""),"",IF($F321="Maior Melhor",IF(M321&gt;=L321,"Sim","Não"),IF(M321&lt;=L321,"Sim","Não")))</f>
        <v>Não</v>
      </c>
      <c r="P321" s="13" t="n">
        <v>777.09</v>
      </c>
      <c r="Q321" s="13" t="n">
        <v>1217.44</v>
      </c>
      <c r="R321" s="4" t="n">
        <f aca="false">IF(OR(P321="",Q321=""),"",IFERROR(IF($K321="%",Q321-P321,Q321/P321-1),""))</f>
        <v>0.566665379814436</v>
      </c>
      <c r="S321" s="5" t="str">
        <f aca="false">IF(OR(P321="",Q321=""),"",IF($F321="Maior Melhor",IF(Q321&gt;=P321,"Sim","Não"),IF(Q321&lt;=P321,"Sim","Não")))</f>
        <v>Não</v>
      </c>
      <c r="T321" s="13" t="n">
        <v>635.09</v>
      </c>
      <c r="U321" s="13" t="n">
        <v>1003.05</v>
      </c>
      <c r="V321" s="4" t="n">
        <f aca="false">IF(OR(T321="",U321=""),"",IFERROR(IF($K321="%",U321-T321,U321/T321-1),""))</f>
        <v>0.579382449731534</v>
      </c>
      <c r="W321" s="5" t="str">
        <f aca="false">IF(OR(T321="",U321=""),"",IF($F321="Maior Melhor",IF(U321&gt;=T321,"Sim","Não"),IF(U321&lt;=T321,"Sim","Não")))</f>
        <v>Não</v>
      </c>
      <c r="X321" s="13" t="n">
        <v>828.12</v>
      </c>
      <c r="Y321" s="13" t="n">
        <v>913.45</v>
      </c>
      <c r="Z321" s="4" t="n">
        <f aca="false">IF(OR(X321="",Y321=""),"",IFERROR(IF($K321="%",Y321-X321,Y321/X321-1),""))</f>
        <v>0.103040622132058</v>
      </c>
      <c r="AA321" s="5" t="str">
        <f aca="false">IF(OR(X321="",Y321=""),"",IF($F321="Maior Melhor",IF(Y321&gt;=X321,"Sim","Não"),IF(Y321&lt;=X321,"Sim","Não")))</f>
        <v>Não</v>
      </c>
      <c r="AB321" s="13" t="n">
        <v>3336.47</v>
      </c>
      <c r="AC321" s="13" t="n">
        <v>4506.71</v>
      </c>
      <c r="AD321" s="4" t="n">
        <f aca="false">IF(OR(AB321="",AC321=""),"",IFERROR(IF($K321="%",AC321-AB321,AC321/AB321-1),""))</f>
        <v>0.350741951823334</v>
      </c>
      <c r="AE321" s="5" t="str">
        <f aca="false">IF(OR(AB321="",AC321=""),"",IF($F321="Maior Melhor",IF(AC321&gt;=AB321,"Sim","Não"),IF(AC321&lt;=AB321,"Sim","Não")))</f>
        <v>Não</v>
      </c>
      <c r="AF321" s="13" t="n">
        <v>994.12</v>
      </c>
      <c r="AG321" s="13" t="n">
        <v>577.55</v>
      </c>
      <c r="AH321" s="4" t="n">
        <f aca="false">IF(OR(AF321="",AG321=""),"",IFERROR(IF($K321="%",AG321-AF321,AG321/AF321-1),""))</f>
        <v>-0.419033919446345</v>
      </c>
      <c r="AI321" s="5" t="str">
        <f aca="false">IF(OR(AF321="",AG321=""),"",IF($F321="Maior Melhor",IF(AG321&gt;=AF321,"Sim","Não"),IF(AG321&lt;=AF321,"Sim","Não")))</f>
        <v>Sim</v>
      </c>
      <c r="AJ321" s="13" t="n">
        <v>4330.58</v>
      </c>
      <c r="AK321" s="13" t="n">
        <v>5084.26</v>
      </c>
      <c r="AL321" s="4" t="n">
        <f aca="false">IF(OR(AJ321="",AK321=""),"",IFERROR(IF($K321="%",AK321-AJ321,AK321/AJ321-1),""))</f>
        <v>0.174036734109519</v>
      </c>
      <c r="AM321" s="5" t="str">
        <f aca="false">IF(OR(AJ321="",AK321=""),"",IF($F321="Maior Melhor",IF(AK321&gt;=AJ321,"Sim","Não"),IF(AK321&lt;=AJ321,"Sim","Não")))</f>
        <v>Não</v>
      </c>
      <c r="AN321" s="13" t="n">
        <v>1051.16</v>
      </c>
      <c r="AO321" s="13" t="n">
        <v>564.38</v>
      </c>
      <c r="AP321" s="4" t="n">
        <f aca="false">IF(OR(AN321="",AO321=""),"",IFERROR(IF($K321="%",AO321-AN321,AO321/AN321-1),""))</f>
        <v>-0.463088397579817</v>
      </c>
      <c r="AQ321" s="5" t="str">
        <f aca="false">IF(OR(AN321="",AO321=""),"",IF($F321="Maior Melhor",IF(AO321&gt;=AN321,"Sim","Não"),IF(AO321&lt;=AN321,"Sim","Não")))</f>
        <v>Sim</v>
      </c>
      <c r="AR321" s="13" t="n">
        <v>5381.74</v>
      </c>
      <c r="AS321" s="13" t="n">
        <v>5654.66</v>
      </c>
      <c r="AT321" s="4" t="n">
        <f aca="false">IF(OR(AR321="",AS321=""),"",IFERROR(IF($K321="%",AS321-AR321,AS321/AR321-1),""))</f>
        <v>0.0507122231843233</v>
      </c>
      <c r="AU321" s="5" t="str">
        <f aca="false">IF(OR(AR321="",AS321=""),"",IF($F321="Maior Melhor",IF(AS321&gt;=AR321,"Sim","Não"),IF(AS321&lt;=AR321,"Sim","Não")))</f>
        <v>Não</v>
      </c>
      <c r="AV321" s="13" t="n">
        <v>785.11</v>
      </c>
      <c r="AW321" s="13" t="n">
        <v>417.77</v>
      </c>
      <c r="AX321" s="4" t="n">
        <f aca="false">IF(OR(AV321="",AW321=""),"",IFERROR(IF($K321="%",AW321-AV321,AW321/AV321-1),""))</f>
        <v>-0.467883481295615</v>
      </c>
      <c r="AY321" s="5" t="str">
        <f aca="false">IF(OR(AV321="",AW321=""),"",IF($F321="Maior Melhor",IF(AW321&gt;=AV321,"Sim","Não"),IF(AW321&lt;=AV321,"Sim","Não")))</f>
        <v>Sim</v>
      </c>
      <c r="AZ321" s="13" t="n">
        <v>6166.85</v>
      </c>
      <c r="BA321" s="13" t="n">
        <v>6072.43</v>
      </c>
      <c r="BB321" s="4" t="n">
        <f aca="false">IF(OR(AZ321="",BA321=""),"",IFERROR(IF($K321="%",BA321-AZ321,BA321/AZ321-1),""))</f>
        <v>-0.0153108961625466</v>
      </c>
      <c r="BC321" s="5" t="str">
        <f aca="false">IF(OR(AZ321="",BA321=""),"",IF($F321="Maior Melhor",IF(BA321&gt;=AZ321,"Sim","Não"),IF(BA321&lt;=AZ321,"Sim","Não")))</f>
        <v>Sim</v>
      </c>
      <c r="BD321" s="13" t="n">
        <v>727.11</v>
      </c>
      <c r="BE321" s="13" t="n">
        <v>322.27</v>
      </c>
      <c r="BF321" s="4" t="n">
        <f aca="false">IF(OR(BD321="",BE321=""),"",IFERROR(IF($K321="%",BE321-BD321,BE321/BD321-1),""))</f>
        <v>-0.556779579430898</v>
      </c>
      <c r="BG321" s="5" t="str">
        <f aca="false">IF(OR(BD321="",BE321=""),"",IF($F321="Maior Melhor",IF(BE321&gt;=BD321,"Sim","Não"),IF(BE321&lt;=BD321,"Sim","Não")))</f>
        <v>Sim</v>
      </c>
      <c r="BH321" s="13" t="n">
        <v>6893.96</v>
      </c>
      <c r="BI321" s="13" t="n">
        <v>6394.7</v>
      </c>
      <c r="BJ321" s="4" t="n">
        <f aca="false">IF(OR(BH321="",BI321=""),"",IFERROR(IF($K321="%",BI321-BH321,BI321/BH321-1),""))</f>
        <v>-0.0724199154042089</v>
      </c>
      <c r="BK321" s="5" t="str">
        <f aca="false">IF(OR(BH321="",BI321=""),"",IF($F321="Maior Melhor",IF(BI321&gt;=BH321,"Sim","Não"),IF(BI321&lt;=BH321,"Sim","Não")))</f>
        <v>Sim</v>
      </c>
      <c r="BL321" s="14"/>
      <c r="BM321" s="14"/>
      <c r="BN321" s="4" t="str">
        <f aca="false">IF(OR(BL321="",BM321=""),"",IFERROR(IF($K321="%",BM321-BL321,BM321/BL321-1),""))</f>
        <v/>
      </c>
      <c r="BO321" s="5" t="str">
        <f aca="false">IF(OR(BL321="",BM321=""),"",IF($F321="Maior Melhor",IF(BM321&gt;=BL321,"Sim","Não"),IF(BM321&lt;=BL321,"Sim","Não")))</f>
        <v/>
      </c>
      <c r="BP321" s="14"/>
      <c r="BQ321" s="14"/>
      <c r="BR321" s="4" t="str">
        <f aca="false">IF(OR(BP321="",BQ321=""),"",IFERROR(IF($K321="%",BQ321-BP321,BQ321/BP321-1),""))</f>
        <v/>
      </c>
      <c r="BS321" s="5" t="str">
        <f aca="false">IF(OR(BP321="",BQ321=""),"",IF($F321="Maior Melhor",IF(BQ321&gt;=BP321,"Sim","Não"),IF(BQ321&lt;=BP321,"Sim","Não")))</f>
        <v/>
      </c>
      <c r="BT321" s="14"/>
      <c r="BU321" s="14"/>
      <c r="BV321" s="4" t="str">
        <f aca="false">IF(OR(BT321="",BU321=""),"",IFERROR(IF($K321="%",BU321-BT321,BU321/BT321-1),""))</f>
        <v/>
      </c>
      <c r="BW321" s="5" t="str">
        <f aca="false">IF(OR(BT321="",BU321=""),"",IF($F321="Maior Melhor",IF(BU321&gt;=BT321,"Sim","Não"),IF(BU321&lt;=BT321,"Sim","Não")))</f>
        <v/>
      </c>
      <c r="BX321" s="14"/>
      <c r="BY321" s="14"/>
      <c r="BZ321" s="4" t="str">
        <f aca="false">IF(OR(BX321="",BY321=""),"",IFERROR(IF($K321="%",BY321-BX321,BY321/BX321-1),""))</f>
        <v/>
      </c>
      <c r="CA321" s="5" t="str">
        <f aca="false">IF(OR(BX321="",BY321=""),"",IF($F321="Maior Melhor",IF(BY321&gt;=BX321,"Sim","Não"),IF(BY321&lt;=BX321,"Sim","Não")))</f>
        <v/>
      </c>
      <c r="CB321" s="14"/>
      <c r="CC321" s="14"/>
      <c r="CD321" s="4" t="str">
        <f aca="false">IF(OR(CB321="",CC321=""),"",IFERROR(IF($K321="%",CC321-CB321,CC321/CB321-1),""))</f>
        <v/>
      </c>
      <c r="CE321" s="5" t="str">
        <f aca="false">IF(OR(CB321="",CC321=""),"",IF($F321="Maior Melhor",IF(CC321&gt;=CB321,"Sim","Não"),IF(CC321&lt;=CB321,"Sim","Não")))</f>
        <v/>
      </c>
      <c r="CF321" s="14"/>
      <c r="CG321" s="14"/>
      <c r="CH321" s="4" t="str">
        <f aca="false">IF(OR(CF321="",CG321=""),"",IFERROR(IF($K321="%",CG321-CF321,CG321/CF321-1),""))</f>
        <v/>
      </c>
      <c r="CI321" s="5" t="str">
        <f aca="false">IF(OR(CF321="",CG321=""),"",IF($F321="Maior Melhor",IF(CG321&gt;=CF321,"Sim","Não"),IF(CG321&lt;=CF321,"Sim","Não")))</f>
        <v/>
      </c>
      <c r="CJ321" s="14"/>
      <c r="CK321" s="14"/>
      <c r="CL321" s="4" t="str">
        <f aca="false">IF(OR(CJ321="",CK321=""),"",IFERROR(IF($K321="%",CK321-CJ321,CK321/CJ321-1),""))</f>
        <v/>
      </c>
      <c r="CM321" s="5" t="str">
        <f aca="false">IF(OR(CJ321="",CK321=""),"",IF($F321="Maior Melhor",IF(CK321&gt;=CJ321,"Sim","Não"),IF(CK321&lt;=CJ321,"Sim","Não")))</f>
        <v/>
      </c>
      <c r="CN321" s="14"/>
      <c r="CO321" s="14"/>
      <c r="CP321" s="4" t="str">
        <f aca="false">IF(OR(CN321="",CO321=""),"",IFERROR(IF($K321="%",CO321-CN321,CO321/CN321-1),""))</f>
        <v/>
      </c>
      <c r="CQ321" s="5" t="str">
        <f aca="false">IF(OR(CN321="",CO321=""),"",IF($F321="Maior Melhor",IF(CO321&gt;=CN321,"Sim","Não"),IF(CO321&lt;=CN321,"Sim","Não")))</f>
        <v/>
      </c>
      <c r="CR321" s="2" t="s">
        <v>105</v>
      </c>
    </row>
    <row r="322" customFormat="false" ht="15" hidden="false" customHeight="false" outlineLevel="0" collapsed="false">
      <c r="A322" s="2" t="s">
        <v>151</v>
      </c>
      <c r="B322" s="2" t="s">
        <v>106</v>
      </c>
      <c r="C322" s="2" t="s">
        <v>127</v>
      </c>
      <c r="D322" s="2" t="s">
        <v>196</v>
      </c>
      <c r="E322" s="2" t="str">
        <f aca="false">C322&amp;D322</f>
        <v>UTD LUIS EDUARDO MAGALHAESQuantidade Física de Horas Extras</v>
      </c>
      <c r="F322" s="2" t="s">
        <v>167</v>
      </c>
      <c r="G322" s="2" t="s">
        <v>197</v>
      </c>
      <c r="H322" s="2" t="s">
        <v>102</v>
      </c>
      <c r="I322" s="2" t="s">
        <v>169</v>
      </c>
      <c r="J322" s="2" t="n">
        <v>2</v>
      </c>
      <c r="K322" s="2" t="s">
        <v>198</v>
      </c>
      <c r="L322" s="13" t="n">
        <v>2008.16</v>
      </c>
      <c r="M322" s="13" t="n">
        <v>1623.23</v>
      </c>
      <c r="N322" s="4" t="n">
        <f aca="false">IF(OR(L322="",M322=""),"",IFERROR(IF($K322="%",M322-L322,M322/L322-1),""))</f>
        <v>-0.191682933630786</v>
      </c>
      <c r="O322" s="5" t="str">
        <f aca="false">IF(OR(L322="",M322=""),"",IF($F322="Maior Melhor",IF(M322&gt;=L322,"Sim","Não"),IF(M322&lt;=L322,"Sim","Não")))</f>
        <v>Sim</v>
      </c>
      <c r="P322" s="13" t="n">
        <v>1424.09</v>
      </c>
      <c r="Q322" s="13" t="n">
        <v>1428.44</v>
      </c>
      <c r="R322" s="4" t="n">
        <f aca="false">IF(OR(P322="",Q322=""),"",IFERROR(IF($K322="%",Q322-P322,Q322/P322-1),""))</f>
        <v>0.00305458222443811</v>
      </c>
      <c r="S322" s="5" t="str">
        <f aca="false">IF(OR(P322="",Q322=""),"",IF($F322="Maior Melhor",IF(Q322&gt;=P322,"Sim","Não"),IF(Q322&lt;=P322,"Sim","Não")))</f>
        <v>Não</v>
      </c>
      <c r="T322" s="13" t="n">
        <v>1164.09</v>
      </c>
      <c r="U322" s="13" t="n">
        <v>1739.64</v>
      </c>
      <c r="V322" s="4" t="n">
        <f aca="false">IF(OR(T322="",U322=""),"",IFERROR(IF($K322="%",U322-T322,U322/T322-1),""))</f>
        <v>0.494420534494756</v>
      </c>
      <c r="W322" s="5" t="str">
        <f aca="false">IF(OR(T322="",U322=""),"",IF($F322="Maior Melhor",IF(U322&gt;=T322,"Sim","Não"),IF(U322&lt;=T322,"Sim","Não")))</f>
        <v>Não</v>
      </c>
      <c r="X322" s="13" t="n">
        <v>1517.12</v>
      </c>
      <c r="Y322" s="13" t="n">
        <v>1490.42</v>
      </c>
      <c r="Z322" s="4" t="n">
        <f aca="false">IF(OR(X322="",Y322=""),"",IFERROR(IF($K322="%",Y322-X322,Y322/X322-1),""))</f>
        <v>-0.0175991352035434</v>
      </c>
      <c r="AA322" s="5" t="str">
        <f aca="false">IF(OR(X322="",Y322=""),"",IF($F322="Maior Melhor",IF(Y322&gt;=X322,"Sim","Não"),IF(Y322&lt;=X322,"Sim","Não")))</f>
        <v>Sim</v>
      </c>
      <c r="AB322" s="13" t="n">
        <v>6113.47</v>
      </c>
      <c r="AC322" s="13" t="n">
        <v>6281.73</v>
      </c>
      <c r="AD322" s="4" t="n">
        <f aca="false">IF(OR(AB322="",AC322=""),"",IFERROR(IF($K322="%",AC322-AB322,AC322/AB322-1),""))</f>
        <v>0.0275228307327915</v>
      </c>
      <c r="AE322" s="5" t="str">
        <f aca="false">IF(OR(AB322="",AC322=""),"",IF($F322="Maior Melhor",IF(AC322&gt;=AB322,"Sim","Não"),IF(AC322&lt;=AB322,"Sim","Não")))</f>
        <v>Não</v>
      </c>
      <c r="AF322" s="13" t="n">
        <v>1820.12</v>
      </c>
      <c r="AG322" s="13" t="n">
        <v>948.14</v>
      </c>
      <c r="AH322" s="4" t="n">
        <f aca="false">IF(OR(AF322="",AG322=""),"",IFERROR(IF($K322="%",AG322-AF322,AG322/AF322-1),""))</f>
        <v>-0.479078302529504</v>
      </c>
      <c r="AI322" s="5" t="str">
        <f aca="false">IF(OR(AF322="",AG322=""),"",IF($F322="Maior Melhor",IF(AG322&gt;=AF322,"Sim","Não"),IF(AG322&lt;=AF322,"Sim","Não")))</f>
        <v>Sim</v>
      </c>
      <c r="AJ322" s="13" t="n">
        <v>7933.58</v>
      </c>
      <c r="AK322" s="13" t="n">
        <v>7152.91</v>
      </c>
      <c r="AL322" s="4" t="n">
        <f aca="false">IF(OR(AJ322="",AK322=""),"",IFERROR(IF($K322="%",AK322-AJ322,AK322/AJ322-1),""))</f>
        <v>-0.0984007219943581</v>
      </c>
      <c r="AM322" s="5" t="str">
        <f aca="false">IF(OR(AJ322="",AK322=""),"",IF($F322="Maior Melhor",IF(AK322&gt;=AJ322,"Sim","Não"),IF(AK322&lt;=AJ322,"Sim","Não")))</f>
        <v>Sim</v>
      </c>
      <c r="AN322" s="13" t="n">
        <v>1926.16</v>
      </c>
      <c r="AO322" s="13" t="n">
        <v>1026.53</v>
      </c>
      <c r="AP322" s="4" t="n">
        <f aca="false">IF(OR(AN322="",AO322=""),"",IFERROR(IF($K322="%",AO322-AN322,AO322/AN322-1),""))</f>
        <v>-0.467058811313702</v>
      </c>
      <c r="AQ322" s="5" t="str">
        <f aca="false">IF(OR(AN322="",AO322=""),"",IF($F322="Maior Melhor",IF(AO322&gt;=AN322,"Sim","Não"),IF(AO322&lt;=AN322,"Sim","Não")))</f>
        <v>Sim</v>
      </c>
      <c r="AR322" s="13" t="n">
        <v>9859.74</v>
      </c>
      <c r="AS322" s="13" t="n">
        <v>8185.64</v>
      </c>
      <c r="AT322" s="4" t="n">
        <f aca="false">IF(OR(AR322="",AS322=""),"",IFERROR(IF($K322="%",AS322-AR322,AS322/AR322-1),""))</f>
        <v>-0.169791495516109</v>
      </c>
      <c r="AU322" s="5" t="str">
        <f aca="false">IF(OR(AR322="",AS322=""),"",IF($F322="Maior Melhor",IF(AS322&gt;=AR322,"Sim","Não"),IF(AS322&lt;=AR322,"Sim","Não")))</f>
        <v>Sim</v>
      </c>
      <c r="AV322" s="13" t="n">
        <v>1438.11</v>
      </c>
      <c r="AW322" s="13" t="n">
        <v>759.48</v>
      </c>
      <c r="AX322" s="4" t="n">
        <f aca="false">IF(OR(AV322="",AW322=""),"",IFERROR(IF($K322="%",AW322-AV322,AW322/AV322-1),""))</f>
        <v>-0.471890189206667</v>
      </c>
      <c r="AY322" s="5" t="str">
        <f aca="false">IF(OR(AV322="",AW322=""),"",IF($F322="Maior Melhor",IF(AW322&gt;=AV322,"Sim","Não"),IF(AW322&lt;=AV322,"Sim","Não")))</f>
        <v>Sim</v>
      </c>
      <c r="AZ322" s="13" t="n">
        <v>11297.85</v>
      </c>
      <c r="BA322" s="13" t="n">
        <v>8945.12</v>
      </c>
      <c r="BB322" s="4" t="n">
        <f aca="false">IF(OR(AZ322="",BA322=""),"",IFERROR(IF($K322="%",BA322-AZ322,BA322/AZ322-1),""))</f>
        <v>-0.208245816681935</v>
      </c>
      <c r="BC322" s="5" t="str">
        <f aca="false">IF(OR(AZ322="",BA322=""),"",IF($F322="Maior Melhor",IF(BA322&gt;=AZ322,"Sim","Não"),IF(BA322&lt;=AZ322,"Sim","Não")))</f>
        <v>Sim</v>
      </c>
      <c r="BD322" s="13" t="n">
        <v>1333.11</v>
      </c>
      <c r="BE322" s="13" t="n">
        <v>866.29</v>
      </c>
      <c r="BF322" s="4" t="n">
        <f aca="false">IF(OR(BD322="",BE322=""),"",IFERROR(IF($K322="%",BE322-BD322,BE322/BD322-1),""))</f>
        <v>-0.35017365408706</v>
      </c>
      <c r="BG322" s="5" t="str">
        <f aca="false">IF(OR(BD322="",BE322=""),"",IF($F322="Maior Melhor",IF(BE322&gt;=BD322,"Sim","Não"),IF(BE322&lt;=BD322,"Sim","Não")))</f>
        <v>Sim</v>
      </c>
      <c r="BH322" s="13" t="n">
        <v>12630.96</v>
      </c>
      <c r="BI322" s="13" t="n">
        <v>9811.41</v>
      </c>
      <c r="BJ322" s="4" t="n">
        <f aca="false">IF(OR(BH322="",BI322=""),"",IFERROR(IF($K322="%",BI322-BH322,BI322/BH322-1),""))</f>
        <v>-0.223225313040339</v>
      </c>
      <c r="BK322" s="5" t="str">
        <f aca="false">IF(OR(BH322="",BI322=""),"",IF($F322="Maior Melhor",IF(BI322&gt;=BH322,"Sim","Não"),IF(BI322&lt;=BH322,"Sim","Não")))</f>
        <v>Sim</v>
      </c>
      <c r="BL322" s="14"/>
      <c r="BM322" s="14"/>
      <c r="BN322" s="4" t="str">
        <f aca="false">IF(OR(BL322="",BM322=""),"",IFERROR(IF($K322="%",BM322-BL322,BM322/BL322-1),""))</f>
        <v/>
      </c>
      <c r="BO322" s="5" t="str">
        <f aca="false">IF(OR(BL322="",BM322=""),"",IF($F322="Maior Melhor",IF(BM322&gt;=BL322,"Sim","Não"),IF(BM322&lt;=BL322,"Sim","Não")))</f>
        <v/>
      </c>
      <c r="BP322" s="14"/>
      <c r="BQ322" s="14"/>
      <c r="BR322" s="4" t="str">
        <f aca="false">IF(OR(BP322="",BQ322=""),"",IFERROR(IF($K322="%",BQ322-BP322,BQ322/BP322-1),""))</f>
        <v/>
      </c>
      <c r="BS322" s="5" t="str">
        <f aca="false">IF(OR(BP322="",BQ322=""),"",IF($F322="Maior Melhor",IF(BQ322&gt;=BP322,"Sim","Não"),IF(BQ322&lt;=BP322,"Sim","Não")))</f>
        <v/>
      </c>
      <c r="BT322" s="14"/>
      <c r="BU322" s="14"/>
      <c r="BV322" s="4" t="str">
        <f aca="false">IF(OR(BT322="",BU322=""),"",IFERROR(IF($K322="%",BU322-BT322,BU322/BT322-1),""))</f>
        <v/>
      </c>
      <c r="BW322" s="5" t="str">
        <f aca="false">IF(OR(BT322="",BU322=""),"",IF($F322="Maior Melhor",IF(BU322&gt;=BT322,"Sim","Não"),IF(BU322&lt;=BT322,"Sim","Não")))</f>
        <v/>
      </c>
      <c r="BX322" s="14"/>
      <c r="BY322" s="14"/>
      <c r="BZ322" s="4" t="str">
        <f aca="false">IF(OR(BX322="",BY322=""),"",IFERROR(IF($K322="%",BY322-BX322,BY322/BX322-1),""))</f>
        <v/>
      </c>
      <c r="CA322" s="5" t="str">
        <f aca="false">IF(OR(BX322="",BY322=""),"",IF($F322="Maior Melhor",IF(BY322&gt;=BX322,"Sim","Não"),IF(BY322&lt;=BX322,"Sim","Não")))</f>
        <v/>
      </c>
      <c r="CB322" s="14"/>
      <c r="CC322" s="14"/>
      <c r="CD322" s="4" t="str">
        <f aca="false">IF(OR(CB322="",CC322=""),"",IFERROR(IF($K322="%",CC322-CB322,CC322/CB322-1),""))</f>
        <v/>
      </c>
      <c r="CE322" s="5" t="str">
        <f aca="false">IF(OR(CB322="",CC322=""),"",IF($F322="Maior Melhor",IF(CC322&gt;=CB322,"Sim","Não"),IF(CC322&lt;=CB322,"Sim","Não")))</f>
        <v/>
      </c>
      <c r="CF322" s="14"/>
      <c r="CG322" s="14"/>
      <c r="CH322" s="4" t="str">
        <f aca="false">IF(OR(CF322="",CG322=""),"",IFERROR(IF($K322="%",CG322-CF322,CG322/CF322-1),""))</f>
        <v/>
      </c>
      <c r="CI322" s="5" t="str">
        <f aca="false">IF(OR(CF322="",CG322=""),"",IF($F322="Maior Melhor",IF(CG322&gt;=CF322,"Sim","Não"),IF(CG322&lt;=CF322,"Sim","Não")))</f>
        <v/>
      </c>
      <c r="CJ322" s="14"/>
      <c r="CK322" s="14"/>
      <c r="CL322" s="4" t="str">
        <f aca="false">IF(OR(CJ322="",CK322=""),"",IFERROR(IF($K322="%",CK322-CJ322,CK322/CJ322-1),""))</f>
        <v/>
      </c>
      <c r="CM322" s="5" t="str">
        <f aca="false">IF(OR(CJ322="",CK322=""),"",IF($F322="Maior Melhor",IF(CK322&gt;=CJ322,"Sim","Não"),IF(CK322&lt;=CJ322,"Sim","Não")))</f>
        <v/>
      </c>
      <c r="CN322" s="14"/>
      <c r="CO322" s="14"/>
      <c r="CP322" s="4" t="str">
        <f aca="false">IF(OR(CN322="",CO322=""),"",IFERROR(IF($K322="%",CO322-CN322,CO322/CN322-1),""))</f>
        <v/>
      </c>
      <c r="CQ322" s="5" t="str">
        <f aca="false">IF(OR(CN322="",CO322=""),"",IF($F322="Maior Melhor",IF(CO322&gt;=CN322,"Sim","Não"),IF(CO322&lt;=CN322,"Sim","Não")))</f>
        <v/>
      </c>
      <c r="CR322" s="2" t="s">
        <v>105</v>
      </c>
    </row>
    <row r="323" customFormat="false" ht="15" hidden="false" customHeight="false" outlineLevel="0" collapsed="false">
      <c r="A323" s="2" t="s">
        <v>151</v>
      </c>
      <c r="B323" s="2" t="s">
        <v>106</v>
      </c>
      <c r="C323" s="2" t="s">
        <v>128</v>
      </c>
      <c r="D323" s="2" t="s">
        <v>196</v>
      </c>
      <c r="E323" s="2" t="str">
        <f aca="false">C323&amp;D323</f>
        <v>UTD SANTA MARIA DA VITORIAQuantidade Física de Horas Extras</v>
      </c>
      <c r="F323" s="2" t="s">
        <v>167</v>
      </c>
      <c r="G323" s="2" t="s">
        <v>197</v>
      </c>
      <c r="H323" s="2" t="s">
        <v>102</v>
      </c>
      <c r="I323" s="2" t="s">
        <v>169</v>
      </c>
      <c r="J323" s="2" t="n">
        <v>2</v>
      </c>
      <c r="K323" s="2" t="s">
        <v>198</v>
      </c>
      <c r="L323" s="13" t="n">
        <v>1515</v>
      </c>
      <c r="M323" s="13" t="n">
        <v>1887.12</v>
      </c>
      <c r="N323" s="4" t="n">
        <f aca="false">IF(OR(L323="",M323=""),"",IFERROR(IF($K323="%",M323-L323,M323/L323-1),""))</f>
        <v>0.245623762376238</v>
      </c>
      <c r="O323" s="5" t="str">
        <f aca="false">IF(OR(L323="",M323=""),"",IF($F323="Maior Melhor",IF(M323&gt;=L323,"Sim","Não"),IF(M323&lt;=L323,"Sim","Não")))</f>
        <v>Não</v>
      </c>
      <c r="P323" s="13" t="n">
        <v>1074</v>
      </c>
      <c r="Q323" s="13" t="n">
        <v>1542.61</v>
      </c>
      <c r="R323" s="4" t="n">
        <f aca="false">IF(OR(P323="",Q323=""),"",IFERROR(IF($K323="%",Q323-P323,Q323/P323-1),""))</f>
        <v>0.436322160148976</v>
      </c>
      <c r="S323" s="5" t="str">
        <f aca="false">IF(OR(P323="",Q323=""),"",IF($F323="Maior Melhor",IF(Q323&gt;=P323,"Sim","Não"),IF(Q323&lt;=P323,"Sim","Não")))</f>
        <v>Não</v>
      </c>
      <c r="T323" s="13" t="n">
        <v>878</v>
      </c>
      <c r="U323" s="13" t="n">
        <v>1384.66</v>
      </c>
      <c r="V323" s="4" t="n">
        <f aca="false">IF(OR(T323="",U323=""),"",IFERROR(IF($K323="%",U323-T323,U323/T323-1),""))</f>
        <v>0.577061503416857</v>
      </c>
      <c r="W323" s="5" t="str">
        <f aca="false">IF(OR(T323="",U323=""),"",IF($F323="Maior Melhor",IF(U323&gt;=T323,"Sim","Não"),IF(U323&lt;=T323,"Sim","Não")))</f>
        <v>Não</v>
      </c>
      <c r="X323" s="13" t="n">
        <v>1144</v>
      </c>
      <c r="Y323" s="13" t="n">
        <v>1375.57</v>
      </c>
      <c r="Z323" s="4" t="n">
        <f aca="false">IF(OR(X323="",Y323=""),"",IFERROR(IF($K323="%",Y323-X323,Y323/X323-1),""))</f>
        <v>0.202421328671329</v>
      </c>
      <c r="AA323" s="5" t="str">
        <f aca="false">IF(OR(X323="",Y323=""),"",IF($F323="Maior Melhor",IF(Y323&gt;=X323,"Sim","Não"),IF(Y323&lt;=X323,"Sim","Não")))</f>
        <v>Não</v>
      </c>
      <c r="AB323" s="13" t="n">
        <v>4611</v>
      </c>
      <c r="AC323" s="13" t="n">
        <v>6189.96</v>
      </c>
      <c r="AD323" s="4" t="n">
        <f aca="false">IF(OR(AB323="",AC323=""),"",IFERROR(IF($K323="%",AC323-AB323,AC323/AB323-1),""))</f>
        <v>0.342433311646064</v>
      </c>
      <c r="AE323" s="5" t="str">
        <f aca="false">IF(OR(AB323="",AC323=""),"",IF($F323="Maior Melhor",IF(AC323&gt;=AB323,"Sim","Não"),IF(AC323&lt;=AB323,"Sim","Não")))</f>
        <v>Não</v>
      </c>
      <c r="AF323" s="13" t="n">
        <v>1373</v>
      </c>
      <c r="AG323" s="13" t="n">
        <v>921.65</v>
      </c>
      <c r="AH323" s="4" t="n">
        <f aca="false">IF(OR(AF323="",AG323=""),"",IFERROR(IF($K323="%",AG323-AF323,AG323/AF323-1),""))</f>
        <v>-0.328732702112163</v>
      </c>
      <c r="AI323" s="5" t="str">
        <f aca="false">IF(OR(AF323="",AG323=""),"",IF($F323="Maior Melhor",IF(AG323&gt;=AF323,"Sim","Não"),IF(AG323&lt;=AF323,"Sim","Não")))</f>
        <v>Sim</v>
      </c>
      <c r="AJ323" s="13" t="n">
        <v>5984</v>
      </c>
      <c r="AK323" s="13" t="n">
        <v>7019.17</v>
      </c>
      <c r="AL323" s="4" t="n">
        <f aca="false">IF(OR(AJ323="",AK323=""),"",IFERROR(IF($K323="%",AK323-AJ323,AK323/AJ323-1),""))</f>
        <v>0.172989639037433</v>
      </c>
      <c r="AM323" s="5" t="str">
        <f aca="false">IF(OR(AJ323="",AK323=""),"",IF($F323="Maior Melhor",IF(AK323&gt;=AJ323,"Sim","Não"),IF(AK323&lt;=AJ323,"Sim","Não")))</f>
        <v>Não</v>
      </c>
      <c r="AN323" s="13" t="n">
        <v>1453</v>
      </c>
      <c r="AO323" s="13" t="n">
        <v>999.18</v>
      </c>
      <c r="AP323" s="4" t="n">
        <f aca="false">IF(OR(AN323="",AO323=""),"",IFERROR(IF($K323="%",AO323-AN323,AO323/AN323-1),""))</f>
        <v>-0.312333103922918</v>
      </c>
      <c r="AQ323" s="5" t="str">
        <f aca="false">IF(OR(AN323="",AO323=""),"",IF($F323="Maior Melhor",IF(AO323&gt;=AN323,"Sim","Não"),IF(AO323&lt;=AN323,"Sim","Não")))</f>
        <v>Sim</v>
      </c>
      <c r="AR323" s="13" t="n">
        <v>7437</v>
      </c>
      <c r="AS323" s="13" t="n">
        <v>8025.35</v>
      </c>
      <c r="AT323" s="4" t="n">
        <f aca="false">IF(OR(AR323="",AS323=""),"",IFERROR(IF($K323="%",AS323-AR323,AS323/AR323-1),""))</f>
        <v>0.0791112007529919</v>
      </c>
      <c r="AU323" s="5" t="str">
        <f aca="false">IF(OR(AR323="",AS323=""),"",IF($F323="Maior Melhor",IF(AS323&gt;=AR323,"Sim","Não"),IF(AS323&lt;=AR323,"Sim","Não")))</f>
        <v>Não</v>
      </c>
      <c r="AV323" s="13" t="n">
        <v>1085</v>
      </c>
      <c r="AW323" s="13" t="n">
        <v>557.43</v>
      </c>
      <c r="AX323" s="4" t="n">
        <f aca="false">IF(OR(AV323="",AW323=""),"",IFERROR(IF($K323="%",AW323-AV323,AW323/AV323-1),""))</f>
        <v>-0.486239631336406</v>
      </c>
      <c r="AY323" s="5" t="str">
        <f aca="false">IF(OR(AV323="",AW323=""),"",IF($F323="Maior Melhor",IF(AW323&gt;=AV323,"Sim","Não"),IF(AW323&lt;=AV323,"Sim","Não")))</f>
        <v>Sim</v>
      </c>
      <c r="AZ323" s="13" t="n">
        <v>8522</v>
      </c>
      <c r="BA323" s="13" t="n">
        <v>8582.78</v>
      </c>
      <c r="BB323" s="4" t="n">
        <f aca="false">IF(OR(AZ323="",BA323=""),"",IFERROR(IF($K323="%",BA323-AZ323,BA323/AZ323-1),""))</f>
        <v>0.00713212860830792</v>
      </c>
      <c r="BC323" s="5" t="str">
        <f aca="false">IF(OR(AZ323="",BA323=""),"",IF($F323="Maior Melhor",IF(BA323&gt;=AZ323,"Sim","Não"),IF(BA323&lt;=AZ323,"Sim","Não")))</f>
        <v>Não</v>
      </c>
      <c r="BD323" s="13" t="n">
        <v>1005</v>
      </c>
      <c r="BE323" s="13" t="n">
        <v>683.38</v>
      </c>
      <c r="BF323" s="4" t="n">
        <f aca="false">IF(OR(BD323="",BE323=""),"",IFERROR(IF($K323="%",BE323-BD323,BE323/BD323-1),""))</f>
        <v>-0.320019900497512</v>
      </c>
      <c r="BG323" s="5" t="str">
        <f aca="false">IF(OR(BD323="",BE323=""),"",IF($F323="Maior Melhor",IF(BE323&gt;=BD323,"Sim","Não"),IF(BE323&lt;=BD323,"Sim","Não")))</f>
        <v>Sim</v>
      </c>
      <c r="BH323" s="13" t="n">
        <v>9527</v>
      </c>
      <c r="BI323" s="13" t="n">
        <v>9266.16</v>
      </c>
      <c r="BJ323" s="4" t="n">
        <f aca="false">IF(OR(BH323="",BI323=""),"",IFERROR(IF($K323="%",BI323-BH323,BI323/BH323-1),""))</f>
        <v>-0.0273790280256114</v>
      </c>
      <c r="BK323" s="5" t="str">
        <f aca="false">IF(OR(BH323="",BI323=""),"",IF($F323="Maior Melhor",IF(BI323&gt;=BH323,"Sim","Não"),IF(BI323&lt;=BH323,"Sim","Não")))</f>
        <v>Sim</v>
      </c>
      <c r="BL323" s="14"/>
      <c r="BM323" s="14"/>
      <c r="BN323" s="4" t="str">
        <f aca="false">IF(OR(BL323="",BM323=""),"",IFERROR(IF($K323="%",BM323-BL323,BM323/BL323-1),""))</f>
        <v/>
      </c>
      <c r="BO323" s="5" t="str">
        <f aca="false">IF(OR(BL323="",BM323=""),"",IF($F323="Maior Melhor",IF(BM323&gt;=BL323,"Sim","Não"),IF(BM323&lt;=BL323,"Sim","Não")))</f>
        <v/>
      </c>
      <c r="BP323" s="14"/>
      <c r="BQ323" s="14"/>
      <c r="BR323" s="4" t="str">
        <f aca="false">IF(OR(BP323="",BQ323=""),"",IFERROR(IF($K323="%",BQ323-BP323,BQ323/BP323-1),""))</f>
        <v/>
      </c>
      <c r="BS323" s="5" t="str">
        <f aca="false">IF(OR(BP323="",BQ323=""),"",IF($F323="Maior Melhor",IF(BQ323&gt;=BP323,"Sim","Não"),IF(BQ323&lt;=BP323,"Sim","Não")))</f>
        <v/>
      </c>
      <c r="BT323" s="14"/>
      <c r="BU323" s="14"/>
      <c r="BV323" s="4" t="str">
        <f aca="false">IF(OR(BT323="",BU323=""),"",IFERROR(IF($K323="%",BU323-BT323,BU323/BT323-1),""))</f>
        <v/>
      </c>
      <c r="BW323" s="5" t="str">
        <f aca="false">IF(OR(BT323="",BU323=""),"",IF($F323="Maior Melhor",IF(BU323&gt;=BT323,"Sim","Não"),IF(BU323&lt;=BT323,"Sim","Não")))</f>
        <v/>
      </c>
      <c r="BX323" s="14"/>
      <c r="BY323" s="14"/>
      <c r="BZ323" s="4" t="str">
        <f aca="false">IF(OR(BX323="",BY323=""),"",IFERROR(IF($K323="%",BY323-BX323,BY323/BX323-1),""))</f>
        <v/>
      </c>
      <c r="CA323" s="5" t="str">
        <f aca="false">IF(OR(BX323="",BY323=""),"",IF($F323="Maior Melhor",IF(BY323&gt;=BX323,"Sim","Não"),IF(BY323&lt;=BX323,"Sim","Não")))</f>
        <v/>
      </c>
      <c r="CB323" s="14"/>
      <c r="CC323" s="14"/>
      <c r="CD323" s="4" t="str">
        <f aca="false">IF(OR(CB323="",CC323=""),"",IFERROR(IF($K323="%",CC323-CB323,CC323/CB323-1),""))</f>
        <v/>
      </c>
      <c r="CE323" s="5" t="str">
        <f aca="false">IF(OR(CB323="",CC323=""),"",IF($F323="Maior Melhor",IF(CC323&gt;=CB323,"Sim","Não"),IF(CC323&lt;=CB323,"Sim","Não")))</f>
        <v/>
      </c>
      <c r="CF323" s="14"/>
      <c r="CG323" s="14"/>
      <c r="CH323" s="4" t="str">
        <f aca="false">IF(OR(CF323="",CG323=""),"",IFERROR(IF($K323="%",CG323-CF323,CG323/CF323-1),""))</f>
        <v/>
      </c>
      <c r="CI323" s="5" t="str">
        <f aca="false">IF(OR(CF323="",CG323=""),"",IF($F323="Maior Melhor",IF(CG323&gt;=CF323,"Sim","Não"),IF(CG323&lt;=CF323,"Sim","Não")))</f>
        <v/>
      </c>
      <c r="CJ323" s="14"/>
      <c r="CK323" s="14"/>
      <c r="CL323" s="4" t="str">
        <f aca="false">IF(OR(CJ323="",CK323=""),"",IFERROR(IF($K323="%",CK323-CJ323,CK323/CJ323-1),""))</f>
        <v/>
      </c>
      <c r="CM323" s="5" t="str">
        <f aca="false">IF(OR(CJ323="",CK323=""),"",IF($F323="Maior Melhor",IF(CK323&gt;=CJ323,"Sim","Não"),IF(CK323&lt;=CJ323,"Sim","Não")))</f>
        <v/>
      </c>
      <c r="CN323" s="14"/>
      <c r="CO323" s="14"/>
      <c r="CP323" s="4" t="str">
        <f aca="false">IF(OR(CN323="",CO323=""),"",IFERROR(IF($K323="%",CO323-CN323,CO323/CN323-1),""))</f>
        <v/>
      </c>
      <c r="CQ323" s="5" t="str">
        <f aca="false">IF(OR(CN323="",CO323=""),"",IF($F323="Maior Melhor",IF(CO323&gt;=CN323,"Sim","Não"),IF(CO323&lt;=CN323,"Sim","Não")))</f>
        <v/>
      </c>
      <c r="CR323" s="2" t="s">
        <v>199</v>
      </c>
    </row>
    <row r="324" customFormat="false" ht="15" hidden="false" customHeight="false" outlineLevel="0" collapsed="false">
      <c r="A324" s="2" t="s">
        <v>151</v>
      </c>
      <c r="B324" s="2" t="s">
        <v>97</v>
      </c>
      <c r="C324" s="2" t="s">
        <v>130</v>
      </c>
      <c r="D324" s="2" t="s">
        <v>196</v>
      </c>
      <c r="E324" s="2" t="str">
        <f aca="false">C324&amp;D324</f>
        <v>UTD SEABRAQuantidade Física de Horas Extras</v>
      </c>
      <c r="F324" s="2" t="s">
        <v>167</v>
      </c>
      <c r="G324" s="2" t="s">
        <v>197</v>
      </c>
      <c r="H324" s="2" t="s">
        <v>102</v>
      </c>
      <c r="I324" s="2" t="s">
        <v>169</v>
      </c>
      <c r="J324" s="2" t="n">
        <v>2</v>
      </c>
      <c r="K324" s="2" t="s">
        <v>198</v>
      </c>
      <c r="L324" s="13" t="n">
        <v>871</v>
      </c>
      <c r="M324" s="13" t="n">
        <v>1148.53</v>
      </c>
      <c r="N324" s="4" t="n">
        <f aca="false">IF(OR(L324="",M324=""),"",IFERROR(IF($K324="%",M324-L324,M324/L324-1),""))</f>
        <v>0.318633754305396</v>
      </c>
      <c r="O324" s="5" t="str">
        <f aca="false">IF(OR(L324="",M324=""),"",IF($F324="Maior Melhor",IF(M324&gt;=L324,"Sim","Não"),IF(M324&lt;=L324,"Sim","Não")))</f>
        <v>Não</v>
      </c>
      <c r="P324" s="13" t="n">
        <v>618</v>
      </c>
      <c r="Q324" s="13" t="n">
        <v>1191.61</v>
      </c>
      <c r="R324" s="4" t="n">
        <f aca="false">IF(OR(P324="",Q324=""),"",IFERROR(IF($K324="%",Q324-P324,Q324/P324-1),""))</f>
        <v>0.928171521035599</v>
      </c>
      <c r="S324" s="5" t="str">
        <f aca="false">IF(OR(P324="",Q324=""),"",IF($F324="Maior Melhor",IF(Q324&gt;=P324,"Sim","Não"),IF(Q324&lt;=P324,"Sim","Não")))</f>
        <v>Não</v>
      </c>
      <c r="T324" s="13" t="n">
        <v>505</v>
      </c>
      <c r="U324" s="13" t="n">
        <v>876.08</v>
      </c>
      <c r="V324" s="4" t="n">
        <f aca="false">IF(OR(T324="",U324=""),"",IFERROR(IF($K324="%",U324-T324,U324/T324-1),""))</f>
        <v>0.734811881188119</v>
      </c>
      <c r="W324" s="5" t="str">
        <f aca="false">IF(OR(T324="",U324=""),"",IF($F324="Maior Melhor",IF(U324&gt;=T324,"Sim","Não"),IF(U324&lt;=T324,"Sim","Não")))</f>
        <v>Não</v>
      </c>
      <c r="X324" s="13" t="n">
        <v>658</v>
      </c>
      <c r="Y324" s="13" t="n">
        <v>659.71</v>
      </c>
      <c r="Z324" s="4" t="n">
        <f aca="false">IF(OR(X324="",Y324=""),"",IFERROR(IF($K324="%",Y324-X324,Y324/X324-1),""))</f>
        <v>0.00259878419452897</v>
      </c>
      <c r="AA324" s="5" t="str">
        <f aca="false">IF(OR(X324="",Y324=""),"",IF($F324="Maior Melhor",IF(Y324&gt;=X324,"Sim","Não"),IF(Y324&lt;=X324,"Sim","Não")))</f>
        <v>Não</v>
      </c>
      <c r="AB324" s="13" t="n">
        <v>2652</v>
      </c>
      <c r="AC324" s="13" t="n">
        <v>3875.93</v>
      </c>
      <c r="AD324" s="4" t="n">
        <f aca="false">IF(OR(AB324="",AC324=""),"",IFERROR(IF($K324="%",AC324-AB324,AC324/AB324-1),""))</f>
        <v>0.461512066365007</v>
      </c>
      <c r="AE324" s="5" t="str">
        <f aca="false">IF(OR(AB324="",AC324=""),"",IF($F324="Maior Melhor",IF(AC324&gt;=AB324,"Sim","Não"),IF(AC324&lt;=AB324,"Sim","Não")))</f>
        <v>Não</v>
      </c>
      <c r="AF324" s="13" t="n">
        <v>790</v>
      </c>
      <c r="AG324" s="13" t="n">
        <v>355.17</v>
      </c>
      <c r="AH324" s="4" t="n">
        <f aca="false">IF(OR(AF324="",AG324=""),"",IFERROR(IF($K324="%",AG324-AF324,AG324/AF324-1),""))</f>
        <v>-0.550417721518987</v>
      </c>
      <c r="AI324" s="5" t="str">
        <f aca="false">IF(OR(AF324="",AG324=""),"",IF($F324="Maior Melhor",IF(AG324&gt;=AF324,"Sim","Não"),IF(AG324&lt;=AF324,"Sim","Não")))</f>
        <v>Sim</v>
      </c>
      <c r="AJ324" s="13" t="n">
        <v>3442</v>
      </c>
      <c r="AK324" s="13" t="n">
        <v>4216.44</v>
      </c>
      <c r="AL324" s="4" t="n">
        <f aca="false">IF(OR(AJ324="",AK324=""),"",IFERROR(IF($K324="%",AK324-AJ324,AK324/AJ324-1),""))</f>
        <v>0.224997094712377</v>
      </c>
      <c r="AM324" s="5" t="str">
        <f aca="false">IF(OR(AJ324="",AK324=""),"",IF($F324="Maior Melhor",IF(AK324&gt;=AJ324,"Sim","Não"),IF(AK324&lt;=AJ324,"Sim","Não")))</f>
        <v>Não</v>
      </c>
      <c r="AN324" s="13" t="n">
        <v>836</v>
      </c>
      <c r="AO324" s="13" t="n">
        <v>450.13</v>
      </c>
      <c r="AP324" s="4" t="n">
        <f aca="false">IF(OR(AN324="",AO324=""),"",IFERROR(IF($K324="%",AO324-AN324,AO324/AN324-1),""))</f>
        <v>-0.461566985645933</v>
      </c>
      <c r="AQ324" s="5" t="str">
        <f aca="false">IF(OR(AN324="",AO324=""),"",IF($F324="Maior Melhor",IF(AO324&gt;=AN324,"Sim","Não"),IF(AO324&lt;=AN324,"Sim","Não")))</f>
        <v>Sim</v>
      </c>
      <c r="AR324" s="13" t="n">
        <v>4278</v>
      </c>
      <c r="AS324" s="13" t="n">
        <v>4678.77</v>
      </c>
      <c r="AT324" s="4" t="n">
        <f aca="false">IF(OR(AR324="",AS324=""),"",IFERROR(IF($K324="%",AS324-AR324,AS324/AR324-1),""))</f>
        <v>0.0936816269284713</v>
      </c>
      <c r="AU324" s="5" t="str">
        <f aca="false">IF(OR(AR324="",AS324=""),"",IF($F324="Maior Melhor",IF(AS324&gt;=AR324,"Sim","Não"),IF(AS324&lt;=AR324,"Sim","Não")))</f>
        <v>Não</v>
      </c>
      <c r="AV324" s="13" t="n">
        <v>624</v>
      </c>
      <c r="AW324" s="13" t="n">
        <v>340.9</v>
      </c>
      <c r="AX324" s="4" t="n">
        <f aca="false">IF(OR(AV324="",AW324=""),"",IFERROR(IF($K324="%",AW324-AV324,AW324/AV324-1),""))</f>
        <v>-0.453685897435898</v>
      </c>
      <c r="AY324" s="5" t="str">
        <f aca="false">IF(OR(AV324="",AW324=""),"",IF($F324="Maior Melhor",IF(AW324&gt;=AV324,"Sim","Não"),IF(AW324&lt;=AV324,"Sim","Não")))</f>
        <v>Sim</v>
      </c>
      <c r="AZ324" s="13" t="n">
        <v>4902</v>
      </c>
      <c r="BA324" s="13" t="n">
        <v>5019.67</v>
      </c>
      <c r="BB324" s="4" t="n">
        <f aca="false">IF(OR(AZ324="",BA324=""),"",IFERROR(IF($K324="%",BA324-AZ324,BA324/AZ324-1),""))</f>
        <v>0.0240044879640964</v>
      </c>
      <c r="BC324" s="5" t="str">
        <f aca="false">IF(OR(AZ324="",BA324=""),"",IF($F324="Maior Melhor",IF(BA324&gt;=AZ324,"Sim","Não"),IF(BA324&lt;=AZ324,"Sim","Não")))</f>
        <v>Não</v>
      </c>
      <c r="BD324" s="13" t="n">
        <v>578</v>
      </c>
      <c r="BE324" s="13" t="n">
        <v>202.36</v>
      </c>
      <c r="BF324" s="4" t="n">
        <f aca="false">IF(OR(BD324="",BE324=""),"",IFERROR(IF($K324="%",BE324-BD324,BE324/BD324-1),""))</f>
        <v>-0.649896193771626</v>
      </c>
      <c r="BG324" s="5" t="str">
        <f aca="false">IF(OR(BD324="",BE324=""),"",IF($F324="Maior Melhor",IF(BE324&gt;=BD324,"Sim","Não"),IF(BE324&lt;=BD324,"Sim","Não")))</f>
        <v>Sim</v>
      </c>
      <c r="BH324" s="13" t="n">
        <v>5480</v>
      </c>
      <c r="BI324" s="13" t="n">
        <v>5222.03</v>
      </c>
      <c r="BJ324" s="4" t="n">
        <f aca="false">IF(OR(BH324="",BI324=""),"",IFERROR(IF($K324="%",BI324-BH324,BI324/BH324-1),""))</f>
        <v>-0.0470748175182483</v>
      </c>
      <c r="BK324" s="5" t="str">
        <f aca="false">IF(OR(BH324="",BI324=""),"",IF($F324="Maior Melhor",IF(BI324&gt;=BH324,"Sim","Não"),IF(BI324&lt;=BH324,"Sim","Não")))</f>
        <v>Sim</v>
      </c>
      <c r="BL324" s="14"/>
      <c r="BM324" s="14"/>
      <c r="BN324" s="4" t="str">
        <f aca="false">IF(OR(BL324="",BM324=""),"",IFERROR(IF($K324="%",BM324-BL324,BM324/BL324-1),""))</f>
        <v/>
      </c>
      <c r="BO324" s="5" t="str">
        <f aca="false">IF(OR(BL324="",BM324=""),"",IF($F324="Maior Melhor",IF(BM324&gt;=BL324,"Sim","Não"),IF(BM324&lt;=BL324,"Sim","Não")))</f>
        <v/>
      </c>
      <c r="BP324" s="14"/>
      <c r="BQ324" s="14"/>
      <c r="BR324" s="4" t="str">
        <f aca="false">IF(OR(BP324="",BQ324=""),"",IFERROR(IF($K324="%",BQ324-BP324,BQ324/BP324-1),""))</f>
        <v/>
      </c>
      <c r="BS324" s="5" t="str">
        <f aca="false">IF(OR(BP324="",BQ324=""),"",IF($F324="Maior Melhor",IF(BQ324&gt;=BP324,"Sim","Não"),IF(BQ324&lt;=BP324,"Sim","Não")))</f>
        <v/>
      </c>
      <c r="BT324" s="14"/>
      <c r="BU324" s="14"/>
      <c r="BV324" s="4" t="str">
        <f aca="false">IF(OR(BT324="",BU324=""),"",IFERROR(IF($K324="%",BU324-BT324,BU324/BT324-1),""))</f>
        <v/>
      </c>
      <c r="BW324" s="5" t="str">
        <f aca="false">IF(OR(BT324="",BU324=""),"",IF($F324="Maior Melhor",IF(BU324&gt;=BT324,"Sim","Não"),IF(BU324&lt;=BT324,"Sim","Não")))</f>
        <v/>
      </c>
      <c r="BX324" s="14"/>
      <c r="BY324" s="14"/>
      <c r="BZ324" s="4" t="str">
        <f aca="false">IF(OR(BX324="",BY324=""),"",IFERROR(IF($K324="%",BY324-BX324,BY324/BX324-1),""))</f>
        <v/>
      </c>
      <c r="CA324" s="5" t="str">
        <f aca="false">IF(OR(BX324="",BY324=""),"",IF($F324="Maior Melhor",IF(BY324&gt;=BX324,"Sim","Não"),IF(BY324&lt;=BX324,"Sim","Não")))</f>
        <v/>
      </c>
      <c r="CB324" s="14"/>
      <c r="CC324" s="14"/>
      <c r="CD324" s="4" t="str">
        <f aca="false">IF(OR(CB324="",CC324=""),"",IFERROR(IF($K324="%",CC324-CB324,CC324/CB324-1),""))</f>
        <v/>
      </c>
      <c r="CE324" s="5" t="str">
        <f aca="false">IF(OR(CB324="",CC324=""),"",IF($F324="Maior Melhor",IF(CC324&gt;=CB324,"Sim","Não"),IF(CC324&lt;=CB324,"Sim","Não")))</f>
        <v/>
      </c>
      <c r="CF324" s="14"/>
      <c r="CG324" s="14"/>
      <c r="CH324" s="4" t="str">
        <f aca="false">IF(OR(CF324="",CG324=""),"",IFERROR(IF($K324="%",CG324-CF324,CG324/CF324-1),""))</f>
        <v/>
      </c>
      <c r="CI324" s="5" t="str">
        <f aca="false">IF(OR(CF324="",CG324=""),"",IF($F324="Maior Melhor",IF(CG324&gt;=CF324,"Sim","Não"),IF(CG324&lt;=CF324,"Sim","Não")))</f>
        <v/>
      </c>
      <c r="CJ324" s="14"/>
      <c r="CK324" s="14"/>
      <c r="CL324" s="4" t="str">
        <f aca="false">IF(OR(CJ324="",CK324=""),"",IFERROR(IF($K324="%",CK324-CJ324,CK324/CJ324-1),""))</f>
        <v/>
      </c>
      <c r="CM324" s="5" t="str">
        <f aca="false">IF(OR(CJ324="",CK324=""),"",IF($F324="Maior Melhor",IF(CK324&gt;=CJ324,"Sim","Não"),IF(CK324&lt;=CJ324,"Sim","Não")))</f>
        <v/>
      </c>
      <c r="CN324" s="14"/>
      <c r="CO324" s="14"/>
      <c r="CP324" s="4" t="str">
        <f aca="false">IF(OR(CN324="",CO324=""),"",IFERROR(IF($K324="%",CO324-CN324,CO324/CN324-1),""))</f>
        <v/>
      </c>
      <c r="CQ324" s="5" t="str">
        <f aca="false">IF(OR(CN324="",CO324=""),"",IF($F324="Maior Melhor",IF(CO324&gt;=CN324,"Sim","Não"),IF(CO324&lt;=CN324,"Sim","Não")))</f>
        <v/>
      </c>
      <c r="CR324" s="2" t="s">
        <v>105</v>
      </c>
    </row>
    <row r="325" customFormat="false" ht="15" hidden="false" customHeight="false" outlineLevel="0" collapsed="false">
      <c r="A325" s="2" t="s">
        <v>151</v>
      </c>
      <c r="B325" s="2" t="s">
        <v>108</v>
      </c>
      <c r="C325" s="2" t="s">
        <v>131</v>
      </c>
      <c r="D325" s="2" t="s">
        <v>196</v>
      </c>
      <c r="E325" s="2" t="str">
        <f aca="false">C325&amp;D325</f>
        <v>UTD VITORIA DA CONQUISTAQuantidade Física de Horas Extras</v>
      </c>
      <c r="F325" s="2" t="s">
        <v>167</v>
      </c>
      <c r="G325" s="2" t="s">
        <v>197</v>
      </c>
      <c r="H325" s="2" t="s">
        <v>102</v>
      </c>
      <c r="I325" s="2" t="s">
        <v>169</v>
      </c>
      <c r="J325" s="2" t="n">
        <v>2</v>
      </c>
      <c r="K325" s="2" t="s">
        <v>198</v>
      </c>
      <c r="L325" s="13" t="n">
        <v>2605.41</v>
      </c>
      <c r="M325" s="13" t="n">
        <v>2546.14</v>
      </c>
      <c r="N325" s="4" t="n">
        <f aca="false">IF(OR(L325="",M325=""),"",IFERROR(IF($K325="%",M325-L325,M325/L325-1),""))</f>
        <v>-0.0227488188039502</v>
      </c>
      <c r="O325" s="5" t="str">
        <f aca="false">IF(OR(L325="",M325=""),"",IF($F325="Maior Melhor",IF(M325&gt;=L325,"Sim","Não"),IF(M325&lt;=L325,"Sim","Não")))</f>
        <v>Sim</v>
      </c>
      <c r="P325" s="13" t="n">
        <v>1846.23</v>
      </c>
      <c r="Q325" s="13" t="n">
        <v>2907.49</v>
      </c>
      <c r="R325" s="4" t="n">
        <f aca="false">IF(OR(P325="",Q325=""),"",IFERROR(IF($K325="%",Q325-P325,Q325/P325-1),""))</f>
        <v>0.574825455116643</v>
      </c>
      <c r="S325" s="5" t="str">
        <f aca="false">IF(OR(P325="",Q325=""),"",IF($F325="Maior Melhor",IF(Q325&gt;=P325,"Sim","Não"),IF(Q325&lt;=P325,"Sim","Não")))</f>
        <v>Não</v>
      </c>
      <c r="T325" s="13" t="n">
        <v>1509.23</v>
      </c>
      <c r="U325" s="13" t="n">
        <v>3770.53</v>
      </c>
      <c r="V325" s="4" t="n">
        <f aca="false">IF(OR(T325="",U325=""),"",IFERROR(IF($K325="%",U325-T325,U325/T325-1),""))</f>
        <v>1.49831370964002</v>
      </c>
      <c r="W325" s="5" t="str">
        <f aca="false">IF(OR(T325="",U325=""),"",IF($F325="Maior Melhor",IF(U325&gt;=T325,"Sim","Não"),IF(U325&lt;=T325,"Sim","Não")))</f>
        <v>Não</v>
      </c>
      <c r="X325" s="13" t="n">
        <v>1967.3</v>
      </c>
      <c r="Y325" s="13" t="n">
        <v>2330.01</v>
      </c>
      <c r="Z325" s="4" t="n">
        <f aca="false">IF(OR(X325="",Y325=""),"",IFERROR(IF($K325="%",Y325-X325,Y325/X325-1),""))</f>
        <v>0.184369440349718</v>
      </c>
      <c r="AA325" s="5" t="str">
        <f aca="false">IF(OR(X325="",Y325=""),"",IF($F325="Maior Melhor",IF(Y325&gt;=X325,"Sim","Não"),IF(Y325&lt;=X325,"Sim","Não")))</f>
        <v>Não</v>
      </c>
      <c r="AB325" s="13" t="n">
        <v>7928.17</v>
      </c>
      <c r="AC325" s="13" t="n">
        <v>11545.17</v>
      </c>
      <c r="AD325" s="4" t="n">
        <f aca="false">IF(OR(AB325="",AC325=""),"",IFERROR(IF($K325="%",AC325-AB325,AC325/AB325-1),""))</f>
        <v>0.456221296970171</v>
      </c>
      <c r="AE325" s="5" t="str">
        <f aca="false">IF(OR(AB325="",AC325=""),"",IF($F325="Maior Melhor",IF(AC325&gt;=AB325,"Sim","Não"),IF(AC325&lt;=AB325,"Sim","Não")))</f>
        <v>Não</v>
      </c>
      <c r="AF325" s="13" t="n">
        <v>2361.29</v>
      </c>
      <c r="AG325" s="13" t="n">
        <v>1926.8</v>
      </c>
      <c r="AH325" s="4" t="n">
        <f aca="false">IF(OR(AF325="",AG325=""),"",IFERROR(IF($K325="%",AG325-AF325,AG325/AF325-1),""))</f>
        <v>-0.184005353006196</v>
      </c>
      <c r="AI325" s="5" t="str">
        <f aca="false">IF(OR(AF325="",AG325=""),"",IF($F325="Maior Melhor",IF(AG325&gt;=AF325,"Sim","Não"),IF(AG325&lt;=AF325,"Sim","Não")))</f>
        <v>Sim</v>
      </c>
      <c r="AJ325" s="13" t="n">
        <v>10289.46</v>
      </c>
      <c r="AK325" s="13" t="n">
        <v>13447.95</v>
      </c>
      <c r="AL325" s="4" t="n">
        <f aca="false">IF(OR(AJ325="",AK325=""),"",IFERROR(IF($K325="%",AK325-AJ325,AK325/AJ325-1),""))</f>
        <v>0.306963630744471</v>
      </c>
      <c r="AM325" s="5" t="str">
        <f aca="false">IF(OR(AJ325="",AK325=""),"",IF($F325="Maior Melhor",IF(AK325&gt;=AJ325,"Sim","Não"),IF(AK325&lt;=AJ325,"Sim","Não")))</f>
        <v>Não</v>
      </c>
      <c r="AN325" s="13" t="n">
        <v>2498.39</v>
      </c>
      <c r="AO325" s="13" t="n">
        <v>1266.8</v>
      </c>
      <c r="AP325" s="4" t="n">
        <f aca="false">IF(OR(AN325="",AO325=""),"",IFERROR(IF($K325="%",AO325-AN325,AO325/AN325-1),""))</f>
        <v>-0.492953462029547</v>
      </c>
      <c r="AQ325" s="5" t="str">
        <f aca="false">IF(OR(AN325="",AO325=""),"",IF($F325="Maior Melhor",IF(AO325&gt;=AN325,"Sim","Não"),IF(AO325&lt;=AN325,"Sim","Não")))</f>
        <v>Sim</v>
      </c>
      <c r="AR325" s="13" t="n">
        <v>12787.85</v>
      </c>
      <c r="AS325" s="13" t="n">
        <v>14672.63</v>
      </c>
      <c r="AT325" s="4" t="n">
        <f aca="false">IF(OR(AR325="",AS325=""),"",IFERROR(IF($K325="%",AS325-AR325,AS325/AR325-1),""))</f>
        <v>0.147388341277072</v>
      </c>
      <c r="AU325" s="5" t="str">
        <f aca="false">IF(OR(AR325="",AS325=""),"",IF($F325="Maior Melhor",IF(AS325&gt;=AR325,"Sim","Não"),IF(AS325&lt;=AR325,"Sim","Não")))</f>
        <v>Não</v>
      </c>
      <c r="AV325" s="13" t="n">
        <v>1865.27</v>
      </c>
      <c r="AW325" s="13" t="n">
        <v>1277.28</v>
      </c>
      <c r="AX325" s="4" t="n">
        <f aca="false">IF(OR(AV325="",AW325=""),"",IFERROR(IF($K325="%",AW325-AV325,AW325/AV325-1),""))</f>
        <v>-0.315230502822648</v>
      </c>
      <c r="AY325" s="5" t="str">
        <f aca="false">IF(OR(AV325="",AW325=""),"",IF($F325="Maior Melhor",IF(AW325&gt;=AV325,"Sim","Não"),IF(AW325&lt;=AV325,"Sim","Não")))</f>
        <v>Sim</v>
      </c>
      <c r="AZ325" s="13" t="n">
        <v>14653.12</v>
      </c>
      <c r="BA325" s="13" t="n">
        <v>15949.91</v>
      </c>
      <c r="BB325" s="4" t="n">
        <f aca="false">IF(OR(AZ325="",BA325=""),"",IFERROR(IF($K325="%",BA325-AZ325,BA325/AZ325-1),""))</f>
        <v>0.0884992411172501</v>
      </c>
      <c r="BC325" s="5" t="str">
        <f aca="false">IF(OR(AZ325="",BA325=""),"",IF($F325="Maior Melhor",IF(BA325&gt;=AZ325,"Sim","Não"),IF(BA325&lt;=AZ325,"Sim","Não")))</f>
        <v>Não</v>
      </c>
      <c r="BD325" s="13" t="n">
        <v>1729.28</v>
      </c>
      <c r="BE325" s="13" t="n">
        <v>999.41</v>
      </c>
      <c r="BF325" s="4" t="n">
        <f aca="false">IF(OR(BD325="",BE325=""),"",IFERROR(IF($K325="%",BE325-BD325,BE325/BD325-1),""))</f>
        <v>-0.422065830866025</v>
      </c>
      <c r="BG325" s="5" t="str">
        <f aca="false">IF(OR(BD325="",BE325=""),"",IF($F325="Maior Melhor",IF(BE325&gt;=BD325,"Sim","Não"),IF(BE325&lt;=BD325,"Sim","Não")))</f>
        <v>Sim</v>
      </c>
      <c r="BH325" s="13" t="n">
        <v>16382.4</v>
      </c>
      <c r="BI325" s="13" t="n">
        <v>16949.32</v>
      </c>
      <c r="BJ325" s="4" t="n">
        <f aca="false">IF(OR(BH325="",BI325=""),"",IFERROR(IF($K325="%",BI325-BH325,BI325/BH325-1),""))</f>
        <v>0.0346054302177947</v>
      </c>
      <c r="BK325" s="5" t="str">
        <f aca="false">IF(OR(BH325="",BI325=""),"",IF($F325="Maior Melhor",IF(BI325&gt;=BH325,"Sim","Não"),IF(BI325&lt;=BH325,"Sim","Não")))</f>
        <v>Não</v>
      </c>
      <c r="BL325" s="14"/>
      <c r="BM325" s="14"/>
      <c r="BN325" s="4" t="str">
        <f aca="false">IF(OR(BL325="",BM325=""),"",IFERROR(IF($K325="%",BM325-BL325,BM325/BL325-1),""))</f>
        <v/>
      </c>
      <c r="BO325" s="5" t="str">
        <f aca="false">IF(OR(BL325="",BM325=""),"",IF($F325="Maior Melhor",IF(BM325&gt;=BL325,"Sim","Não"),IF(BM325&lt;=BL325,"Sim","Não")))</f>
        <v/>
      </c>
      <c r="BP325" s="14"/>
      <c r="BQ325" s="14"/>
      <c r="BR325" s="4" t="str">
        <f aca="false">IF(OR(BP325="",BQ325=""),"",IFERROR(IF($K325="%",BQ325-BP325,BQ325/BP325-1),""))</f>
        <v/>
      </c>
      <c r="BS325" s="5" t="str">
        <f aca="false">IF(OR(BP325="",BQ325=""),"",IF($F325="Maior Melhor",IF(BQ325&gt;=BP325,"Sim","Não"),IF(BQ325&lt;=BP325,"Sim","Não")))</f>
        <v/>
      </c>
      <c r="BT325" s="14"/>
      <c r="BU325" s="14"/>
      <c r="BV325" s="4" t="str">
        <f aca="false">IF(OR(BT325="",BU325=""),"",IFERROR(IF($K325="%",BU325-BT325,BU325/BT325-1),""))</f>
        <v/>
      </c>
      <c r="BW325" s="5" t="str">
        <f aca="false">IF(OR(BT325="",BU325=""),"",IF($F325="Maior Melhor",IF(BU325&gt;=BT325,"Sim","Não"),IF(BU325&lt;=BT325,"Sim","Não")))</f>
        <v/>
      </c>
      <c r="BX325" s="14"/>
      <c r="BY325" s="14"/>
      <c r="BZ325" s="4" t="str">
        <f aca="false">IF(OR(BX325="",BY325=""),"",IFERROR(IF($K325="%",BY325-BX325,BY325/BX325-1),""))</f>
        <v/>
      </c>
      <c r="CA325" s="5" t="str">
        <f aca="false">IF(OR(BX325="",BY325=""),"",IF($F325="Maior Melhor",IF(BY325&gt;=BX325,"Sim","Não"),IF(BY325&lt;=BX325,"Sim","Não")))</f>
        <v/>
      </c>
      <c r="CB325" s="14"/>
      <c r="CC325" s="14"/>
      <c r="CD325" s="4" t="str">
        <f aca="false">IF(OR(CB325="",CC325=""),"",IFERROR(IF($K325="%",CC325-CB325,CC325/CB325-1),""))</f>
        <v/>
      </c>
      <c r="CE325" s="5" t="str">
        <f aca="false">IF(OR(CB325="",CC325=""),"",IF($F325="Maior Melhor",IF(CC325&gt;=CB325,"Sim","Não"),IF(CC325&lt;=CB325,"Sim","Não")))</f>
        <v/>
      </c>
      <c r="CF325" s="14"/>
      <c r="CG325" s="14"/>
      <c r="CH325" s="4" t="str">
        <f aca="false">IF(OR(CF325="",CG325=""),"",IFERROR(IF($K325="%",CG325-CF325,CG325/CF325-1),""))</f>
        <v/>
      </c>
      <c r="CI325" s="5" t="str">
        <f aca="false">IF(OR(CF325="",CG325=""),"",IF($F325="Maior Melhor",IF(CG325&gt;=CF325,"Sim","Não"),IF(CG325&lt;=CF325,"Sim","Não")))</f>
        <v/>
      </c>
      <c r="CJ325" s="14"/>
      <c r="CK325" s="14"/>
      <c r="CL325" s="4" t="str">
        <f aca="false">IF(OR(CJ325="",CK325=""),"",IFERROR(IF($K325="%",CK325-CJ325,CK325/CJ325-1),""))</f>
        <v/>
      </c>
      <c r="CM325" s="5" t="str">
        <f aca="false">IF(OR(CJ325="",CK325=""),"",IF($F325="Maior Melhor",IF(CK325&gt;=CJ325,"Sim","Não"),IF(CK325&lt;=CJ325,"Sim","Não")))</f>
        <v/>
      </c>
      <c r="CN325" s="14"/>
      <c r="CO325" s="14"/>
      <c r="CP325" s="4" t="str">
        <f aca="false">IF(OR(CN325="",CO325=""),"",IFERROR(IF($K325="%",CO325-CN325,CO325/CN325-1),""))</f>
        <v/>
      </c>
      <c r="CQ325" s="5" t="str">
        <f aca="false">IF(OR(CN325="",CO325=""),"",IF($F325="Maior Melhor",IF(CO325&gt;=CN325,"Sim","Não"),IF(CO325&lt;=CN325,"Sim","Não")))</f>
        <v/>
      </c>
      <c r="CR325" s="2" t="s">
        <v>105</v>
      </c>
    </row>
    <row r="326" customFormat="false" ht="15" hidden="false" customHeight="false" outlineLevel="0" collapsed="false">
      <c r="A326" s="2" t="s">
        <v>161</v>
      </c>
      <c r="B326" s="2" t="s">
        <v>97</v>
      </c>
      <c r="C326" s="2" t="s">
        <v>98</v>
      </c>
      <c r="D326" s="2" t="s">
        <v>200</v>
      </c>
      <c r="E326" s="2" t="str">
        <f aca="false">C326&amp;D326</f>
        <v>Gerência Centro OesteServiço atendido no prazo* (Eficácia da Demanda Regulada (Curto Prazo))</v>
      </c>
      <c r="F326" s="2" t="s">
        <v>100</v>
      </c>
      <c r="G326" s="2" t="s">
        <v>201</v>
      </c>
      <c r="H326" s="2" t="s">
        <v>102</v>
      </c>
      <c r="I326" s="2" t="s">
        <v>103</v>
      </c>
      <c r="J326" s="2" t="n">
        <v>3</v>
      </c>
      <c r="K326" s="2" t="s">
        <v>104</v>
      </c>
      <c r="L326" s="3" t="n">
        <v>0.992</v>
      </c>
      <c r="M326" s="3" t="n">
        <v>0.995</v>
      </c>
      <c r="N326" s="4" t="n">
        <f aca="false">IF(OR(L326="",M326=""),"",IFERROR(IF($K326="%",M326-L326,M326/L326-1),""))</f>
        <v>0.003</v>
      </c>
      <c r="O326" s="5" t="str">
        <f aca="false">IF(OR(L326="",M326=""),"",IF($F326="Maior Melhor",IF(M326&gt;=L326,"Sim","Não"),IF(M326&lt;=L326,"Sim","Não")))</f>
        <v>Sim</v>
      </c>
      <c r="P326" s="3" t="n">
        <v>0.992</v>
      </c>
      <c r="Q326" s="3" t="n">
        <v>0.995</v>
      </c>
      <c r="R326" s="4" t="n">
        <f aca="false">IF(OR(P326="",Q326=""),"",IFERROR(IF($K326="%",Q326-P326,Q326/P326-1),""))</f>
        <v>0.003</v>
      </c>
      <c r="S326" s="5" t="str">
        <f aca="false">IF(OR(P326="",Q326=""),"",IF($F326="Maior Melhor",IF(Q326&gt;=P326,"Sim","Não"),IF(Q326&lt;=P326,"Sim","Não")))</f>
        <v>Sim</v>
      </c>
      <c r="T326" s="3" t="n">
        <v>0.992</v>
      </c>
      <c r="U326" s="3" t="n">
        <v>0.991</v>
      </c>
      <c r="V326" s="4" t="n">
        <f aca="false">IF(OR(T326="",U326=""),"",IFERROR(IF($K326="%",U326-T326,U326/T326-1),""))</f>
        <v>-0.001</v>
      </c>
      <c r="W326" s="5" t="str">
        <f aca="false">IF(OR(T326="",U326=""),"",IF($F326="Maior Melhor",IF(U326&gt;=T326,"Sim","Não"),IF(U326&lt;=T326,"Sim","Não")))</f>
        <v>Não</v>
      </c>
      <c r="X326" s="3" t="n">
        <v>0.992</v>
      </c>
      <c r="Y326" s="3" t="n">
        <v>0.996</v>
      </c>
      <c r="Z326" s="4" t="n">
        <f aca="false">IF(OR(X326="",Y326=""),"",IFERROR(IF($K326="%",Y326-X326,Y326/X326-1),""))</f>
        <v>0.004</v>
      </c>
      <c r="AA326" s="5" t="str">
        <f aca="false">IF(OR(X326="",Y326=""),"",IF($F326="Maior Melhor",IF(Y326&gt;=X326,"Sim","Não"),IF(Y326&lt;=X326,"Sim","Não")))</f>
        <v>Sim</v>
      </c>
      <c r="AB326" s="3" t="n">
        <v>0.992</v>
      </c>
      <c r="AC326" s="3" t="n">
        <v>0.9961</v>
      </c>
      <c r="AD326" s="4" t="n">
        <f aca="false">IF(OR(AB326="",AC326=""),"",IFERROR(IF($K326="%",AC326-AB326,AC326/AB326-1),""))</f>
        <v>0.00409999999999999</v>
      </c>
      <c r="AE326" s="5" t="str">
        <f aca="false">IF(OR(AB326="",AC326=""),"",IF($F326="Maior Melhor",IF(AC326&gt;=AB326,"Sim","Não"),IF(AC326&lt;=AB326,"Sim","Não")))</f>
        <v>Sim</v>
      </c>
      <c r="AF326" s="3" t="n">
        <v>0.992</v>
      </c>
      <c r="AG326" s="3" t="n">
        <v>0.996181429</v>
      </c>
      <c r="AH326" s="4" t="n">
        <f aca="false">IF(OR(AF326="",AG326=""),"",IFERROR(IF($K326="%",AG326-AF326,AG326/AF326-1),""))</f>
        <v>0.00418142899999996</v>
      </c>
      <c r="AI326" s="5" t="str">
        <f aca="false">IF(OR(AF326="",AG326=""),"",IF($F326="Maior Melhor",IF(AG326&gt;=AF326,"Sim","Não"),IF(AG326&lt;=AF326,"Sim","Não")))</f>
        <v>Sim</v>
      </c>
      <c r="AJ326" s="3" t="n">
        <v>0.992</v>
      </c>
      <c r="AK326" s="3" t="n">
        <v>0.995337995</v>
      </c>
      <c r="AL326" s="4" t="n">
        <f aca="false">IF(OR(AJ326="",AK326=""),"",IFERROR(IF($K326="%",AK326-AJ326,AK326/AJ326-1),""))</f>
        <v>0.00333799499999998</v>
      </c>
      <c r="AM326" s="5" t="str">
        <f aca="false">IF(OR(AJ326="",AK326=""),"",IF($F326="Maior Melhor",IF(AK326&gt;=AJ326,"Sim","Não"),IF(AK326&lt;=AJ326,"Sim","Não")))</f>
        <v>Sim</v>
      </c>
      <c r="AN326" s="3" t="n">
        <v>0.992</v>
      </c>
      <c r="AO326" s="3" t="n">
        <v>0.996480938</v>
      </c>
      <c r="AP326" s="4" t="n">
        <f aca="false">IF(OR(AN326="",AO326=""),"",IFERROR(IF($K326="%",AO326-AN326,AO326/AN326-1),""))</f>
        <v>0.00448093800000005</v>
      </c>
      <c r="AQ326" s="5" t="str">
        <f aca="false">IF(OR(AN326="",AO326=""),"",IF($F326="Maior Melhor",IF(AO326&gt;=AN326,"Sim","Não"),IF(AO326&lt;=AN326,"Sim","Não")))</f>
        <v>Sim</v>
      </c>
      <c r="AR326" s="3" t="n">
        <v>0.992</v>
      </c>
      <c r="AS326" s="3" t="n">
        <v>0.995540113</v>
      </c>
      <c r="AT326" s="4" t="n">
        <f aca="false">IF(OR(AR326="",AS326=""),"",IFERROR(IF($K326="%",AS326-AR326,AS326/AR326-1),""))</f>
        <v>0.00354011300000001</v>
      </c>
      <c r="AU326" s="5" t="str">
        <f aca="false">IF(OR(AR326="",AS326=""),"",IF($F326="Maior Melhor",IF(AS326&gt;=AR326,"Sim","Não"),IF(AS326&lt;=AR326,"Sim","Não")))</f>
        <v>Sim</v>
      </c>
      <c r="AV326" s="3" t="n">
        <v>0.992</v>
      </c>
      <c r="AW326" s="3" t="n">
        <v>0.997891262</v>
      </c>
      <c r="AX326" s="4" t="n">
        <f aca="false">IF(OR(AV326="",AW326=""),"",IFERROR(IF($K326="%",AW326-AV326,AW326/AV326-1),""))</f>
        <v>0.00589126200000001</v>
      </c>
      <c r="AY326" s="5" t="str">
        <f aca="false">IF(OR(AV326="",AW326=""),"",IF($F326="Maior Melhor",IF(AW326&gt;=AV326,"Sim","Não"),IF(AW326&lt;=AV326,"Sim","Não")))</f>
        <v>Sim</v>
      </c>
      <c r="AZ326" s="3" t="n">
        <v>0.992</v>
      </c>
      <c r="BA326" s="3" t="n">
        <v>0.995738492</v>
      </c>
      <c r="BB326" s="4" t="n">
        <f aca="false">IF(OR(AZ326="",BA326=""),"",IFERROR(IF($K326="%",BA326-AZ326,BA326/AZ326-1),""))</f>
        <v>0.00373849199999998</v>
      </c>
      <c r="BC326" s="5" t="str">
        <f aca="false">IF(OR(AZ326="",BA326=""),"",IF($F326="Maior Melhor",IF(BA326&gt;=AZ326,"Sim","Não"),IF(BA326&lt;=AZ326,"Sim","Não")))</f>
        <v>Sim</v>
      </c>
      <c r="BD326" s="3" t="n">
        <v>0.992</v>
      </c>
      <c r="BE326" s="3" t="n">
        <v>0.998</v>
      </c>
      <c r="BF326" s="4" t="n">
        <f aca="false">IF(OR(BD326="",BE326=""),"",IFERROR(IF($K326="%",BE326-BD326,BE326/BD326-1),""))</f>
        <v>0.00600000000000001</v>
      </c>
      <c r="BG326" s="5" t="str">
        <f aca="false">IF(OR(BD326="",BE326=""),"",IF($F326="Maior Melhor",IF(BE326&gt;=BD326,"Sim","Não"),IF(BE326&lt;=BD326,"Sim","Não")))</f>
        <v>Sim</v>
      </c>
      <c r="BH326" s="3" t="n">
        <v>0.992</v>
      </c>
      <c r="BI326" s="3" t="n">
        <v>0.996</v>
      </c>
      <c r="BJ326" s="4" t="n">
        <f aca="false">IF(OR(BH326="",BI326=""),"",IFERROR(IF($K326="%",BI326-BH326,BI326/BH326-1),""))</f>
        <v>0.004</v>
      </c>
      <c r="BK326" s="5" t="str">
        <f aca="false">IF(OR(BH326="",BI326=""),"",IF($F326="Maior Melhor",IF(BI326&gt;=BH326,"Sim","Não"),IF(BI326&lt;=BH326,"Sim","Não")))</f>
        <v>Sim</v>
      </c>
      <c r="BL326" s="6"/>
      <c r="BM326" s="6"/>
      <c r="BN326" s="4" t="str">
        <f aca="false">IF(OR(BL326="",BM326=""),"",IFERROR(IF($K326="%",BM326-BL326,BM326/BL326-1),""))</f>
        <v/>
      </c>
      <c r="BO326" s="5" t="str">
        <f aca="false">IF(OR(BL326="",BM326=""),"",IF($F326="Maior Melhor",IF(BM326&gt;=BL326,"Sim","Não"),IF(BM326&lt;=BL326,"Sim","Não")))</f>
        <v/>
      </c>
      <c r="BP326" s="6"/>
      <c r="BQ326" s="6"/>
      <c r="BR326" s="4" t="str">
        <f aca="false">IF(OR(BP326="",BQ326=""),"",IFERROR(IF($K326="%",BQ326-BP326,BQ326/BP326-1),""))</f>
        <v/>
      </c>
      <c r="BS326" s="5" t="str">
        <f aca="false">IF(OR(BP326="",BQ326=""),"",IF($F326="Maior Melhor",IF(BQ326&gt;=BP326,"Sim","Não"),IF(BQ326&lt;=BP326,"Sim","Não")))</f>
        <v/>
      </c>
      <c r="BT326" s="6"/>
      <c r="BU326" s="6"/>
      <c r="BV326" s="4" t="str">
        <f aca="false">IF(OR(BT326="",BU326=""),"",IFERROR(IF($K326="%",BU326-BT326,BU326/BT326-1),""))</f>
        <v/>
      </c>
      <c r="BW326" s="5" t="str">
        <f aca="false">IF(OR(BT326="",BU326=""),"",IF($F326="Maior Melhor",IF(BU326&gt;=BT326,"Sim","Não"),IF(BU326&lt;=BT326,"Sim","Não")))</f>
        <v/>
      </c>
      <c r="BX326" s="6"/>
      <c r="BY326" s="6"/>
      <c r="BZ326" s="4" t="str">
        <f aca="false">IF(OR(BX326="",BY326=""),"",IFERROR(IF($K326="%",BY326-BX326,BY326/BX326-1),""))</f>
        <v/>
      </c>
      <c r="CA326" s="5" t="str">
        <f aca="false">IF(OR(BX326="",BY326=""),"",IF($F326="Maior Melhor",IF(BY326&gt;=BX326,"Sim","Não"),IF(BY326&lt;=BX326,"Sim","Não")))</f>
        <v/>
      </c>
      <c r="CB326" s="6"/>
      <c r="CC326" s="6"/>
      <c r="CD326" s="4" t="str">
        <f aca="false">IF(OR(CB326="",CC326=""),"",IFERROR(IF($K326="%",CC326-CB326,CC326/CB326-1),""))</f>
        <v/>
      </c>
      <c r="CE326" s="5" t="str">
        <f aca="false">IF(OR(CB326="",CC326=""),"",IF($F326="Maior Melhor",IF(CC326&gt;=CB326,"Sim","Não"),IF(CC326&lt;=CB326,"Sim","Não")))</f>
        <v/>
      </c>
      <c r="CF326" s="6"/>
      <c r="CG326" s="6"/>
      <c r="CH326" s="4" t="str">
        <f aca="false">IF(OR(CF326="",CG326=""),"",IFERROR(IF($K326="%",CG326-CF326,CG326/CF326-1),""))</f>
        <v/>
      </c>
      <c r="CI326" s="5" t="str">
        <f aca="false">IF(OR(CF326="",CG326=""),"",IF($F326="Maior Melhor",IF(CG326&gt;=CF326,"Sim","Não"),IF(CG326&lt;=CF326,"Sim","Não")))</f>
        <v/>
      </c>
      <c r="CJ326" s="6"/>
      <c r="CK326" s="6"/>
      <c r="CL326" s="4" t="str">
        <f aca="false">IF(OR(CJ326="",CK326=""),"",IFERROR(IF($K326="%",CK326-CJ326,CK326/CJ326-1),""))</f>
        <v/>
      </c>
      <c r="CM326" s="5" t="str">
        <f aca="false">IF(OR(CJ326="",CK326=""),"",IF($F326="Maior Melhor",IF(CK326&gt;=CJ326,"Sim","Não"),IF(CK326&lt;=CJ326,"Sim","Não")))</f>
        <v/>
      </c>
      <c r="CN326" s="6"/>
      <c r="CO326" s="6"/>
      <c r="CP326" s="4" t="str">
        <f aca="false">IF(OR(CN326="",CO326=""),"",IFERROR(IF($K326="%",CO326-CN326,CO326/CN326-1),""))</f>
        <v/>
      </c>
      <c r="CQ326" s="5" t="str">
        <f aca="false">IF(OR(CN326="",CO326=""),"",IF($F326="Maior Melhor",IF(CO326&gt;=CN326,"Sim","Não"),IF(CO326&lt;=CN326,"Sim","Não")))</f>
        <v/>
      </c>
      <c r="CR326" s="2" t="s">
        <v>105</v>
      </c>
    </row>
    <row r="327" customFormat="false" ht="15" hidden="false" customHeight="false" outlineLevel="0" collapsed="false">
      <c r="A327" s="2" t="s">
        <v>161</v>
      </c>
      <c r="B327" s="2" t="s">
        <v>106</v>
      </c>
      <c r="C327" s="2" t="s">
        <v>107</v>
      </c>
      <c r="D327" s="2" t="s">
        <v>200</v>
      </c>
      <c r="E327" s="2" t="str">
        <f aca="false">C327&amp;D327</f>
        <v>Gerência OesteServiço atendido no prazo* (Eficácia da Demanda Regulada (Curto Prazo))</v>
      </c>
      <c r="F327" s="2" t="s">
        <v>100</v>
      </c>
      <c r="G327" s="2" t="s">
        <v>201</v>
      </c>
      <c r="H327" s="2" t="s">
        <v>102</v>
      </c>
      <c r="I327" s="2" t="s">
        <v>103</v>
      </c>
      <c r="J327" s="2" t="n">
        <v>3</v>
      </c>
      <c r="K327" s="2" t="s">
        <v>104</v>
      </c>
      <c r="L327" s="3" t="n">
        <v>0.992</v>
      </c>
      <c r="M327" s="3" t="n">
        <v>0.994</v>
      </c>
      <c r="N327" s="4" t="n">
        <f aca="false">IF(OR(L327="",M327=""),"",IFERROR(IF($K327="%",M327-L327,M327/L327-1),""))</f>
        <v>0.002</v>
      </c>
      <c r="O327" s="5" t="str">
        <f aca="false">IF(OR(L327="",M327=""),"",IF($F327="Maior Melhor",IF(M327&gt;=L327,"Sim","Não"),IF(M327&lt;=L327,"Sim","Não")))</f>
        <v>Sim</v>
      </c>
      <c r="P327" s="3" t="n">
        <v>0.992</v>
      </c>
      <c r="Q327" s="3" t="n">
        <v>0.988</v>
      </c>
      <c r="R327" s="4" t="n">
        <f aca="false">IF(OR(P327="",Q327=""),"",IFERROR(IF($K327="%",Q327-P327,Q327/P327-1),""))</f>
        <v>-0.004</v>
      </c>
      <c r="S327" s="5" t="str">
        <f aca="false">IF(OR(P327="",Q327=""),"",IF($F327="Maior Melhor",IF(Q327&gt;=P327,"Sim","Não"),IF(Q327&lt;=P327,"Sim","Não")))</f>
        <v>Não</v>
      </c>
      <c r="T327" s="3" t="n">
        <v>0.992</v>
      </c>
      <c r="U327" s="3" t="n">
        <v>0.993</v>
      </c>
      <c r="V327" s="4" t="n">
        <f aca="false">IF(OR(T327="",U327=""),"",IFERROR(IF($K327="%",U327-T327,U327/T327-1),""))</f>
        <v>0.001</v>
      </c>
      <c r="W327" s="5" t="str">
        <f aca="false">IF(OR(T327="",U327=""),"",IF($F327="Maior Melhor",IF(U327&gt;=T327,"Sim","Não"),IF(U327&lt;=T327,"Sim","Não")))</f>
        <v>Sim</v>
      </c>
      <c r="X327" s="3" t="n">
        <v>0.992</v>
      </c>
      <c r="Y327" s="3" t="n">
        <v>0.9972</v>
      </c>
      <c r="Z327" s="4" t="n">
        <f aca="false">IF(OR(X327="",Y327=""),"",IFERROR(IF($K327="%",Y327-X327,Y327/X327-1),""))</f>
        <v>0.00519999999999998</v>
      </c>
      <c r="AA327" s="5" t="str">
        <f aca="false">IF(OR(X327="",Y327=""),"",IF($F327="Maior Melhor",IF(Y327&gt;=X327,"Sim","Não"),IF(Y327&lt;=X327,"Sim","Não")))</f>
        <v>Sim</v>
      </c>
      <c r="AB327" s="3" t="n">
        <v>0.992</v>
      </c>
      <c r="AC327" s="3" t="n">
        <v>0.9971</v>
      </c>
      <c r="AD327" s="4" t="n">
        <f aca="false">IF(OR(AB327="",AC327=""),"",IFERROR(IF($K327="%",AC327-AB327,AC327/AB327-1),""))</f>
        <v>0.00509999999999999</v>
      </c>
      <c r="AE327" s="5" t="str">
        <f aca="false">IF(OR(AB327="",AC327=""),"",IF($F327="Maior Melhor",IF(AC327&gt;=AB327,"Sim","Não"),IF(AC327&lt;=AB327,"Sim","Não")))</f>
        <v>Sim</v>
      </c>
      <c r="AF327" s="3" t="n">
        <v>0.992</v>
      </c>
      <c r="AG327" s="3" t="n">
        <v>0.996015002</v>
      </c>
      <c r="AH327" s="4" t="n">
        <f aca="false">IF(OR(AF327="",AG327=""),"",IFERROR(IF($K327="%",AG327-AF327,AG327/AF327-1),""))</f>
        <v>0.00401500200000005</v>
      </c>
      <c r="AI327" s="5" t="str">
        <f aca="false">IF(OR(AF327="",AG327=""),"",IF($F327="Maior Melhor",IF(AG327&gt;=AF327,"Sim","Não"),IF(AG327&lt;=AF327,"Sim","Não")))</f>
        <v>Sim</v>
      </c>
      <c r="AJ327" s="3" t="n">
        <v>0.992</v>
      </c>
      <c r="AK327" s="3" t="n">
        <v>0.99356316</v>
      </c>
      <c r="AL327" s="4" t="n">
        <f aca="false">IF(OR(AJ327="",AK327=""),"",IFERROR(IF($K327="%",AK327-AJ327,AK327/AJ327-1),""))</f>
        <v>0.00156316000000001</v>
      </c>
      <c r="AM327" s="5" t="str">
        <f aca="false">IF(OR(AJ327="",AK327=""),"",IF($F327="Maior Melhor",IF(AK327&gt;=AJ327,"Sim","Não"),IF(AK327&lt;=AJ327,"Sim","Não")))</f>
        <v>Sim</v>
      </c>
      <c r="AN327" s="3" t="n">
        <v>0.992</v>
      </c>
      <c r="AO327" s="3" t="n">
        <v>0.998041023</v>
      </c>
      <c r="AP327" s="4" t="n">
        <f aca="false">IF(OR(AN327="",AO327=""),"",IFERROR(IF($K327="%",AO327-AN327,AO327/AN327-1),""))</f>
        <v>0.00604102299999998</v>
      </c>
      <c r="AQ327" s="5" t="str">
        <f aca="false">IF(OR(AN327="",AO327=""),"",IF($F327="Maior Melhor",IF(AO327&gt;=AN327,"Sim","Não"),IF(AO327&lt;=AN327,"Sim","Não")))</f>
        <v>Sim</v>
      </c>
      <c r="AR327" s="3" t="n">
        <v>0.992</v>
      </c>
      <c r="AS327" s="3" t="n">
        <v>0.994373007</v>
      </c>
      <c r="AT327" s="4" t="n">
        <f aca="false">IF(OR(AR327="",AS327=""),"",IFERROR(IF($K327="%",AS327-AR327,AS327/AR327-1),""))</f>
        <v>0.00237300699999998</v>
      </c>
      <c r="AU327" s="5" t="str">
        <f aca="false">IF(OR(AR327="",AS327=""),"",IF($F327="Maior Melhor",IF(AS327&gt;=AR327,"Sim","Não"),IF(AS327&lt;=AR327,"Sim","Não")))</f>
        <v>Sim</v>
      </c>
      <c r="AV327" s="3" t="n">
        <v>0.992</v>
      </c>
      <c r="AW327" s="3" t="n">
        <v>0.998947368</v>
      </c>
      <c r="AX327" s="4" t="n">
        <f aca="false">IF(OR(AV327="",AW327=""),"",IFERROR(IF($K327="%",AW327-AV327,AW327/AV327-1),""))</f>
        <v>0.00694736799999995</v>
      </c>
      <c r="AY327" s="5" t="str">
        <f aca="false">IF(OR(AV327="",AW327=""),"",IF($F327="Maior Melhor",IF(AW327&gt;=AV327,"Sim","Não"),IF(AW327&lt;=AV327,"Sim","Não")))</f>
        <v>Sim</v>
      </c>
      <c r="AZ327" s="3" t="n">
        <v>0.992</v>
      </c>
      <c r="BA327" s="3" t="n">
        <v>0.994832716</v>
      </c>
      <c r="BB327" s="4" t="n">
        <f aca="false">IF(OR(AZ327="",BA327=""),"",IFERROR(IF($K327="%",BA327-AZ327,BA327/AZ327-1),""))</f>
        <v>0.00283271600000001</v>
      </c>
      <c r="BC327" s="5" t="str">
        <f aca="false">IF(OR(AZ327="",BA327=""),"",IF($F327="Maior Melhor",IF(BA327&gt;=AZ327,"Sim","Não"),IF(BA327&lt;=AZ327,"Sim","Não")))</f>
        <v>Sim</v>
      </c>
      <c r="BD327" s="3" t="n">
        <v>0.992</v>
      </c>
      <c r="BE327" s="3" t="n">
        <v>0.999</v>
      </c>
      <c r="BF327" s="4" t="n">
        <f aca="false">IF(OR(BD327="",BE327=""),"",IFERROR(IF($K327="%",BE327-BD327,BE327/BD327-1),""))</f>
        <v>0.00700000000000001</v>
      </c>
      <c r="BG327" s="5" t="str">
        <f aca="false">IF(OR(BD327="",BE327=""),"",IF($F327="Maior Melhor",IF(BE327&gt;=BD327,"Sim","Não"),IF(BE327&lt;=BD327,"Sim","Não")))</f>
        <v>Sim</v>
      </c>
      <c r="BH327" s="3" t="n">
        <v>0.992</v>
      </c>
      <c r="BI327" s="3" t="n">
        <v>0.995</v>
      </c>
      <c r="BJ327" s="4" t="n">
        <f aca="false">IF(OR(BH327="",BI327=""),"",IFERROR(IF($K327="%",BI327-BH327,BI327/BH327-1),""))</f>
        <v>0.003</v>
      </c>
      <c r="BK327" s="5" t="str">
        <f aca="false">IF(OR(BH327="",BI327=""),"",IF($F327="Maior Melhor",IF(BI327&gt;=BH327,"Sim","Não"),IF(BI327&lt;=BH327,"Sim","Não")))</f>
        <v>Sim</v>
      </c>
      <c r="BL327" s="6"/>
      <c r="BM327" s="6"/>
      <c r="BN327" s="4" t="str">
        <f aca="false">IF(OR(BL327="",BM327=""),"",IFERROR(IF($K327="%",BM327-BL327,BM327/BL327-1),""))</f>
        <v/>
      </c>
      <c r="BO327" s="5" t="str">
        <f aca="false">IF(OR(BL327="",BM327=""),"",IF($F327="Maior Melhor",IF(BM327&gt;=BL327,"Sim","Não"),IF(BM327&lt;=BL327,"Sim","Não")))</f>
        <v/>
      </c>
      <c r="BP327" s="6"/>
      <c r="BQ327" s="6"/>
      <c r="BR327" s="4" t="str">
        <f aca="false">IF(OR(BP327="",BQ327=""),"",IFERROR(IF($K327="%",BQ327-BP327,BQ327/BP327-1),""))</f>
        <v/>
      </c>
      <c r="BS327" s="5" t="str">
        <f aca="false">IF(OR(BP327="",BQ327=""),"",IF($F327="Maior Melhor",IF(BQ327&gt;=BP327,"Sim","Não"),IF(BQ327&lt;=BP327,"Sim","Não")))</f>
        <v/>
      </c>
      <c r="BT327" s="6"/>
      <c r="BU327" s="6"/>
      <c r="BV327" s="4" t="str">
        <f aca="false">IF(OR(BT327="",BU327=""),"",IFERROR(IF($K327="%",BU327-BT327,BU327/BT327-1),""))</f>
        <v/>
      </c>
      <c r="BW327" s="5" t="str">
        <f aca="false">IF(OR(BT327="",BU327=""),"",IF($F327="Maior Melhor",IF(BU327&gt;=BT327,"Sim","Não"),IF(BU327&lt;=BT327,"Sim","Não")))</f>
        <v/>
      </c>
      <c r="BX327" s="6"/>
      <c r="BY327" s="6"/>
      <c r="BZ327" s="4" t="str">
        <f aca="false">IF(OR(BX327="",BY327=""),"",IFERROR(IF($K327="%",BY327-BX327,BY327/BX327-1),""))</f>
        <v/>
      </c>
      <c r="CA327" s="5" t="str">
        <f aca="false">IF(OR(BX327="",BY327=""),"",IF($F327="Maior Melhor",IF(BY327&gt;=BX327,"Sim","Não"),IF(BY327&lt;=BX327,"Sim","Não")))</f>
        <v/>
      </c>
      <c r="CB327" s="6"/>
      <c r="CC327" s="6"/>
      <c r="CD327" s="4" t="str">
        <f aca="false">IF(OR(CB327="",CC327=""),"",IFERROR(IF($K327="%",CC327-CB327,CC327/CB327-1),""))</f>
        <v/>
      </c>
      <c r="CE327" s="5" t="str">
        <f aca="false">IF(OR(CB327="",CC327=""),"",IF($F327="Maior Melhor",IF(CC327&gt;=CB327,"Sim","Não"),IF(CC327&lt;=CB327,"Sim","Não")))</f>
        <v/>
      </c>
      <c r="CF327" s="6"/>
      <c r="CG327" s="6"/>
      <c r="CH327" s="4" t="str">
        <f aca="false">IF(OR(CF327="",CG327=""),"",IFERROR(IF($K327="%",CG327-CF327,CG327/CF327-1),""))</f>
        <v/>
      </c>
      <c r="CI327" s="5" t="str">
        <f aca="false">IF(OR(CF327="",CG327=""),"",IF($F327="Maior Melhor",IF(CG327&gt;=CF327,"Sim","Não"),IF(CG327&lt;=CF327,"Sim","Não")))</f>
        <v/>
      </c>
      <c r="CJ327" s="6"/>
      <c r="CK327" s="6"/>
      <c r="CL327" s="4" t="str">
        <f aca="false">IF(OR(CJ327="",CK327=""),"",IFERROR(IF($K327="%",CK327-CJ327,CK327/CJ327-1),""))</f>
        <v/>
      </c>
      <c r="CM327" s="5" t="str">
        <f aca="false">IF(OR(CJ327="",CK327=""),"",IF($F327="Maior Melhor",IF(CK327&gt;=CJ327,"Sim","Não"),IF(CK327&lt;=CJ327,"Sim","Não")))</f>
        <v/>
      </c>
      <c r="CN327" s="6"/>
      <c r="CO327" s="6"/>
      <c r="CP327" s="4" t="str">
        <f aca="false">IF(OR(CN327="",CO327=""),"",IFERROR(IF($K327="%",CO327-CN327,CO327/CN327-1),""))</f>
        <v/>
      </c>
      <c r="CQ327" s="5" t="str">
        <f aca="false">IF(OR(CN327="",CO327=""),"",IF($F327="Maior Melhor",IF(CO327&gt;=CN327,"Sim","Não"),IF(CO327&lt;=CN327,"Sim","Não")))</f>
        <v/>
      </c>
      <c r="CR327" s="2" t="s">
        <v>105</v>
      </c>
    </row>
    <row r="328" customFormat="false" ht="15" hidden="false" customHeight="false" outlineLevel="0" collapsed="false">
      <c r="A328" s="2" t="s">
        <v>161</v>
      </c>
      <c r="B328" s="2" t="s">
        <v>108</v>
      </c>
      <c r="C328" s="2" t="s">
        <v>109</v>
      </c>
      <c r="D328" s="2" t="s">
        <v>200</v>
      </c>
      <c r="E328" s="2" t="str">
        <f aca="false">C328&amp;D328</f>
        <v>Gerência SudoesteServiço atendido no prazo* (Eficácia da Demanda Regulada (Curto Prazo))</v>
      </c>
      <c r="F328" s="2" t="s">
        <v>100</v>
      </c>
      <c r="G328" s="2" t="s">
        <v>201</v>
      </c>
      <c r="H328" s="2" t="s">
        <v>102</v>
      </c>
      <c r="I328" s="2" t="s">
        <v>103</v>
      </c>
      <c r="J328" s="2" t="n">
        <v>3</v>
      </c>
      <c r="K328" s="2" t="s">
        <v>104</v>
      </c>
      <c r="L328" s="3" t="n">
        <v>0.992</v>
      </c>
      <c r="M328" s="3" t="n">
        <v>0.977</v>
      </c>
      <c r="N328" s="4" t="n">
        <f aca="false">IF(OR(L328="",M328=""),"",IFERROR(IF($K328="%",M328-L328,M328/L328-1),""))</f>
        <v>-0.015</v>
      </c>
      <c r="O328" s="5" t="str">
        <f aca="false">IF(OR(L328="",M328=""),"",IF($F328="Maior Melhor",IF(M328&gt;=L328,"Sim","Não"),IF(M328&lt;=L328,"Sim","Não")))</f>
        <v>Não</v>
      </c>
      <c r="P328" s="3" t="n">
        <v>0.992</v>
      </c>
      <c r="Q328" s="3" t="n">
        <v>0.988</v>
      </c>
      <c r="R328" s="4" t="n">
        <f aca="false">IF(OR(P328="",Q328=""),"",IFERROR(IF($K328="%",Q328-P328,Q328/P328-1),""))</f>
        <v>-0.004</v>
      </c>
      <c r="S328" s="5" t="str">
        <f aca="false">IF(OR(P328="",Q328=""),"",IF($F328="Maior Melhor",IF(Q328&gt;=P328,"Sim","Não"),IF(Q328&lt;=P328,"Sim","Não")))</f>
        <v>Não</v>
      </c>
      <c r="T328" s="3" t="n">
        <v>0.992</v>
      </c>
      <c r="U328" s="3" t="n">
        <v>0.992</v>
      </c>
      <c r="V328" s="4" t="n">
        <f aca="false">IF(OR(T328="",U328=""),"",IFERROR(IF($K328="%",U328-T328,U328/T328-1),""))</f>
        <v>0</v>
      </c>
      <c r="W328" s="5" t="str">
        <f aca="false">IF(OR(T328="",U328=""),"",IF($F328="Maior Melhor",IF(U328&gt;=T328,"Sim","Não"),IF(U328&lt;=T328,"Sim","Não")))</f>
        <v>Sim</v>
      </c>
      <c r="X328" s="3" t="n">
        <v>0.992</v>
      </c>
      <c r="Y328" s="3" t="n">
        <v>0.9956</v>
      </c>
      <c r="Z328" s="4" t="n">
        <f aca="false">IF(OR(X328="",Y328=""),"",IFERROR(IF($K328="%",Y328-X328,Y328/X328-1),""))</f>
        <v>0.00360000000000005</v>
      </c>
      <c r="AA328" s="5" t="str">
        <f aca="false">IF(OR(X328="",Y328=""),"",IF($F328="Maior Melhor",IF(Y328&gt;=X328,"Sim","Não"),IF(Y328&lt;=X328,"Sim","Não")))</f>
        <v>Sim</v>
      </c>
      <c r="AB328" s="3" t="n">
        <v>0.992</v>
      </c>
      <c r="AC328" s="3" t="n">
        <v>0.9958</v>
      </c>
      <c r="AD328" s="4" t="n">
        <f aca="false">IF(OR(AB328="",AC328=""),"",IFERROR(IF($K328="%",AC328-AB328,AC328/AB328-1),""))</f>
        <v>0.00380000000000003</v>
      </c>
      <c r="AE328" s="5" t="str">
        <f aca="false">IF(OR(AB328="",AC328=""),"",IF($F328="Maior Melhor",IF(AC328&gt;=AB328,"Sim","Não"),IF(AC328&lt;=AB328,"Sim","Não")))</f>
        <v>Sim</v>
      </c>
      <c r="AF328" s="3" t="n">
        <v>0.992</v>
      </c>
      <c r="AG328" s="3" t="n">
        <v>0.991453694</v>
      </c>
      <c r="AH328" s="4" t="n">
        <f aca="false">IF(OR(AF328="",AG328=""),"",IFERROR(IF($K328="%",AG328-AF328,AG328/AF328-1),""))</f>
        <v>-0.000546305999999941</v>
      </c>
      <c r="AI328" s="5" t="str">
        <f aca="false">IF(OR(AF328="",AG328=""),"",IF($F328="Maior Melhor",IF(AG328&gt;=AF328,"Sim","Não"),IF(AG328&lt;=AF328,"Sim","Não")))</f>
        <v>Não</v>
      </c>
      <c r="AJ328" s="3" t="n">
        <v>0.992</v>
      </c>
      <c r="AK328" s="3" t="n">
        <v>0.989331603</v>
      </c>
      <c r="AL328" s="4" t="n">
        <f aca="false">IF(OR(AJ328="",AK328=""),"",IFERROR(IF($K328="%",AK328-AJ328,AK328/AJ328-1),""))</f>
        <v>-0.00266839699999999</v>
      </c>
      <c r="AM328" s="5" t="str">
        <f aca="false">IF(OR(AJ328="",AK328=""),"",IF($F328="Maior Melhor",IF(AK328&gt;=AJ328,"Sim","Não"),IF(AK328&lt;=AJ328,"Sim","Não")))</f>
        <v>Não</v>
      </c>
      <c r="AN328" s="3" t="n">
        <v>0.992</v>
      </c>
      <c r="AO328" s="3" t="n">
        <v>0.997034194</v>
      </c>
      <c r="AP328" s="4" t="n">
        <f aca="false">IF(OR(AN328="",AO328=""),"",IFERROR(IF($K328="%",AO328-AN328,AO328/AN328-1),""))</f>
        <v>0.00503419400000005</v>
      </c>
      <c r="AQ328" s="5" t="str">
        <f aca="false">IF(OR(AN328="",AO328=""),"",IF($F328="Maior Melhor",IF(AO328&gt;=AN328,"Sim","Não"),IF(AO328&lt;=AN328,"Sim","Não")))</f>
        <v>Sim</v>
      </c>
      <c r="AR328" s="3" t="n">
        <v>0.992</v>
      </c>
      <c r="AS328" s="3" t="n">
        <v>0.990650437</v>
      </c>
      <c r="AT328" s="4" t="n">
        <f aca="false">IF(OR(AR328="",AS328=""),"",IFERROR(IF($K328="%",AS328-AR328,AS328/AR328-1),""))</f>
        <v>-0.001349563</v>
      </c>
      <c r="AU328" s="5" t="str">
        <f aca="false">IF(OR(AR328="",AS328=""),"",IF($F328="Maior Melhor",IF(AS328&gt;=AR328,"Sim","Não"),IF(AS328&lt;=AR328,"Sim","Não")))</f>
        <v>Não</v>
      </c>
      <c r="AV328" s="3" t="n">
        <v>0.992</v>
      </c>
      <c r="AW328" s="3" t="n">
        <v>0.997010934</v>
      </c>
      <c r="AX328" s="4" t="n">
        <f aca="false">IF(OR(AV328="",AW328=""),"",IFERROR(IF($K328="%",AW328-AV328,AW328/AV328-1),""))</f>
        <v>0.00501093399999997</v>
      </c>
      <c r="AY328" s="5" t="str">
        <f aca="false">IF(OR(AV328="",AW328=""),"",IF($F328="Maior Melhor",IF(AW328&gt;=AV328,"Sim","Não"),IF(AW328&lt;=AV328,"Sim","Não")))</f>
        <v>Sim</v>
      </c>
      <c r="AZ328" s="3" t="n">
        <v>0.992</v>
      </c>
      <c r="BA328" s="3" t="n">
        <v>0.991564359</v>
      </c>
      <c r="BB328" s="4" t="n">
        <f aca="false">IF(OR(AZ328="",BA328=""),"",IFERROR(IF($K328="%",BA328-AZ328,BA328/AZ328-1),""))</f>
        <v>-0.000435641000000042</v>
      </c>
      <c r="BC328" s="5" t="str">
        <f aca="false">IF(OR(AZ328="",BA328=""),"",IF($F328="Maior Melhor",IF(BA328&gt;=AZ328,"Sim","Não"),IF(BA328&lt;=AZ328,"Sim","Não")))</f>
        <v>Não</v>
      </c>
      <c r="BD328" s="3" t="n">
        <v>0.992</v>
      </c>
      <c r="BE328" s="3" t="n">
        <v>0.996</v>
      </c>
      <c r="BF328" s="4" t="n">
        <f aca="false">IF(OR(BD328="",BE328=""),"",IFERROR(IF($K328="%",BE328-BD328,BE328/BD328-1),""))</f>
        <v>0.004</v>
      </c>
      <c r="BG328" s="5" t="str">
        <f aca="false">IF(OR(BD328="",BE328=""),"",IF($F328="Maior Melhor",IF(BE328&gt;=BD328,"Sim","Não"),IF(BE328&lt;=BD328,"Sim","Não")))</f>
        <v>Sim</v>
      </c>
      <c r="BH328" s="3" t="n">
        <v>0.992</v>
      </c>
      <c r="BI328" s="3" t="n">
        <v>0.992</v>
      </c>
      <c r="BJ328" s="4" t="n">
        <f aca="false">IF(OR(BH328="",BI328=""),"",IFERROR(IF($K328="%",BI328-BH328,BI328/BH328-1),""))</f>
        <v>0</v>
      </c>
      <c r="BK328" s="5" t="str">
        <f aca="false">IF(OR(BH328="",BI328=""),"",IF($F328="Maior Melhor",IF(BI328&gt;=BH328,"Sim","Não"),IF(BI328&lt;=BH328,"Sim","Não")))</f>
        <v>Sim</v>
      </c>
      <c r="BL328" s="6"/>
      <c r="BM328" s="6"/>
      <c r="BN328" s="4" t="str">
        <f aca="false">IF(OR(BL328="",BM328=""),"",IFERROR(IF($K328="%",BM328-BL328,BM328/BL328-1),""))</f>
        <v/>
      </c>
      <c r="BO328" s="5" t="str">
        <f aca="false">IF(OR(BL328="",BM328=""),"",IF($F328="Maior Melhor",IF(BM328&gt;=BL328,"Sim","Não"),IF(BM328&lt;=BL328,"Sim","Não")))</f>
        <v/>
      </c>
      <c r="BP328" s="6"/>
      <c r="BQ328" s="6"/>
      <c r="BR328" s="4" t="str">
        <f aca="false">IF(OR(BP328="",BQ328=""),"",IFERROR(IF($K328="%",BQ328-BP328,BQ328/BP328-1),""))</f>
        <v/>
      </c>
      <c r="BS328" s="5" t="str">
        <f aca="false">IF(OR(BP328="",BQ328=""),"",IF($F328="Maior Melhor",IF(BQ328&gt;=BP328,"Sim","Não"),IF(BQ328&lt;=BP328,"Sim","Não")))</f>
        <v/>
      </c>
      <c r="BT328" s="6"/>
      <c r="BU328" s="6"/>
      <c r="BV328" s="4" t="str">
        <f aca="false">IF(OR(BT328="",BU328=""),"",IFERROR(IF($K328="%",BU328-BT328,BU328/BT328-1),""))</f>
        <v/>
      </c>
      <c r="BW328" s="5" t="str">
        <f aca="false">IF(OR(BT328="",BU328=""),"",IF($F328="Maior Melhor",IF(BU328&gt;=BT328,"Sim","Não"),IF(BU328&lt;=BT328,"Sim","Não")))</f>
        <v/>
      </c>
      <c r="BX328" s="6"/>
      <c r="BY328" s="6"/>
      <c r="BZ328" s="4" t="str">
        <f aca="false">IF(OR(BX328="",BY328=""),"",IFERROR(IF($K328="%",BY328-BX328,BY328/BX328-1),""))</f>
        <v/>
      </c>
      <c r="CA328" s="5" t="str">
        <f aca="false">IF(OR(BX328="",BY328=""),"",IF($F328="Maior Melhor",IF(BY328&gt;=BX328,"Sim","Não"),IF(BY328&lt;=BX328,"Sim","Não")))</f>
        <v/>
      </c>
      <c r="CB328" s="6"/>
      <c r="CC328" s="6"/>
      <c r="CD328" s="4" t="str">
        <f aca="false">IF(OR(CB328="",CC328=""),"",IFERROR(IF($K328="%",CC328-CB328,CC328/CB328-1),""))</f>
        <v/>
      </c>
      <c r="CE328" s="5" t="str">
        <f aca="false">IF(OR(CB328="",CC328=""),"",IF($F328="Maior Melhor",IF(CC328&gt;=CB328,"Sim","Não"),IF(CC328&lt;=CB328,"Sim","Não")))</f>
        <v/>
      </c>
      <c r="CF328" s="6"/>
      <c r="CG328" s="6"/>
      <c r="CH328" s="4" t="str">
        <f aca="false">IF(OR(CF328="",CG328=""),"",IFERROR(IF($K328="%",CG328-CF328,CG328/CF328-1),""))</f>
        <v/>
      </c>
      <c r="CI328" s="5" t="str">
        <f aca="false">IF(OR(CF328="",CG328=""),"",IF($F328="Maior Melhor",IF(CG328&gt;=CF328,"Sim","Não"),IF(CG328&lt;=CF328,"Sim","Não")))</f>
        <v/>
      </c>
      <c r="CJ328" s="6"/>
      <c r="CK328" s="6"/>
      <c r="CL328" s="4" t="str">
        <f aca="false">IF(OR(CJ328="",CK328=""),"",IFERROR(IF($K328="%",CK328-CJ328,CK328/CJ328-1),""))</f>
        <v/>
      </c>
      <c r="CM328" s="5" t="str">
        <f aca="false">IF(OR(CJ328="",CK328=""),"",IF($F328="Maior Melhor",IF(CK328&gt;=CJ328,"Sim","Não"),IF(CK328&lt;=CJ328,"Sim","Não")))</f>
        <v/>
      </c>
      <c r="CN328" s="6"/>
      <c r="CO328" s="6"/>
      <c r="CP328" s="4" t="str">
        <f aca="false">IF(OR(CN328="",CO328=""),"",IFERROR(IF($K328="%",CO328-CN328,CO328/CN328-1),""))</f>
        <v/>
      </c>
      <c r="CQ328" s="5" t="str">
        <f aca="false">IF(OR(CN328="",CO328=""),"",IF($F328="Maior Melhor",IF(CO328&gt;=CN328,"Sim","Não"),IF(CO328&lt;=CN328,"Sim","Não")))</f>
        <v/>
      </c>
      <c r="CR328" s="2" t="s">
        <v>105</v>
      </c>
    </row>
    <row r="329" customFormat="false" ht="15" hidden="false" customHeight="false" outlineLevel="0" collapsed="false">
      <c r="A329" s="2" t="s">
        <v>161</v>
      </c>
      <c r="B329" s="2" t="s">
        <v>110</v>
      </c>
      <c r="C329" s="2" t="s">
        <v>110</v>
      </c>
      <c r="D329" s="2" t="s">
        <v>200</v>
      </c>
      <c r="E329" s="2" t="str">
        <f aca="false">C329&amp;D329</f>
        <v>Sup OesteServiço atendido no prazo* (Eficácia da Demanda Regulada (Curto Prazo))</v>
      </c>
      <c r="F329" s="2" t="s">
        <v>100</v>
      </c>
      <c r="G329" s="2" t="s">
        <v>201</v>
      </c>
      <c r="H329" s="2" t="s">
        <v>102</v>
      </c>
      <c r="I329" s="2" t="s">
        <v>103</v>
      </c>
      <c r="J329" s="2" t="n">
        <v>3</v>
      </c>
      <c r="K329" s="2" t="s">
        <v>104</v>
      </c>
      <c r="L329" s="3" t="n">
        <v>0.992</v>
      </c>
      <c r="M329" s="3" t="n">
        <v>0.987</v>
      </c>
      <c r="N329" s="4" t="n">
        <f aca="false">IF(OR(L329="",M329=""),"",IFERROR(IF($K329="%",M329-L329,M329/L329-1),""))</f>
        <v>-0.005</v>
      </c>
      <c r="O329" s="5" t="str">
        <f aca="false">IF(OR(L329="",M329=""),"",IF($F329="Maior Melhor",IF(M329&gt;=L329,"Sim","Não"),IF(M329&lt;=L329,"Sim","Não")))</f>
        <v>Não</v>
      </c>
      <c r="P329" s="3" t="n">
        <v>0.992</v>
      </c>
      <c r="Q329" s="3" t="n">
        <v>0.99</v>
      </c>
      <c r="R329" s="4" t="n">
        <f aca="false">IF(OR(P329="",Q329=""),"",IFERROR(IF($K329="%",Q329-P329,Q329/P329-1),""))</f>
        <v>-0.002</v>
      </c>
      <c r="S329" s="5" t="str">
        <f aca="false">IF(OR(P329="",Q329=""),"",IF($F329="Maior Melhor",IF(Q329&gt;=P329,"Sim","Não"),IF(Q329&lt;=P329,"Sim","Não")))</f>
        <v>Não</v>
      </c>
      <c r="T329" s="3" t="n">
        <v>0.992</v>
      </c>
      <c r="U329" s="3" t="n">
        <v>0.992</v>
      </c>
      <c r="V329" s="4" t="n">
        <f aca="false">IF(OR(T329="",U329=""),"",IFERROR(IF($K329="%",U329-T329,U329/T329-1),""))</f>
        <v>0</v>
      </c>
      <c r="W329" s="5" t="str">
        <f aca="false">IF(OR(T329="",U329=""),"",IF($F329="Maior Melhor",IF(U329&gt;=T329,"Sim","Não"),IF(U329&lt;=T329,"Sim","Não")))</f>
        <v>Sim</v>
      </c>
      <c r="X329" s="3" t="n">
        <v>0.992</v>
      </c>
      <c r="Y329" s="3" t="n">
        <v>0.9962</v>
      </c>
      <c r="Z329" s="4" t="n">
        <f aca="false">IF(OR(X329="",Y329=""),"",IFERROR(IF($K329="%",Y329-X329,Y329/X329-1),""))</f>
        <v>0.00419999999999998</v>
      </c>
      <c r="AA329" s="5" t="str">
        <f aca="false">IF(OR(X329="",Y329=""),"",IF($F329="Maior Melhor",IF(Y329&gt;=X329,"Sim","Não"),IF(Y329&lt;=X329,"Sim","Não")))</f>
        <v>Sim</v>
      </c>
      <c r="AB329" s="3" t="n">
        <v>0.992</v>
      </c>
      <c r="AC329" s="3" t="n">
        <v>0.9963</v>
      </c>
      <c r="AD329" s="4" t="n">
        <f aca="false">IF(OR(AB329="",AC329=""),"",IFERROR(IF($K329="%",AC329-AB329,AC329/AB329-1),""))</f>
        <v>0.00429999999999997</v>
      </c>
      <c r="AE329" s="5" t="str">
        <f aca="false">IF(OR(AB329="",AC329=""),"",IF($F329="Maior Melhor",IF(AC329&gt;=AB329,"Sim","Não"),IF(AC329&lt;=AB329,"Sim","Não")))</f>
        <v>Sim</v>
      </c>
      <c r="AF329" s="3" t="n">
        <v>0.992</v>
      </c>
      <c r="AG329" s="3" t="n">
        <v>0.994306254</v>
      </c>
      <c r="AH329" s="4" t="n">
        <f aca="false">IF(OR(AF329="",AG329=""),"",IFERROR(IF($K329="%",AG329-AF329,AG329/AF329-1),""))</f>
        <v>0.00230625399999995</v>
      </c>
      <c r="AI329" s="5" t="str">
        <f aca="false">IF(OR(AF329="",AG329=""),"",IF($F329="Maior Melhor",IF(AG329&gt;=AF329,"Sim","Não"),IF(AG329&lt;=AF329,"Sim","Não")))</f>
        <v>Sim</v>
      </c>
      <c r="AJ329" s="3" t="n">
        <v>0.992</v>
      </c>
      <c r="AK329" s="3" t="n">
        <v>0.992507812</v>
      </c>
      <c r="AL329" s="4" t="n">
        <f aca="false">IF(OR(AJ329="",AK329=""),"",IFERROR(IF($K329="%",AK329-AJ329,AK329/AJ329-1),""))</f>
        <v>0.000507812000000052</v>
      </c>
      <c r="AM329" s="5" t="str">
        <f aca="false">IF(OR(AJ329="",AK329=""),"",IF($F329="Maior Melhor",IF(AK329&gt;=AJ329,"Sim","Não"),IF(AK329&lt;=AJ329,"Sim","Não")))</f>
        <v>Sim</v>
      </c>
      <c r="AN329" s="3" t="n">
        <v>0.992</v>
      </c>
      <c r="AO329" s="3" t="n">
        <v>0.99713552</v>
      </c>
      <c r="AP329" s="4" t="n">
        <f aca="false">IF(OR(AN329="",AO329=""),"",IFERROR(IF($K329="%",AO329-AN329,AO329/AN329-1),""))</f>
        <v>0.00513552000000006</v>
      </c>
      <c r="AQ329" s="5" t="str">
        <f aca="false">IF(OR(AN329="",AO329=""),"",IF($F329="Maior Melhor",IF(AO329&gt;=AN329,"Sim","Não"),IF(AO329&lt;=AN329,"Sim","Não")))</f>
        <v>Sim</v>
      </c>
      <c r="AR329" s="3" t="n">
        <v>0.992</v>
      </c>
      <c r="AS329" s="3" t="n">
        <v>0.993321257</v>
      </c>
      <c r="AT329" s="4" t="n">
        <f aca="false">IF(OR(AR329="",AS329=""),"",IFERROR(IF($K329="%",AS329-AR329,AS329/AR329-1),""))</f>
        <v>0.00132125699999996</v>
      </c>
      <c r="AU329" s="5" t="str">
        <f aca="false">IF(OR(AR329="",AS329=""),"",IF($F329="Maior Melhor",IF(AS329&gt;=AR329,"Sim","Não"),IF(AS329&lt;=AR329,"Sim","Não")))</f>
        <v>Sim</v>
      </c>
      <c r="AV329" s="3" t="n">
        <v>0.992</v>
      </c>
      <c r="AW329" s="3" t="n">
        <v>0.99785628</v>
      </c>
      <c r="AX329" s="4" t="n">
        <f aca="false">IF(OR(AV329="",AW329=""),"",IFERROR(IF($K329="%",AW329-AV329,AW329/AV329-1),""))</f>
        <v>0.00585628000000005</v>
      </c>
      <c r="AY329" s="5" t="str">
        <f aca="false">IF(OR(AV329="",AW329=""),"",IF($F329="Maior Melhor",IF(AW329&gt;=AV329,"Sim","Não"),IF(AW329&lt;=AV329,"Sim","Não")))</f>
        <v>Sim</v>
      </c>
      <c r="AZ329" s="3" t="n">
        <v>0.992</v>
      </c>
      <c r="BA329" s="3" t="n">
        <v>0.993870632</v>
      </c>
      <c r="BB329" s="4" t="n">
        <f aca="false">IF(OR(AZ329="",BA329=""),"",IFERROR(IF($K329="%",BA329-AZ329,BA329/AZ329-1),""))</f>
        <v>0.00187063200000004</v>
      </c>
      <c r="BC329" s="5" t="str">
        <f aca="false">IF(OR(AZ329="",BA329=""),"",IF($F329="Maior Melhor",IF(BA329&gt;=AZ329,"Sim","Não"),IF(BA329&lt;=AZ329,"Sim","Não")))</f>
        <v>Sim</v>
      </c>
      <c r="BD329" s="3" t="n">
        <v>0.992</v>
      </c>
      <c r="BE329" s="3" t="n">
        <v>0.998</v>
      </c>
      <c r="BF329" s="4" t="n">
        <f aca="false">IF(OR(BD329="",BE329=""),"",IFERROR(IF($K329="%",BE329-BD329,BE329/BD329-1),""))</f>
        <v>0.00600000000000001</v>
      </c>
      <c r="BG329" s="5" t="str">
        <f aca="false">IF(OR(BD329="",BE329=""),"",IF($F329="Maior Melhor",IF(BE329&gt;=BD329,"Sim","Não"),IF(BE329&lt;=BD329,"Sim","Não")))</f>
        <v>Sim</v>
      </c>
      <c r="BH329" s="3" t="n">
        <v>0.992</v>
      </c>
      <c r="BI329" s="3" t="n">
        <v>0.994</v>
      </c>
      <c r="BJ329" s="4" t="n">
        <f aca="false">IF(OR(BH329="",BI329=""),"",IFERROR(IF($K329="%",BI329-BH329,BI329/BH329-1),""))</f>
        <v>0.002</v>
      </c>
      <c r="BK329" s="5" t="str">
        <f aca="false">IF(OR(BH329="",BI329=""),"",IF($F329="Maior Melhor",IF(BI329&gt;=BH329,"Sim","Não"),IF(BI329&lt;=BH329,"Sim","Não")))</f>
        <v>Sim</v>
      </c>
      <c r="BL329" s="6"/>
      <c r="BM329" s="6"/>
      <c r="BN329" s="4" t="str">
        <f aca="false">IF(OR(BL329="",BM329=""),"",IFERROR(IF($K329="%",BM329-BL329,BM329/BL329-1),""))</f>
        <v/>
      </c>
      <c r="BO329" s="5" t="str">
        <f aca="false">IF(OR(BL329="",BM329=""),"",IF($F329="Maior Melhor",IF(BM329&gt;=BL329,"Sim","Não"),IF(BM329&lt;=BL329,"Sim","Não")))</f>
        <v/>
      </c>
      <c r="BP329" s="6"/>
      <c r="BQ329" s="6"/>
      <c r="BR329" s="4" t="str">
        <f aca="false">IF(OR(BP329="",BQ329=""),"",IFERROR(IF($K329="%",BQ329-BP329,BQ329/BP329-1),""))</f>
        <v/>
      </c>
      <c r="BS329" s="5" t="str">
        <f aca="false">IF(OR(BP329="",BQ329=""),"",IF($F329="Maior Melhor",IF(BQ329&gt;=BP329,"Sim","Não"),IF(BQ329&lt;=BP329,"Sim","Não")))</f>
        <v/>
      </c>
      <c r="BT329" s="6"/>
      <c r="BU329" s="6"/>
      <c r="BV329" s="4" t="str">
        <f aca="false">IF(OR(BT329="",BU329=""),"",IFERROR(IF($K329="%",BU329-BT329,BU329/BT329-1),""))</f>
        <v/>
      </c>
      <c r="BW329" s="5" t="str">
        <f aca="false">IF(OR(BT329="",BU329=""),"",IF($F329="Maior Melhor",IF(BU329&gt;=BT329,"Sim","Não"),IF(BU329&lt;=BT329,"Sim","Não")))</f>
        <v/>
      </c>
      <c r="BX329" s="6"/>
      <c r="BY329" s="6"/>
      <c r="BZ329" s="4" t="str">
        <f aca="false">IF(OR(BX329="",BY329=""),"",IFERROR(IF($K329="%",BY329-BX329,BY329/BX329-1),""))</f>
        <v/>
      </c>
      <c r="CA329" s="5" t="str">
        <f aca="false">IF(OR(BX329="",BY329=""),"",IF($F329="Maior Melhor",IF(BY329&gt;=BX329,"Sim","Não"),IF(BY329&lt;=BX329,"Sim","Não")))</f>
        <v/>
      </c>
      <c r="CB329" s="6"/>
      <c r="CC329" s="6"/>
      <c r="CD329" s="4" t="str">
        <f aca="false">IF(OR(CB329="",CC329=""),"",IFERROR(IF($K329="%",CC329-CB329,CC329/CB329-1),""))</f>
        <v/>
      </c>
      <c r="CE329" s="5" t="str">
        <f aca="false">IF(OR(CB329="",CC329=""),"",IF($F329="Maior Melhor",IF(CC329&gt;=CB329,"Sim","Não"),IF(CC329&lt;=CB329,"Sim","Não")))</f>
        <v/>
      </c>
      <c r="CF329" s="6"/>
      <c r="CG329" s="6"/>
      <c r="CH329" s="4" t="str">
        <f aca="false">IF(OR(CF329="",CG329=""),"",IFERROR(IF($K329="%",CG329-CF329,CG329/CF329-1),""))</f>
        <v/>
      </c>
      <c r="CI329" s="5" t="str">
        <f aca="false">IF(OR(CF329="",CG329=""),"",IF($F329="Maior Melhor",IF(CG329&gt;=CF329,"Sim","Não"),IF(CG329&lt;=CF329,"Sim","Não")))</f>
        <v/>
      </c>
      <c r="CJ329" s="6"/>
      <c r="CK329" s="6"/>
      <c r="CL329" s="4" t="str">
        <f aca="false">IF(OR(CJ329="",CK329=""),"",IFERROR(IF($K329="%",CK329-CJ329,CK329/CJ329-1),""))</f>
        <v/>
      </c>
      <c r="CM329" s="5" t="str">
        <f aca="false">IF(OR(CJ329="",CK329=""),"",IF($F329="Maior Melhor",IF(CK329&gt;=CJ329,"Sim","Não"),IF(CK329&lt;=CJ329,"Sim","Não")))</f>
        <v/>
      </c>
      <c r="CN329" s="6"/>
      <c r="CO329" s="6"/>
      <c r="CP329" s="4" t="str">
        <f aca="false">IF(OR(CN329="",CO329=""),"",IFERROR(IF($K329="%",CO329-CN329,CO329/CN329-1),""))</f>
        <v/>
      </c>
      <c r="CQ329" s="5" t="str">
        <f aca="false">IF(OR(CN329="",CO329=""),"",IF($F329="Maior Melhor",IF(CO329&gt;=CN329,"Sim","Não"),IF(CO329&lt;=CN329,"Sim","Não")))</f>
        <v/>
      </c>
      <c r="CR329" s="2" t="s">
        <v>105</v>
      </c>
    </row>
    <row r="330" customFormat="false" ht="15" hidden="false" customHeight="false" outlineLevel="0" collapsed="false">
      <c r="A330" s="2" t="s">
        <v>161</v>
      </c>
      <c r="B330" s="2" t="s">
        <v>106</v>
      </c>
      <c r="C330" s="2" t="s">
        <v>111</v>
      </c>
      <c r="D330" s="2" t="s">
        <v>200</v>
      </c>
      <c r="E330" s="2" t="str">
        <f aca="false">C330&amp;D330</f>
        <v>UTD BARREIRASServiço atendido no prazo* (Eficácia da Demanda Regulada (Curto Prazo))</v>
      </c>
      <c r="F330" s="2" t="s">
        <v>100</v>
      </c>
      <c r="G330" s="2" t="s">
        <v>201</v>
      </c>
      <c r="H330" s="2" t="s">
        <v>102</v>
      </c>
      <c r="I330" s="2" t="s">
        <v>103</v>
      </c>
      <c r="J330" s="2" t="n">
        <v>3</v>
      </c>
      <c r="K330" s="2" t="s">
        <v>104</v>
      </c>
      <c r="L330" s="3" t="n">
        <v>0.992</v>
      </c>
      <c r="M330" s="3" t="n">
        <v>0.992</v>
      </c>
      <c r="N330" s="4" t="n">
        <f aca="false">IF(OR(L330="",M330=""),"",IFERROR(IF($K330="%",M330-L330,M330/L330-1),""))</f>
        <v>0</v>
      </c>
      <c r="O330" s="5" t="str">
        <f aca="false">IF(OR(L330="",M330=""),"",IF($F330="Maior Melhor",IF(M330&gt;=L330,"Sim","Não"),IF(M330&lt;=L330,"Sim","Não")))</f>
        <v>Sim</v>
      </c>
      <c r="P330" s="3" t="n">
        <v>0.992</v>
      </c>
      <c r="Q330" s="3" t="n">
        <v>0.998</v>
      </c>
      <c r="R330" s="4" t="n">
        <f aca="false">IF(OR(P330="",Q330=""),"",IFERROR(IF($K330="%",Q330-P330,Q330/P330-1),""))</f>
        <v>0.00600000000000001</v>
      </c>
      <c r="S330" s="5" t="str">
        <f aca="false">IF(OR(P330="",Q330=""),"",IF($F330="Maior Melhor",IF(Q330&gt;=P330,"Sim","Não"),IF(Q330&lt;=P330,"Sim","Não")))</f>
        <v>Sim</v>
      </c>
      <c r="T330" s="3" t="n">
        <v>0.992</v>
      </c>
      <c r="U330" s="3" t="n">
        <v>0.99</v>
      </c>
      <c r="V330" s="4" t="n">
        <f aca="false">IF(OR(T330="",U330=""),"",IFERROR(IF($K330="%",U330-T330,U330/T330-1),""))</f>
        <v>-0.002</v>
      </c>
      <c r="W330" s="5" t="str">
        <f aca="false">IF(OR(T330="",U330=""),"",IF($F330="Maior Melhor",IF(U330&gt;=T330,"Sim","Não"),IF(U330&lt;=T330,"Sim","Não")))</f>
        <v>Não</v>
      </c>
      <c r="X330" s="3" t="n">
        <v>0.992</v>
      </c>
      <c r="Y330" s="3" t="n">
        <v>0.996</v>
      </c>
      <c r="Z330" s="4" t="n">
        <f aca="false">IF(OR(X330="",Y330=""),"",IFERROR(IF($K330="%",Y330-X330,Y330/X330-1),""))</f>
        <v>0.004</v>
      </c>
      <c r="AA330" s="5" t="str">
        <f aca="false">IF(OR(X330="",Y330=""),"",IF($F330="Maior Melhor",IF(Y330&gt;=X330,"Sim","Não"),IF(Y330&lt;=X330,"Sim","Não")))</f>
        <v>Sim</v>
      </c>
      <c r="AB330" s="3" t="n">
        <v>0.992</v>
      </c>
      <c r="AC330" s="3" t="n">
        <v>0.9975</v>
      </c>
      <c r="AD330" s="4" t="n">
        <f aca="false">IF(OR(AB330="",AC330=""),"",IFERROR(IF($K330="%",AC330-AB330,AC330/AB330-1),""))</f>
        <v>0.00550000000000006</v>
      </c>
      <c r="AE330" s="5" t="str">
        <f aca="false">IF(OR(AB330="",AC330=""),"",IF($F330="Maior Melhor",IF(AC330&gt;=AB330,"Sim","Não"),IF(AC330&lt;=AB330,"Sim","Não")))</f>
        <v>Sim</v>
      </c>
      <c r="AF330" s="3" t="n">
        <v>0.992</v>
      </c>
      <c r="AG330" s="3" t="n">
        <v>0.994452849</v>
      </c>
      <c r="AH330" s="4" t="n">
        <f aca="false">IF(OR(AF330="",AG330=""),"",IFERROR(IF($K330="%",AG330-AF330,AG330/AF330-1),""))</f>
        <v>0.00245284899999998</v>
      </c>
      <c r="AI330" s="5" t="str">
        <f aca="false">IF(OR(AF330="",AG330=""),"",IF($F330="Maior Melhor",IF(AG330&gt;=AF330,"Sim","Não"),IF(AG330&lt;=AF330,"Sim","Não")))</f>
        <v>Sim</v>
      </c>
      <c r="AJ330" s="3" t="n">
        <v>0.992</v>
      </c>
      <c r="AK330" s="3" t="n">
        <v>0.993044822</v>
      </c>
      <c r="AL330" s="4" t="n">
        <f aca="false">IF(OR(AJ330="",AK330=""),"",IFERROR(IF($K330="%",AK330-AJ330,AK330/AJ330-1),""))</f>
        <v>0.001044822</v>
      </c>
      <c r="AM330" s="5" t="str">
        <f aca="false">IF(OR(AJ330="",AK330=""),"",IF($F330="Maior Melhor",IF(AK330&gt;=AJ330,"Sim","Não"),IF(AK330&lt;=AJ330,"Sim","Não")))</f>
        <v>Sim</v>
      </c>
      <c r="AN330" s="3" t="n">
        <v>0.992</v>
      </c>
      <c r="AO330" s="3" t="n">
        <v>0.995079278</v>
      </c>
      <c r="AP330" s="4" t="n">
        <f aca="false">IF(OR(AN330="",AO330=""),"",IFERROR(IF($K330="%",AO330-AN330,AO330/AN330-1),""))</f>
        <v>0.00307927799999996</v>
      </c>
      <c r="AQ330" s="5" t="str">
        <f aca="false">IF(OR(AN330="",AO330=""),"",IF($F330="Maior Melhor",IF(AO330&gt;=AN330,"Sim","Não"),IF(AO330&lt;=AN330,"Sim","Não")))</f>
        <v>Sim</v>
      </c>
      <c r="AR330" s="3" t="n">
        <v>0.992</v>
      </c>
      <c r="AS330" s="3" t="n">
        <v>0.993386608</v>
      </c>
      <c r="AT330" s="4" t="n">
        <f aca="false">IF(OR(AR330="",AS330=""),"",IFERROR(IF($K330="%",AS330-AR330,AS330/AR330-1),""))</f>
        <v>0.00138660800000001</v>
      </c>
      <c r="AU330" s="5" t="str">
        <f aca="false">IF(OR(AR330="",AS330=""),"",IF($F330="Maior Melhor",IF(AS330&gt;=AR330,"Sim","Não"),IF(AS330&lt;=AR330,"Sim","Não")))</f>
        <v>Sim</v>
      </c>
      <c r="AV330" s="3" t="n">
        <v>0.992</v>
      </c>
      <c r="AW330" s="3" t="n">
        <v>0.99798995</v>
      </c>
      <c r="AX330" s="4" t="n">
        <f aca="false">IF(OR(AV330="",AW330=""),"",IFERROR(IF($K330="%",AW330-AV330,AW330/AV330-1),""))</f>
        <v>0.00598995000000002</v>
      </c>
      <c r="AY330" s="5" t="str">
        <f aca="false">IF(OR(AV330="",AW330=""),"",IF($F330="Maior Melhor",IF(AW330&gt;=AV330,"Sim","Não"),IF(AW330&lt;=AV330,"Sim","Não")))</f>
        <v>Sim</v>
      </c>
      <c r="AZ330" s="3" t="n">
        <v>0.992</v>
      </c>
      <c r="BA330" s="3" t="n">
        <v>0.993927748</v>
      </c>
      <c r="BB330" s="4" t="n">
        <f aca="false">IF(OR(AZ330="",BA330=""),"",IFERROR(IF($K330="%",BA330-AZ330,BA330/AZ330-1),""))</f>
        <v>0.00192774800000006</v>
      </c>
      <c r="BC330" s="5" t="str">
        <f aca="false">IF(OR(AZ330="",BA330=""),"",IF($F330="Maior Melhor",IF(BA330&gt;=AZ330,"Sim","Não"),IF(BA330&lt;=AZ330,"Sim","Não")))</f>
        <v>Sim</v>
      </c>
      <c r="BD330" s="3" t="n">
        <v>0.992</v>
      </c>
      <c r="BE330" s="3" t="n">
        <v>1</v>
      </c>
      <c r="BF330" s="4" t="n">
        <f aca="false">IF(OR(BD330="",BE330=""),"",IFERROR(IF($K330="%",BE330-BD330,BE330/BD330-1),""))</f>
        <v>0.00800000000000001</v>
      </c>
      <c r="BG330" s="5" t="str">
        <f aca="false">IF(OR(BD330="",BE330=""),"",IF($F330="Maior Melhor",IF(BE330&gt;=BD330,"Sim","Não"),IF(BE330&lt;=BD330,"Sim","Não")))</f>
        <v>Sim</v>
      </c>
      <c r="BH330" s="3" t="n">
        <v>0.992</v>
      </c>
      <c r="BI330" s="3" t="n">
        <v>0.995</v>
      </c>
      <c r="BJ330" s="4" t="n">
        <f aca="false">IF(OR(BH330="",BI330=""),"",IFERROR(IF($K330="%",BI330-BH330,BI330/BH330-1),""))</f>
        <v>0.003</v>
      </c>
      <c r="BK330" s="5" t="str">
        <f aca="false">IF(OR(BH330="",BI330=""),"",IF($F330="Maior Melhor",IF(BI330&gt;=BH330,"Sim","Não"),IF(BI330&lt;=BH330,"Sim","Não")))</f>
        <v>Sim</v>
      </c>
      <c r="BL330" s="6"/>
      <c r="BM330" s="6"/>
      <c r="BN330" s="4" t="str">
        <f aca="false">IF(OR(BL330="",BM330=""),"",IFERROR(IF($K330="%",BM330-BL330,BM330/BL330-1),""))</f>
        <v/>
      </c>
      <c r="BO330" s="5" t="str">
        <f aca="false">IF(OR(BL330="",BM330=""),"",IF($F330="Maior Melhor",IF(BM330&gt;=BL330,"Sim","Não"),IF(BM330&lt;=BL330,"Sim","Não")))</f>
        <v/>
      </c>
      <c r="BP330" s="6"/>
      <c r="BQ330" s="6"/>
      <c r="BR330" s="4" t="str">
        <f aca="false">IF(OR(BP330="",BQ330=""),"",IFERROR(IF($K330="%",BQ330-BP330,BQ330/BP330-1),""))</f>
        <v/>
      </c>
      <c r="BS330" s="5" t="str">
        <f aca="false">IF(OR(BP330="",BQ330=""),"",IF($F330="Maior Melhor",IF(BQ330&gt;=BP330,"Sim","Não"),IF(BQ330&lt;=BP330,"Sim","Não")))</f>
        <v/>
      </c>
      <c r="BT330" s="6"/>
      <c r="BU330" s="6"/>
      <c r="BV330" s="4" t="str">
        <f aca="false">IF(OR(BT330="",BU330=""),"",IFERROR(IF($K330="%",BU330-BT330,BU330/BT330-1),""))</f>
        <v/>
      </c>
      <c r="BW330" s="5" t="str">
        <f aca="false">IF(OR(BT330="",BU330=""),"",IF($F330="Maior Melhor",IF(BU330&gt;=BT330,"Sim","Não"),IF(BU330&lt;=BT330,"Sim","Não")))</f>
        <v/>
      </c>
      <c r="BX330" s="6"/>
      <c r="BY330" s="6"/>
      <c r="BZ330" s="4" t="str">
        <f aca="false">IF(OR(BX330="",BY330=""),"",IFERROR(IF($K330="%",BY330-BX330,BY330/BX330-1),""))</f>
        <v/>
      </c>
      <c r="CA330" s="5" t="str">
        <f aca="false">IF(OR(BX330="",BY330=""),"",IF($F330="Maior Melhor",IF(BY330&gt;=BX330,"Sim","Não"),IF(BY330&lt;=BX330,"Sim","Não")))</f>
        <v/>
      </c>
      <c r="CB330" s="6"/>
      <c r="CC330" s="6"/>
      <c r="CD330" s="4" t="str">
        <f aca="false">IF(OR(CB330="",CC330=""),"",IFERROR(IF($K330="%",CC330-CB330,CC330/CB330-1),""))</f>
        <v/>
      </c>
      <c r="CE330" s="5" t="str">
        <f aca="false">IF(OR(CB330="",CC330=""),"",IF($F330="Maior Melhor",IF(CC330&gt;=CB330,"Sim","Não"),IF(CC330&lt;=CB330,"Sim","Não")))</f>
        <v/>
      </c>
      <c r="CF330" s="6"/>
      <c r="CG330" s="6"/>
      <c r="CH330" s="4" t="str">
        <f aca="false">IF(OR(CF330="",CG330=""),"",IFERROR(IF($K330="%",CG330-CF330,CG330/CF330-1),""))</f>
        <v/>
      </c>
      <c r="CI330" s="5" t="str">
        <f aca="false">IF(OR(CF330="",CG330=""),"",IF($F330="Maior Melhor",IF(CG330&gt;=CF330,"Sim","Não"),IF(CG330&lt;=CF330,"Sim","Não")))</f>
        <v/>
      </c>
      <c r="CJ330" s="6"/>
      <c r="CK330" s="6"/>
      <c r="CL330" s="4" t="str">
        <f aca="false">IF(OR(CJ330="",CK330=""),"",IFERROR(IF($K330="%",CK330-CJ330,CK330/CJ330-1),""))</f>
        <v/>
      </c>
      <c r="CM330" s="5" t="str">
        <f aca="false">IF(OR(CJ330="",CK330=""),"",IF($F330="Maior Melhor",IF(CK330&gt;=CJ330,"Sim","Não"),IF(CK330&lt;=CJ330,"Sim","Não")))</f>
        <v/>
      </c>
      <c r="CN330" s="6"/>
      <c r="CO330" s="6"/>
      <c r="CP330" s="4" t="str">
        <f aca="false">IF(OR(CN330="",CO330=""),"",IFERROR(IF($K330="%",CO330-CN330,CO330/CN330-1),""))</f>
        <v/>
      </c>
      <c r="CQ330" s="5" t="str">
        <f aca="false">IF(OR(CN330="",CO330=""),"",IF($F330="Maior Melhor",IF(CO330&gt;=CN330,"Sim","Não"),IF(CO330&lt;=CN330,"Sim","Não")))</f>
        <v/>
      </c>
      <c r="CR330" s="2" t="s">
        <v>112</v>
      </c>
    </row>
    <row r="331" customFormat="false" ht="15" hidden="false" customHeight="false" outlineLevel="0" collapsed="false">
      <c r="A331" s="2" t="s">
        <v>161</v>
      </c>
      <c r="B331" s="2" t="s">
        <v>106</v>
      </c>
      <c r="C331" s="2" t="s">
        <v>113</v>
      </c>
      <c r="D331" s="2" t="s">
        <v>200</v>
      </c>
      <c r="E331" s="2" t="str">
        <f aca="false">C331&amp;D331</f>
        <v>UTD BOM JESUS DA LAPAServiço atendido no prazo* (Eficácia da Demanda Regulada (Curto Prazo))</v>
      </c>
      <c r="F331" s="2" t="s">
        <v>100</v>
      </c>
      <c r="G331" s="2" t="s">
        <v>201</v>
      </c>
      <c r="H331" s="2" t="s">
        <v>102</v>
      </c>
      <c r="I331" s="2" t="s">
        <v>103</v>
      </c>
      <c r="J331" s="2" t="n">
        <v>3</v>
      </c>
      <c r="K331" s="2" t="s">
        <v>104</v>
      </c>
      <c r="L331" s="3" t="n">
        <v>0.992</v>
      </c>
      <c r="M331" s="3" t="n">
        <v>0.995</v>
      </c>
      <c r="N331" s="4" t="n">
        <f aca="false">IF(OR(L331="",M331=""),"",IFERROR(IF($K331="%",M331-L331,M331/L331-1),""))</f>
        <v>0.003</v>
      </c>
      <c r="O331" s="5" t="str">
        <f aca="false">IF(OR(L331="",M331=""),"",IF($F331="Maior Melhor",IF(M331&gt;=L331,"Sim","Não"),IF(M331&lt;=L331,"Sim","Não")))</f>
        <v>Sim</v>
      </c>
      <c r="P331" s="3" t="n">
        <v>0.992</v>
      </c>
      <c r="Q331" s="3" t="n">
        <v>0.998</v>
      </c>
      <c r="R331" s="4" t="n">
        <f aca="false">IF(OR(P331="",Q331=""),"",IFERROR(IF($K331="%",Q331-P331,Q331/P331-1),""))</f>
        <v>0.00600000000000001</v>
      </c>
      <c r="S331" s="5" t="str">
        <f aca="false">IF(OR(P331="",Q331=""),"",IF($F331="Maior Melhor",IF(Q331&gt;=P331,"Sim","Não"),IF(Q331&lt;=P331,"Sim","Não")))</f>
        <v>Sim</v>
      </c>
      <c r="T331" s="3" t="n">
        <v>0.992</v>
      </c>
      <c r="U331" s="3" t="n">
        <v>0.992</v>
      </c>
      <c r="V331" s="4" t="n">
        <f aca="false">IF(OR(T331="",U331=""),"",IFERROR(IF($K331="%",U331-T331,U331/T331-1),""))</f>
        <v>0</v>
      </c>
      <c r="W331" s="5" t="str">
        <f aca="false">IF(OR(T331="",U331=""),"",IF($F331="Maior Melhor",IF(U331&gt;=T331,"Sim","Não"),IF(U331&lt;=T331,"Sim","Não")))</f>
        <v>Sim</v>
      </c>
      <c r="X331" s="3" t="n">
        <v>0.992</v>
      </c>
      <c r="Y331" s="3" t="n">
        <v>0.9983</v>
      </c>
      <c r="Z331" s="4" t="n">
        <f aca="false">IF(OR(X331="",Y331=""),"",IFERROR(IF($K331="%",Y331-X331,Y331/X331-1),""))</f>
        <v>0.00629999999999997</v>
      </c>
      <c r="AA331" s="5" t="str">
        <f aca="false">IF(OR(X331="",Y331=""),"",IF($F331="Maior Melhor",IF(Y331&gt;=X331,"Sim","Não"),IF(Y331&lt;=X331,"Sim","Não")))</f>
        <v>Sim</v>
      </c>
      <c r="AB331" s="3" t="n">
        <v>0.992</v>
      </c>
      <c r="AC331" s="3" t="n">
        <v>0.9958</v>
      </c>
      <c r="AD331" s="4" t="n">
        <f aca="false">IF(OR(AB331="",AC331=""),"",IFERROR(IF($K331="%",AC331-AB331,AC331/AB331-1),""))</f>
        <v>0.00380000000000003</v>
      </c>
      <c r="AE331" s="5" t="str">
        <f aca="false">IF(OR(AB331="",AC331=""),"",IF($F331="Maior Melhor",IF(AC331&gt;=AB331,"Sim","Não"),IF(AC331&lt;=AB331,"Sim","Não")))</f>
        <v>Sim</v>
      </c>
      <c r="AF331" s="3" t="n">
        <v>0.992</v>
      </c>
      <c r="AG331" s="3" t="n">
        <v>0.993006993</v>
      </c>
      <c r="AH331" s="4" t="n">
        <f aca="false">IF(OR(AF331="",AG331=""),"",IFERROR(IF($K331="%",AG331-AF331,AG331/AF331-1),""))</f>
        <v>0.00100699299999996</v>
      </c>
      <c r="AI331" s="5" t="str">
        <f aca="false">IF(OR(AF331="",AG331=""),"",IF($F331="Maior Melhor",IF(AG331&gt;=AF331,"Sim","Não"),IF(AG331&lt;=AF331,"Sim","Não")))</f>
        <v>Sim</v>
      </c>
      <c r="AJ331" s="3" t="n">
        <v>0.992</v>
      </c>
      <c r="AK331" s="3" t="n">
        <v>0.994863205</v>
      </c>
      <c r="AL331" s="4" t="n">
        <f aca="false">IF(OR(AJ331="",AK331=""),"",IFERROR(IF($K331="%",AK331-AJ331,AK331/AJ331-1),""))</f>
        <v>0.00286320500000004</v>
      </c>
      <c r="AM331" s="5" t="str">
        <f aca="false">IF(OR(AJ331="",AK331=""),"",IF($F331="Maior Melhor",IF(AK331&gt;=AJ331,"Sim","Não"),IF(AK331&lt;=AJ331,"Sim","Não")))</f>
        <v>Sim</v>
      </c>
      <c r="AN331" s="3" t="n">
        <v>0.992</v>
      </c>
      <c r="AO331" s="3" t="n">
        <v>0.997843666</v>
      </c>
      <c r="AP331" s="4" t="n">
        <f aca="false">IF(OR(AN331="",AO331=""),"",IFERROR(IF($K331="%",AO331-AN331,AO331/AN331-1),""))</f>
        <v>0.00584366599999997</v>
      </c>
      <c r="AQ331" s="5" t="str">
        <f aca="false">IF(OR(AN331="",AO331=""),"",IF($F331="Maior Melhor",IF(AO331&gt;=AN331,"Sim","Não"),IF(AO331&lt;=AN331,"Sim","Não")))</f>
        <v>Sim</v>
      </c>
      <c r="AR331" s="3" t="n">
        <v>0.992</v>
      </c>
      <c r="AS331" s="3" t="n">
        <v>0.995374653</v>
      </c>
      <c r="AT331" s="4" t="n">
        <f aca="false">IF(OR(AR331="",AS331=""),"",IFERROR(IF($K331="%",AS331-AR331,AS331/AR331-1),""))</f>
        <v>0.00337465300000006</v>
      </c>
      <c r="AU331" s="5" t="str">
        <f aca="false">IF(OR(AR331="",AS331=""),"",IF($F331="Maior Melhor",IF(AS331&gt;=AR331,"Sim","Não"),IF(AS331&lt;=AR331,"Sim","Não")))</f>
        <v>Sim</v>
      </c>
      <c r="AV331" s="3" t="n">
        <v>0.992</v>
      </c>
      <c r="AW331" s="3" t="n">
        <v>0.997988939</v>
      </c>
      <c r="AX331" s="4" t="n">
        <f aca="false">IF(OR(AV331="",AW331=""),"",IFERROR(IF($K331="%",AW331-AV331,AW331/AV331-1),""))</f>
        <v>0.00598893899999997</v>
      </c>
      <c r="AY331" s="5" t="str">
        <f aca="false">IF(OR(AV331="",AW331=""),"",IF($F331="Maior Melhor",IF(AW331&gt;=AV331,"Sim","Não"),IF(AW331&lt;=AV331,"Sim","Não")))</f>
        <v>Sim</v>
      </c>
      <c r="AZ331" s="3" t="n">
        <v>0.992</v>
      </c>
      <c r="BA331" s="3" t="n">
        <v>0.995624316</v>
      </c>
      <c r="BB331" s="4" t="n">
        <f aca="false">IF(OR(AZ331="",BA331=""),"",IFERROR(IF($K331="%",BA331-AZ331,BA331/AZ331-1),""))</f>
        <v>0.00362431600000002</v>
      </c>
      <c r="BC331" s="5" t="str">
        <f aca="false">IF(OR(AZ331="",BA331=""),"",IF($F331="Maior Melhor",IF(BA331&gt;=AZ331,"Sim","Não"),IF(BA331&lt;=AZ331,"Sim","Não")))</f>
        <v>Sim</v>
      </c>
      <c r="BD331" s="3" t="n">
        <v>0.992</v>
      </c>
      <c r="BE331" s="3" t="n">
        <v>0.998</v>
      </c>
      <c r="BF331" s="4" t="n">
        <f aca="false">IF(OR(BD331="",BE331=""),"",IFERROR(IF($K331="%",BE331-BD331,BE331/BD331-1),""))</f>
        <v>0.00600000000000001</v>
      </c>
      <c r="BG331" s="5" t="str">
        <f aca="false">IF(OR(BD331="",BE331=""),"",IF($F331="Maior Melhor",IF(BE331&gt;=BD331,"Sim","Não"),IF(BE331&lt;=BD331,"Sim","Não")))</f>
        <v>Sim</v>
      </c>
      <c r="BH331" s="3" t="n">
        <v>0.992</v>
      </c>
      <c r="BI331" s="3" t="n">
        <v>0.996</v>
      </c>
      <c r="BJ331" s="4" t="n">
        <f aca="false">IF(OR(BH331="",BI331=""),"",IFERROR(IF($K331="%",BI331-BH331,BI331/BH331-1),""))</f>
        <v>0.004</v>
      </c>
      <c r="BK331" s="5" t="str">
        <f aca="false">IF(OR(BH331="",BI331=""),"",IF($F331="Maior Melhor",IF(BI331&gt;=BH331,"Sim","Não"),IF(BI331&lt;=BH331,"Sim","Não")))</f>
        <v>Sim</v>
      </c>
      <c r="BL331" s="6"/>
      <c r="BM331" s="6"/>
      <c r="BN331" s="4" t="str">
        <f aca="false">IF(OR(BL331="",BM331=""),"",IFERROR(IF($K331="%",BM331-BL331,BM331/BL331-1),""))</f>
        <v/>
      </c>
      <c r="BO331" s="5" t="str">
        <f aca="false">IF(OR(BL331="",BM331=""),"",IF($F331="Maior Melhor",IF(BM331&gt;=BL331,"Sim","Não"),IF(BM331&lt;=BL331,"Sim","Não")))</f>
        <v/>
      </c>
      <c r="BP331" s="6"/>
      <c r="BQ331" s="6"/>
      <c r="BR331" s="4" t="str">
        <f aca="false">IF(OR(BP331="",BQ331=""),"",IFERROR(IF($K331="%",BQ331-BP331,BQ331/BP331-1),""))</f>
        <v/>
      </c>
      <c r="BS331" s="5" t="str">
        <f aca="false">IF(OR(BP331="",BQ331=""),"",IF($F331="Maior Melhor",IF(BQ331&gt;=BP331,"Sim","Não"),IF(BQ331&lt;=BP331,"Sim","Não")))</f>
        <v/>
      </c>
      <c r="BT331" s="6"/>
      <c r="BU331" s="6"/>
      <c r="BV331" s="4" t="str">
        <f aca="false">IF(OR(BT331="",BU331=""),"",IFERROR(IF($K331="%",BU331-BT331,BU331/BT331-1),""))</f>
        <v/>
      </c>
      <c r="BW331" s="5" t="str">
        <f aca="false">IF(OR(BT331="",BU331=""),"",IF($F331="Maior Melhor",IF(BU331&gt;=BT331,"Sim","Não"),IF(BU331&lt;=BT331,"Sim","Não")))</f>
        <v/>
      </c>
      <c r="BX331" s="6"/>
      <c r="BY331" s="6"/>
      <c r="BZ331" s="4" t="str">
        <f aca="false">IF(OR(BX331="",BY331=""),"",IFERROR(IF($K331="%",BY331-BX331,BY331/BX331-1),""))</f>
        <v/>
      </c>
      <c r="CA331" s="5" t="str">
        <f aca="false">IF(OR(BX331="",BY331=""),"",IF($F331="Maior Melhor",IF(BY331&gt;=BX331,"Sim","Não"),IF(BY331&lt;=BX331,"Sim","Não")))</f>
        <v/>
      </c>
      <c r="CB331" s="6"/>
      <c r="CC331" s="6"/>
      <c r="CD331" s="4" t="str">
        <f aca="false">IF(OR(CB331="",CC331=""),"",IFERROR(IF($K331="%",CC331-CB331,CC331/CB331-1),""))</f>
        <v/>
      </c>
      <c r="CE331" s="5" t="str">
        <f aca="false">IF(OR(CB331="",CC331=""),"",IF($F331="Maior Melhor",IF(CC331&gt;=CB331,"Sim","Não"),IF(CC331&lt;=CB331,"Sim","Não")))</f>
        <v/>
      </c>
      <c r="CF331" s="6"/>
      <c r="CG331" s="6"/>
      <c r="CH331" s="4" t="str">
        <f aca="false">IF(OR(CF331="",CG331=""),"",IFERROR(IF($K331="%",CG331-CF331,CG331/CF331-1),""))</f>
        <v/>
      </c>
      <c r="CI331" s="5" t="str">
        <f aca="false">IF(OR(CF331="",CG331=""),"",IF($F331="Maior Melhor",IF(CG331&gt;=CF331,"Sim","Não"),IF(CG331&lt;=CF331,"Sim","Não")))</f>
        <v/>
      </c>
      <c r="CJ331" s="6"/>
      <c r="CK331" s="6"/>
      <c r="CL331" s="4" t="str">
        <f aca="false">IF(OR(CJ331="",CK331=""),"",IFERROR(IF($K331="%",CK331-CJ331,CK331/CJ331-1),""))</f>
        <v/>
      </c>
      <c r="CM331" s="5" t="str">
        <f aca="false">IF(OR(CJ331="",CK331=""),"",IF($F331="Maior Melhor",IF(CK331&gt;=CJ331,"Sim","Não"),IF(CK331&lt;=CJ331,"Sim","Não")))</f>
        <v/>
      </c>
      <c r="CN331" s="6"/>
      <c r="CO331" s="6"/>
      <c r="CP331" s="4" t="str">
        <f aca="false">IF(OR(CN331="",CO331=""),"",IFERROR(IF($K331="%",CO331-CN331,CO331/CN331-1),""))</f>
        <v/>
      </c>
      <c r="CQ331" s="5" t="str">
        <f aca="false">IF(OR(CN331="",CO331=""),"",IF($F331="Maior Melhor",IF(CO331&gt;=CN331,"Sim","Não"),IF(CO331&lt;=CN331,"Sim","Não")))</f>
        <v/>
      </c>
      <c r="CR331" s="2" t="s">
        <v>114</v>
      </c>
    </row>
    <row r="332" customFormat="false" ht="15" hidden="false" customHeight="false" outlineLevel="0" collapsed="false">
      <c r="A332" s="2" t="s">
        <v>161</v>
      </c>
      <c r="B332" s="2" t="s">
        <v>108</v>
      </c>
      <c r="C332" s="2" t="s">
        <v>115</v>
      </c>
      <c r="D332" s="2" t="s">
        <v>200</v>
      </c>
      <c r="E332" s="2" t="str">
        <f aca="false">C332&amp;D332</f>
        <v>UTD BRUMADOServiço atendido no prazo* (Eficácia da Demanda Regulada (Curto Prazo))</v>
      </c>
      <c r="F332" s="2" t="s">
        <v>100</v>
      </c>
      <c r="G332" s="2" t="s">
        <v>201</v>
      </c>
      <c r="H332" s="2" t="s">
        <v>102</v>
      </c>
      <c r="I332" s="2" t="s">
        <v>103</v>
      </c>
      <c r="J332" s="2" t="n">
        <v>3</v>
      </c>
      <c r="K332" s="2" t="s">
        <v>104</v>
      </c>
      <c r="L332" s="3" t="n">
        <v>0.992</v>
      </c>
      <c r="M332" s="3" t="n">
        <v>0.988</v>
      </c>
      <c r="N332" s="4" t="n">
        <f aca="false">IF(OR(L332="",M332=""),"",IFERROR(IF($K332="%",M332-L332,M332/L332-1),""))</f>
        <v>-0.004</v>
      </c>
      <c r="O332" s="5" t="str">
        <f aca="false">IF(OR(L332="",M332=""),"",IF($F332="Maior Melhor",IF(M332&gt;=L332,"Sim","Não"),IF(M332&lt;=L332,"Sim","Não")))</f>
        <v>Não</v>
      </c>
      <c r="P332" s="3" t="n">
        <v>0.992</v>
      </c>
      <c r="Q332" s="3" t="n">
        <v>0.988</v>
      </c>
      <c r="R332" s="4" t="n">
        <f aca="false">IF(OR(P332="",Q332=""),"",IFERROR(IF($K332="%",Q332-P332,Q332/P332-1),""))</f>
        <v>-0.004</v>
      </c>
      <c r="S332" s="5" t="str">
        <f aca="false">IF(OR(P332="",Q332=""),"",IF($F332="Maior Melhor",IF(Q332&gt;=P332,"Sim","Não"),IF(Q332&lt;=P332,"Sim","Não")))</f>
        <v>Não</v>
      </c>
      <c r="T332" s="3" t="n">
        <v>0.992</v>
      </c>
      <c r="U332" s="3" t="n">
        <v>0.989</v>
      </c>
      <c r="V332" s="4" t="n">
        <f aca="false">IF(OR(T332="",U332=""),"",IFERROR(IF($K332="%",U332-T332,U332/T332-1),""))</f>
        <v>-0.003</v>
      </c>
      <c r="W332" s="5" t="str">
        <f aca="false">IF(OR(T332="",U332=""),"",IF($F332="Maior Melhor",IF(U332&gt;=T332,"Sim","Não"),IF(U332&lt;=T332,"Sim","Não")))</f>
        <v>Não</v>
      </c>
      <c r="X332" s="3" t="n">
        <v>0.992</v>
      </c>
      <c r="Y332" s="3" t="n">
        <v>0.9897</v>
      </c>
      <c r="Z332" s="4" t="n">
        <f aca="false">IF(OR(X332="",Y332=""),"",IFERROR(IF($K332="%",Y332-X332,Y332/X332-1),""))</f>
        <v>-0.00229999999999997</v>
      </c>
      <c r="AA332" s="5" t="str">
        <f aca="false">IF(OR(X332="",Y332=""),"",IF($F332="Maior Melhor",IF(Y332&gt;=X332,"Sim","Não"),IF(Y332&lt;=X332,"Sim","Não")))</f>
        <v>Não</v>
      </c>
      <c r="AB332" s="3" t="n">
        <v>0.992</v>
      </c>
      <c r="AC332" s="3" t="n">
        <v>0.9945</v>
      </c>
      <c r="AD332" s="4" t="n">
        <f aca="false">IF(OR(AB332="",AC332=""),"",IFERROR(IF($K332="%",AC332-AB332,AC332/AB332-1),""))</f>
        <v>0.00250000000000006</v>
      </c>
      <c r="AE332" s="5" t="str">
        <f aca="false">IF(OR(AB332="",AC332=""),"",IF($F332="Maior Melhor",IF(AC332&gt;=AB332,"Sim","Não"),IF(AC332&lt;=AB332,"Sim","Não")))</f>
        <v>Sim</v>
      </c>
      <c r="AF332" s="3" t="n">
        <v>0.992</v>
      </c>
      <c r="AG332" s="3" t="n">
        <v>0.993048659</v>
      </c>
      <c r="AH332" s="4" t="n">
        <f aca="false">IF(OR(AF332="",AG332=""),"",IFERROR(IF($K332="%",AG332-AF332,AG332/AF332-1),""))</f>
        <v>0.00104865899999995</v>
      </c>
      <c r="AI332" s="5" t="str">
        <f aca="false">IF(OR(AF332="",AG332=""),"",IF($F332="Maior Melhor",IF(AG332&gt;=AF332,"Sim","Não"),IF(AG332&lt;=AF332,"Sim","Não")))</f>
        <v>Sim</v>
      </c>
      <c r="AJ332" s="3" t="n">
        <v>0.992</v>
      </c>
      <c r="AK332" s="3" t="n">
        <v>0.990809369</v>
      </c>
      <c r="AL332" s="4" t="n">
        <f aca="false">IF(OR(AJ332="",AK332=""),"",IFERROR(IF($K332="%",AK332-AJ332,AK332/AJ332-1),""))</f>
        <v>-0.00119063099999994</v>
      </c>
      <c r="AM332" s="5" t="str">
        <f aca="false">IF(OR(AJ332="",AK332=""),"",IF($F332="Maior Melhor",IF(AK332&gt;=AJ332,"Sim","Não"),IF(AK332&lt;=AJ332,"Sim","Não")))</f>
        <v>Não</v>
      </c>
      <c r="AN332" s="3" t="n">
        <v>0.992</v>
      </c>
      <c r="AO332" s="3" t="n">
        <v>0.9973</v>
      </c>
      <c r="AP332" s="4" t="n">
        <f aca="false">IF(OR(AN332="",AO332=""),"",IFERROR(IF($K332="%",AO332-AN332,AO332/AN332-1),""))</f>
        <v>0.00529999999999997</v>
      </c>
      <c r="AQ332" s="5" t="str">
        <f aca="false">IF(OR(AN332="",AO332=""),"",IF($F332="Maior Melhor",IF(AO332&gt;=AN332,"Sim","Não"),IF(AO332&lt;=AN332,"Sim","Não")))</f>
        <v>Sim</v>
      </c>
      <c r="AR332" s="3" t="n">
        <v>0.992</v>
      </c>
      <c r="AS332" s="3" t="n">
        <v>0.992</v>
      </c>
      <c r="AT332" s="4" t="n">
        <f aca="false">IF(OR(AR332="",AS332=""),"",IFERROR(IF($K332="%",AS332-AR332,AS332/AR332-1),""))</f>
        <v>0</v>
      </c>
      <c r="AU332" s="5" t="str">
        <f aca="false">IF(OR(AR332="",AS332=""),"",IF($F332="Maior Melhor",IF(AS332&gt;=AR332,"Sim","Não"),IF(AS332&lt;=AR332,"Sim","Não")))</f>
        <v>Sim</v>
      </c>
      <c r="AV332" s="3" t="n">
        <v>0.992</v>
      </c>
      <c r="AW332" s="3" t="n">
        <v>0.99524838</v>
      </c>
      <c r="AX332" s="4" t="n">
        <f aca="false">IF(OR(AV332="",AW332=""),"",IFERROR(IF($K332="%",AW332-AV332,AW332/AV332-1),""))</f>
        <v>0.00324838000000005</v>
      </c>
      <c r="AY332" s="5" t="str">
        <f aca="false">IF(OR(AV332="",AW332=""),"",IF($F332="Maior Melhor",IF(AW332&gt;=AV332,"Sim","Não"),IF(AW332&lt;=AV332,"Sim","Não")))</f>
        <v>Sim</v>
      </c>
      <c r="AZ332" s="3" t="n">
        <v>0.992</v>
      </c>
      <c r="BA332" s="3" t="n">
        <v>0.992379754</v>
      </c>
      <c r="BB332" s="4" t="n">
        <f aca="false">IF(OR(AZ332="",BA332=""),"",IFERROR(IF($K332="%",BA332-AZ332,BA332/AZ332-1),""))</f>
        <v>0.00037975400000001</v>
      </c>
      <c r="BC332" s="5" t="str">
        <f aca="false">IF(OR(AZ332="",BA332=""),"",IF($F332="Maior Melhor",IF(BA332&gt;=AZ332,"Sim","Não"),IF(BA332&lt;=AZ332,"Sim","Não")))</f>
        <v>Sim</v>
      </c>
      <c r="BD332" s="3" t="n">
        <v>0.992</v>
      </c>
      <c r="BE332" s="3" t="n">
        <v>0.992</v>
      </c>
      <c r="BF332" s="4" t="n">
        <f aca="false">IF(OR(BD332="",BE332=""),"",IFERROR(IF($K332="%",BE332-BD332,BE332/BD332-1),""))</f>
        <v>0</v>
      </c>
      <c r="BG332" s="5" t="str">
        <f aca="false">IF(OR(BD332="",BE332=""),"",IF($F332="Maior Melhor",IF(BE332&gt;=BD332,"Sim","Não"),IF(BE332&lt;=BD332,"Sim","Não")))</f>
        <v>Sim</v>
      </c>
      <c r="BH332" s="3" t="n">
        <v>0.992</v>
      </c>
      <c r="BI332" s="3" t="n">
        <v>0.992</v>
      </c>
      <c r="BJ332" s="4" t="n">
        <f aca="false">IF(OR(BH332="",BI332=""),"",IFERROR(IF($K332="%",BI332-BH332,BI332/BH332-1),""))</f>
        <v>0</v>
      </c>
      <c r="BK332" s="5" t="str">
        <f aca="false">IF(OR(BH332="",BI332=""),"",IF($F332="Maior Melhor",IF(BI332&gt;=BH332,"Sim","Não"),IF(BI332&lt;=BH332,"Sim","Não")))</f>
        <v>Sim</v>
      </c>
      <c r="BL332" s="6"/>
      <c r="BM332" s="6"/>
      <c r="BN332" s="4" t="str">
        <f aca="false">IF(OR(BL332="",BM332=""),"",IFERROR(IF($K332="%",BM332-BL332,BM332/BL332-1),""))</f>
        <v/>
      </c>
      <c r="BO332" s="5" t="str">
        <f aca="false">IF(OR(BL332="",BM332=""),"",IF($F332="Maior Melhor",IF(BM332&gt;=BL332,"Sim","Não"),IF(BM332&lt;=BL332,"Sim","Não")))</f>
        <v/>
      </c>
      <c r="BP332" s="6"/>
      <c r="BQ332" s="6"/>
      <c r="BR332" s="4" t="str">
        <f aca="false">IF(OR(BP332="",BQ332=""),"",IFERROR(IF($K332="%",BQ332-BP332,BQ332/BP332-1),""))</f>
        <v/>
      </c>
      <c r="BS332" s="5" t="str">
        <f aca="false">IF(OR(BP332="",BQ332=""),"",IF($F332="Maior Melhor",IF(BQ332&gt;=BP332,"Sim","Não"),IF(BQ332&lt;=BP332,"Sim","Não")))</f>
        <v/>
      </c>
      <c r="BT332" s="6"/>
      <c r="BU332" s="6"/>
      <c r="BV332" s="4" t="str">
        <f aca="false">IF(OR(BT332="",BU332=""),"",IFERROR(IF($K332="%",BU332-BT332,BU332/BT332-1),""))</f>
        <v/>
      </c>
      <c r="BW332" s="5" t="str">
        <f aca="false">IF(OR(BT332="",BU332=""),"",IF($F332="Maior Melhor",IF(BU332&gt;=BT332,"Sim","Não"),IF(BU332&lt;=BT332,"Sim","Não")))</f>
        <v/>
      </c>
      <c r="BX332" s="6"/>
      <c r="BY332" s="6"/>
      <c r="BZ332" s="4" t="str">
        <f aca="false">IF(OR(BX332="",BY332=""),"",IFERROR(IF($K332="%",BY332-BX332,BY332/BX332-1),""))</f>
        <v/>
      </c>
      <c r="CA332" s="5" t="str">
        <f aca="false">IF(OR(BX332="",BY332=""),"",IF($F332="Maior Melhor",IF(BY332&gt;=BX332,"Sim","Não"),IF(BY332&lt;=BX332,"Sim","Não")))</f>
        <v/>
      </c>
      <c r="CB332" s="6"/>
      <c r="CC332" s="6"/>
      <c r="CD332" s="4" t="str">
        <f aca="false">IF(OR(CB332="",CC332=""),"",IFERROR(IF($K332="%",CC332-CB332,CC332/CB332-1),""))</f>
        <v/>
      </c>
      <c r="CE332" s="5" t="str">
        <f aca="false">IF(OR(CB332="",CC332=""),"",IF($F332="Maior Melhor",IF(CC332&gt;=CB332,"Sim","Não"),IF(CC332&lt;=CB332,"Sim","Não")))</f>
        <v/>
      </c>
      <c r="CF332" s="6"/>
      <c r="CG332" s="6"/>
      <c r="CH332" s="4" t="str">
        <f aca="false">IF(OR(CF332="",CG332=""),"",IFERROR(IF($K332="%",CG332-CF332,CG332/CF332-1),""))</f>
        <v/>
      </c>
      <c r="CI332" s="5" t="str">
        <f aca="false">IF(OR(CF332="",CG332=""),"",IF($F332="Maior Melhor",IF(CG332&gt;=CF332,"Sim","Não"),IF(CG332&lt;=CF332,"Sim","Não")))</f>
        <v/>
      </c>
      <c r="CJ332" s="6"/>
      <c r="CK332" s="6"/>
      <c r="CL332" s="4" t="str">
        <f aca="false">IF(OR(CJ332="",CK332=""),"",IFERROR(IF($K332="%",CK332-CJ332,CK332/CJ332-1),""))</f>
        <v/>
      </c>
      <c r="CM332" s="5" t="str">
        <f aca="false">IF(OR(CJ332="",CK332=""),"",IF($F332="Maior Melhor",IF(CK332&gt;=CJ332,"Sim","Não"),IF(CK332&lt;=CJ332,"Sim","Não")))</f>
        <v/>
      </c>
      <c r="CN332" s="6"/>
      <c r="CO332" s="6"/>
      <c r="CP332" s="4" t="str">
        <f aca="false">IF(OR(CN332="",CO332=""),"",IFERROR(IF($K332="%",CO332-CN332,CO332/CN332-1),""))</f>
        <v/>
      </c>
      <c r="CQ332" s="5" t="str">
        <f aca="false">IF(OR(CN332="",CO332=""),"",IF($F332="Maior Melhor",IF(CO332&gt;=CN332,"Sim","Não"),IF(CO332&lt;=CN332,"Sim","Não")))</f>
        <v/>
      </c>
      <c r="CR332" s="2" t="s">
        <v>105</v>
      </c>
    </row>
    <row r="333" customFormat="false" ht="15" hidden="false" customHeight="false" outlineLevel="0" collapsed="false">
      <c r="A333" s="2" t="s">
        <v>161</v>
      </c>
      <c r="B333" s="2" t="s">
        <v>108</v>
      </c>
      <c r="C333" s="2" t="s">
        <v>117</v>
      </c>
      <c r="D333" s="2" t="s">
        <v>200</v>
      </c>
      <c r="E333" s="2" t="str">
        <f aca="false">C333&amp;D333</f>
        <v>UTD GUANAMBIServiço atendido no prazo* (Eficácia da Demanda Regulada (Curto Prazo))</v>
      </c>
      <c r="F333" s="2" t="s">
        <v>100</v>
      </c>
      <c r="G333" s="2" t="s">
        <v>201</v>
      </c>
      <c r="H333" s="2" t="s">
        <v>102</v>
      </c>
      <c r="I333" s="2" t="s">
        <v>103</v>
      </c>
      <c r="J333" s="2" t="n">
        <v>3</v>
      </c>
      <c r="K333" s="2" t="s">
        <v>104</v>
      </c>
      <c r="L333" s="3" t="n">
        <v>0.992</v>
      </c>
      <c r="M333" s="3" t="n">
        <v>0.927</v>
      </c>
      <c r="N333" s="4" t="n">
        <f aca="false">IF(OR(L333="",M333=""),"",IFERROR(IF($K333="%",M333-L333,M333/L333-1),""))</f>
        <v>-0.065</v>
      </c>
      <c r="O333" s="5" t="str">
        <f aca="false">IF(OR(L333="",M333=""),"",IF($F333="Maior Melhor",IF(M333&gt;=L333,"Sim","Não"),IF(M333&lt;=L333,"Sim","Não")))</f>
        <v>Não</v>
      </c>
      <c r="P333" s="3" t="n">
        <v>0.992</v>
      </c>
      <c r="Q333" s="3" t="n">
        <v>0.979</v>
      </c>
      <c r="R333" s="4" t="n">
        <f aca="false">IF(OR(P333="",Q333=""),"",IFERROR(IF($K333="%",Q333-P333,Q333/P333-1),""))</f>
        <v>-0.013</v>
      </c>
      <c r="S333" s="5" t="str">
        <f aca="false">IF(OR(P333="",Q333=""),"",IF($F333="Maior Melhor",IF(Q333&gt;=P333,"Sim","Não"),IF(Q333&lt;=P333,"Sim","Não")))</f>
        <v>Não</v>
      </c>
      <c r="T333" s="3" t="n">
        <v>0.992</v>
      </c>
      <c r="U333" s="3" t="n">
        <v>0.992</v>
      </c>
      <c r="V333" s="4" t="n">
        <f aca="false">IF(OR(T333="",U333=""),"",IFERROR(IF($K333="%",U333-T333,U333/T333-1),""))</f>
        <v>0</v>
      </c>
      <c r="W333" s="5" t="str">
        <f aca="false">IF(OR(T333="",U333=""),"",IF($F333="Maior Melhor",IF(U333&gt;=T333,"Sim","Não"),IF(U333&lt;=T333,"Sim","Não")))</f>
        <v>Sim</v>
      </c>
      <c r="X333" s="3" t="n">
        <v>0.992</v>
      </c>
      <c r="Y333" s="3" t="n">
        <v>0.9993</v>
      </c>
      <c r="Z333" s="4" t="n">
        <f aca="false">IF(OR(X333="",Y333=""),"",IFERROR(IF($K333="%",Y333-X333,Y333/X333-1),""))</f>
        <v>0.00729999999999997</v>
      </c>
      <c r="AA333" s="5" t="str">
        <f aca="false">IF(OR(X333="",Y333=""),"",IF($F333="Maior Melhor",IF(Y333&gt;=X333,"Sim","Não"),IF(Y333&lt;=X333,"Sim","Não")))</f>
        <v>Sim</v>
      </c>
      <c r="AB333" s="3" t="n">
        <v>0.992</v>
      </c>
      <c r="AC333" s="3" t="n">
        <v>0.9977</v>
      </c>
      <c r="AD333" s="4" t="n">
        <f aca="false">IF(OR(AB333="",AC333=""),"",IFERROR(IF($K333="%",AC333-AB333,AC333/AB333-1),""))</f>
        <v>0.00570000000000004</v>
      </c>
      <c r="AE333" s="5" t="str">
        <f aca="false">IF(OR(AB333="",AC333=""),"",IF($F333="Maior Melhor",IF(AC333&gt;=AB333,"Sim","Não"),IF(AC333&lt;=AB333,"Sim","Não")))</f>
        <v>Sim</v>
      </c>
      <c r="AF333" s="3" t="n">
        <v>0.992</v>
      </c>
      <c r="AG333" s="3" t="n">
        <v>0.987851852</v>
      </c>
      <c r="AH333" s="4" t="n">
        <f aca="false">IF(OR(AF333="",AG333=""),"",IFERROR(IF($K333="%",AG333-AF333,AG333/AF333-1),""))</f>
        <v>-0.00414814799999996</v>
      </c>
      <c r="AI333" s="5" t="str">
        <f aca="false">IF(OR(AF333="",AG333=""),"",IF($F333="Maior Melhor",IF(AG333&gt;=AF333,"Sim","Não"),IF(AG333&lt;=AF333,"Sim","Não")))</f>
        <v>Não</v>
      </c>
      <c r="AJ333" s="3" t="n">
        <v>0.992</v>
      </c>
      <c r="AK333" s="3" t="n">
        <v>0.978592609</v>
      </c>
      <c r="AL333" s="4" t="n">
        <f aca="false">IF(OR(AJ333="",AK333=""),"",IFERROR(IF($K333="%",AK333-AJ333,AK333/AJ333-1),""))</f>
        <v>-0.013407391</v>
      </c>
      <c r="AM333" s="5" t="str">
        <f aca="false">IF(OR(AJ333="",AK333=""),"",IF($F333="Maior Melhor",IF(AK333&gt;=AJ333,"Sim","Não"),IF(AK333&lt;=AJ333,"Sim","Não")))</f>
        <v>Não</v>
      </c>
      <c r="AN333" s="3" t="n">
        <v>0.992</v>
      </c>
      <c r="AO333" s="3" t="n">
        <v>0.997189257</v>
      </c>
      <c r="AP333" s="4" t="n">
        <f aca="false">IF(OR(AN333="",AO333=""),"",IFERROR(IF($K333="%",AO333-AN333,AO333/AN333-1),""))</f>
        <v>0.00518925700000006</v>
      </c>
      <c r="AQ333" s="5" t="str">
        <f aca="false">IF(OR(AN333="",AO333=""),"",IF($F333="Maior Melhor",IF(AO333&gt;=AN333,"Sim","Não"),IF(AO333&lt;=AN333,"Sim","Não")))</f>
        <v>Sim</v>
      </c>
      <c r="AR333" s="3" t="n">
        <v>0.992</v>
      </c>
      <c r="AS333" s="3" t="n">
        <v>0.982089377</v>
      </c>
      <c r="AT333" s="4" t="n">
        <f aca="false">IF(OR(AR333="",AS333=""),"",IFERROR(IF($K333="%",AS333-AR333,AS333/AR333-1),""))</f>
        <v>-0.00991062300000001</v>
      </c>
      <c r="AU333" s="5" t="str">
        <f aca="false">IF(OR(AR333="",AS333=""),"",IF($F333="Maior Melhor",IF(AS333&gt;=AR333,"Sim","Não"),IF(AS333&lt;=AR333,"Sim","Não")))</f>
        <v>Não</v>
      </c>
      <c r="AV333" s="3" t="n">
        <v>0.992</v>
      </c>
      <c r="AW333" s="3" t="n">
        <v>0.998731367</v>
      </c>
      <c r="AX333" s="4" t="n">
        <f aca="false">IF(OR(AV333="",AW333=""),"",IFERROR(IF($K333="%",AW333-AV333,AW333/AV333-1),""))</f>
        <v>0.00673136699999999</v>
      </c>
      <c r="AY333" s="5" t="str">
        <f aca="false">IF(OR(AV333="",AW333=""),"",IF($F333="Maior Melhor",IF(AW333&gt;=AV333,"Sim","Não"),IF(AW333&lt;=AV333,"Sim","Não")))</f>
        <v>Sim</v>
      </c>
      <c r="AZ333" s="3" t="n">
        <v>0.992</v>
      </c>
      <c r="BA333" s="3" t="n">
        <v>0.984342483</v>
      </c>
      <c r="BB333" s="4" t="n">
        <f aca="false">IF(OR(AZ333="",BA333=""),"",IFERROR(IF($K333="%",BA333-AZ333,BA333/AZ333-1),""))</f>
        <v>-0.00765751699999995</v>
      </c>
      <c r="BC333" s="5" t="str">
        <f aca="false">IF(OR(AZ333="",BA333=""),"",IF($F333="Maior Melhor",IF(BA333&gt;=AZ333,"Sim","Não"),IF(BA333&lt;=AZ333,"Sim","Não")))</f>
        <v>Não</v>
      </c>
      <c r="BD333" s="3" t="n">
        <v>0.992</v>
      </c>
      <c r="BE333" s="3" t="n">
        <v>0.998</v>
      </c>
      <c r="BF333" s="4" t="n">
        <f aca="false">IF(OR(BD333="",BE333=""),"",IFERROR(IF($K333="%",BE333-BD333,BE333/BD333-1),""))</f>
        <v>0.00600000000000001</v>
      </c>
      <c r="BG333" s="5" t="str">
        <f aca="false">IF(OR(BD333="",BE333=""),"",IF($F333="Maior Melhor",IF(BE333&gt;=BD333,"Sim","Não"),IF(BE333&lt;=BD333,"Sim","Não")))</f>
        <v>Sim</v>
      </c>
      <c r="BH333" s="3" t="n">
        <v>0.992</v>
      </c>
      <c r="BI333" s="3" t="n">
        <v>0.986</v>
      </c>
      <c r="BJ333" s="4" t="n">
        <f aca="false">IF(OR(BH333="",BI333=""),"",IFERROR(IF($K333="%",BI333-BH333,BI333/BH333-1),""))</f>
        <v>-0.00600000000000001</v>
      </c>
      <c r="BK333" s="5" t="str">
        <f aca="false">IF(OR(BH333="",BI333=""),"",IF($F333="Maior Melhor",IF(BI333&gt;=BH333,"Sim","Não"),IF(BI333&lt;=BH333,"Sim","Não")))</f>
        <v>Não</v>
      </c>
      <c r="BL333" s="6"/>
      <c r="BM333" s="6"/>
      <c r="BN333" s="4" t="str">
        <f aca="false">IF(OR(BL333="",BM333=""),"",IFERROR(IF($K333="%",BM333-BL333,BM333/BL333-1),""))</f>
        <v/>
      </c>
      <c r="BO333" s="5" t="str">
        <f aca="false">IF(OR(BL333="",BM333=""),"",IF($F333="Maior Melhor",IF(BM333&gt;=BL333,"Sim","Não"),IF(BM333&lt;=BL333,"Sim","Não")))</f>
        <v/>
      </c>
      <c r="BP333" s="6"/>
      <c r="BQ333" s="6"/>
      <c r="BR333" s="4" t="str">
        <f aca="false">IF(OR(BP333="",BQ333=""),"",IFERROR(IF($K333="%",BQ333-BP333,BQ333/BP333-1),""))</f>
        <v/>
      </c>
      <c r="BS333" s="5" t="str">
        <f aca="false">IF(OR(BP333="",BQ333=""),"",IF($F333="Maior Melhor",IF(BQ333&gt;=BP333,"Sim","Não"),IF(BQ333&lt;=BP333,"Sim","Não")))</f>
        <v/>
      </c>
      <c r="BT333" s="6"/>
      <c r="BU333" s="6"/>
      <c r="BV333" s="4" t="str">
        <f aca="false">IF(OR(BT333="",BU333=""),"",IFERROR(IF($K333="%",BU333-BT333,BU333/BT333-1),""))</f>
        <v/>
      </c>
      <c r="BW333" s="5" t="str">
        <f aca="false">IF(OR(BT333="",BU333=""),"",IF($F333="Maior Melhor",IF(BU333&gt;=BT333,"Sim","Não"),IF(BU333&lt;=BT333,"Sim","Não")))</f>
        <v/>
      </c>
      <c r="BX333" s="6"/>
      <c r="BY333" s="6"/>
      <c r="BZ333" s="4" t="str">
        <f aca="false">IF(OR(BX333="",BY333=""),"",IFERROR(IF($K333="%",BY333-BX333,BY333/BX333-1),""))</f>
        <v/>
      </c>
      <c r="CA333" s="5" t="str">
        <f aca="false">IF(OR(BX333="",BY333=""),"",IF($F333="Maior Melhor",IF(BY333&gt;=BX333,"Sim","Não"),IF(BY333&lt;=BX333,"Sim","Não")))</f>
        <v/>
      </c>
      <c r="CB333" s="6"/>
      <c r="CC333" s="6"/>
      <c r="CD333" s="4" t="str">
        <f aca="false">IF(OR(CB333="",CC333=""),"",IFERROR(IF($K333="%",CC333-CB333,CC333/CB333-1),""))</f>
        <v/>
      </c>
      <c r="CE333" s="5" t="str">
        <f aca="false">IF(OR(CB333="",CC333=""),"",IF($F333="Maior Melhor",IF(CC333&gt;=CB333,"Sim","Não"),IF(CC333&lt;=CB333,"Sim","Não")))</f>
        <v/>
      </c>
      <c r="CF333" s="6"/>
      <c r="CG333" s="6"/>
      <c r="CH333" s="4" t="str">
        <f aca="false">IF(OR(CF333="",CG333=""),"",IFERROR(IF($K333="%",CG333-CF333,CG333/CF333-1),""))</f>
        <v/>
      </c>
      <c r="CI333" s="5" t="str">
        <f aca="false">IF(OR(CF333="",CG333=""),"",IF($F333="Maior Melhor",IF(CG333&gt;=CF333,"Sim","Não"),IF(CG333&lt;=CF333,"Sim","Não")))</f>
        <v/>
      </c>
      <c r="CJ333" s="6"/>
      <c r="CK333" s="6"/>
      <c r="CL333" s="4" t="str">
        <f aca="false">IF(OR(CJ333="",CK333=""),"",IFERROR(IF($K333="%",CK333-CJ333,CK333/CJ333-1),""))</f>
        <v/>
      </c>
      <c r="CM333" s="5" t="str">
        <f aca="false">IF(OR(CJ333="",CK333=""),"",IF($F333="Maior Melhor",IF(CK333&gt;=CJ333,"Sim","Não"),IF(CK333&lt;=CJ333,"Sim","Não")))</f>
        <v/>
      </c>
      <c r="CN333" s="6"/>
      <c r="CO333" s="6"/>
      <c r="CP333" s="4" t="str">
        <f aca="false">IF(OR(CN333="",CO333=""),"",IFERROR(IF($K333="%",CO333-CN333,CO333/CN333-1),""))</f>
        <v/>
      </c>
      <c r="CQ333" s="5" t="str">
        <f aca="false">IF(OR(CN333="",CO333=""),"",IF($F333="Maior Melhor",IF(CO333&gt;=CN333,"Sim","Não"),IF(CO333&lt;=CN333,"Sim","Não")))</f>
        <v/>
      </c>
      <c r="CR333" s="2" t="s">
        <v>105</v>
      </c>
    </row>
    <row r="334" customFormat="false" ht="15" hidden="false" customHeight="false" outlineLevel="0" collapsed="false">
      <c r="A334" s="2" t="s">
        <v>161</v>
      </c>
      <c r="B334" s="2" t="s">
        <v>106</v>
      </c>
      <c r="C334" s="2" t="s">
        <v>118</v>
      </c>
      <c r="D334" s="2" t="s">
        <v>200</v>
      </c>
      <c r="E334" s="2" t="str">
        <f aca="false">C334&amp;D334</f>
        <v>UTD IBOTIRAMAServiço atendido no prazo* (Eficácia da Demanda Regulada (Curto Prazo))</v>
      </c>
      <c r="F334" s="2" t="s">
        <v>100</v>
      </c>
      <c r="G334" s="2" t="s">
        <v>201</v>
      </c>
      <c r="H334" s="2" t="s">
        <v>119</v>
      </c>
      <c r="I334" s="2" t="s">
        <v>103</v>
      </c>
      <c r="J334" s="2" t="n">
        <v>3</v>
      </c>
      <c r="K334" s="2" t="s">
        <v>104</v>
      </c>
      <c r="L334" s="3" t="n">
        <v>0.992</v>
      </c>
      <c r="M334" s="3" t="n">
        <v>0.992</v>
      </c>
      <c r="N334" s="4" t="n">
        <f aca="false">IF(OR(L334="",M334=""),"",IFERROR(IF($K334="%",M334-L334,M334/L334-1),""))</f>
        <v>0</v>
      </c>
      <c r="O334" s="5" t="str">
        <f aca="false">IF(OR(L334="",M334=""),"",IF($F334="Maior Melhor",IF(M334&gt;=L334,"Sim","Não"),IF(M334&lt;=L334,"Sim","Não")))</f>
        <v>Sim</v>
      </c>
      <c r="P334" s="3" t="n">
        <v>0.992</v>
      </c>
      <c r="Q334" s="3" t="n">
        <v>0.996</v>
      </c>
      <c r="R334" s="4" t="n">
        <f aca="false">IF(OR(P334="",Q334=""),"",IFERROR(IF($K334="%",Q334-P334,Q334/P334-1),""))</f>
        <v>0.004</v>
      </c>
      <c r="S334" s="5" t="str">
        <f aca="false">IF(OR(P334="",Q334=""),"",IF($F334="Maior Melhor",IF(Q334&gt;=P334,"Sim","Não"),IF(Q334&lt;=P334,"Sim","Não")))</f>
        <v>Sim</v>
      </c>
      <c r="T334" s="3" t="n">
        <v>0.992</v>
      </c>
      <c r="U334" s="3" t="n">
        <v>0.995</v>
      </c>
      <c r="V334" s="4" t="n">
        <f aca="false">IF(OR(T334="",U334=""),"",IFERROR(IF($K334="%",U334-T334,U334/T334-1),""))</f>
        <v>0.003</v>
      </c>
      <c r="W334" s="5" t="str">
        <f aca="false">IF(OR(T334="",U334=""),"",IF($F334="Maior Melhor",IF(U334&gt;=T334,"Sim","Não"),IF(U334&lt;=T334,"Sim","Não")))</f>
        <v>Sim</v>
      </c>
      <c r="X334" s="3" t="n">
        <v>0.992</v>
      </c>
      <c r="Y334" s="3" t="n">
        <v>0.9961</v>
      </c>
      <c r="Z334" s="4" t="n">
        <f aca="false">IF(OR(X334="",Y334=""),"",IFERROR(IF($K334="%",Y334-X334,Y334/X334-1),""))</f>
        <v>0.00409999999999999</v>
      </c>
      <c r="AA334" s="5" t="str">
        <f aca="false">IF(OR(X334="",Y334=""),"",IF($F334="Maior Melhor",IF(Y334&gt;=X334,"Sim","Não"),IF(Y334&lt;=X334,"Sim","Não")))</f>
        <v>Sim</v>
      </c>
      <c r="AB334" s="3" t="n">
        <v>0.992</v>
      </c>
      <c r="AC334" s="3" t="n">
        <v>0.9977</v>
      </c>
      <c r="AD334" s="4" t="n">
        <f aca="false">IF(OR(AB334="",AC334=""),"",IFERROR(IF($K334="%",AC334-AB334,AC334/AB334-1),""))</f>
        <v>0.00570000000000004</v>
      </c>
      <c r="AE334" s="5" t="str">
        <f aca="false">IF(OR(AB334="",AC334=""),"",IF($F334="Maior Melhor",IF(AC334&gt;=AB334,"Sim","Não"),IF(AC334&lt;=AB334,"Sim","Não")))</f>
        <v>Sim</v>
      </c>
      <c r="AF334" s="3" t="n">
        <v>0.992</v>
      </c>
      <c r="AG334" s="3" t="n">
        <v>0.996604414</v>
      </c>
      <c r="AH334" s="4" t="n">
        <f aca="false">IF(OR(AF334="",AG334=""),"",IFERROR(IF($K334="%",AG334-AF334,AG334/AF334-1),""))</f>
        <v>0.004604414</v>
      </c>
      <c r="AI334" s="5" t="str">
        <f aca="false">IF(OR(AF334="",AG334=""),"",IF($F334="Maior Melhor",IF(AG334&gt;=AF334,"Sim","Não"),IF(AG334&lt;=AF334,"Sim","Não")))</f>
        <v>Sim</v>
      </c>
      <c r="AJ334" s="3" t="n">
        <v>0.992</v>
      </c>
      <c r="AK334" s="3" t="n">
        <v>0.99582568</v>
      </c>
      <c r="AL334" s="4" t="n">
        <f aca="false">IF(OR(AJ334="",AK334=""),"",IFERROR(IF($K334="%",AK334-AJ334,AK334/AJ334-1),""))</f>
        <v>0.00382568000000005</v>
      </c>
      <c r="AM334" s="5" t="str">
        <f aca="false">IF(OR(AJ334="",AK334=""),"",IF($F334="Maior Melhor",IF(AK334&gt;=AJ334,"Sim","Não"),IF(AK334&lt;=AJ334,"Sim","Não")))</f>
        <v>Sim</v>
      </c>
      <c r="AN334" s="3" t="n">
        <v>0.992</v>
      </c>
      <c r="AO334" s="3" t="n">
        <v>0.998570407</v>
      </c>
      <c r="AP334" s="4" t="n">
        <f aca="false">IF(OR(AN334="",AO334=""),"",IFERROR(IF($K334="%",AO334-AN334,AO334/AN334-1),""))</f>
        <v>0.006570407</v>
      </c>
      <c r="AQ334" s="5" t="str">
        <f aca="false">IF(OR(AN334="",AO334=""),"",IF($F334="Maior Melhor",IF(AO334&gt;=AN334,"Sim","Não"),IF(AO334&lt;=AN334,"Sim","Não")))</f>
        <v>Sim</v>
      </c>
      <c r="AR334" s="3" t="n">
        <v>0.992</v>
      </c>
      <c r="AS334" s="3" t="n">
        <v>0.996345425</v>
      </c>
      <c r="AT334" s="4" t="n">
        <f aca="false">IF(OR(AR334="",AS334=""),"",IFERROR(IF($K334="%",AS334-AR334,AS334/AR334-1),""))</f>
        <v>0.00434542500000001</v>
      </c>
      <c r="AU334" s="5" t="str">
        <f aca="false">IF(OR(AR334="",AS334=""),"",IF($F334="Maior Melhor",IF(AS334&gt;=AR334,"Sim","Não"),IF(AS334&lt;=AR334,"Sim","Não")))</f>
        <v>Sim</v>
      </c>
      <c r="AV334" s="3" t="n">
        <v>0.992</v>
      </c>
      <c r="AW334" s="3" t="n">
        <v>1</v>
      </c>
      <c r="AX334" s="4" t="n">
        <f aca="false">IF(OR(AV334="",AW334=""),"",IFERROR(IF($K334="%",AW334-AV334,AW334/AV334-1),""))</f>
        <v>0.00800000000000001</v>
      </c>
      <c r="AY334" s="5" t="str">
        <f aca="false">IF(OR(AV334="",AW334=""),"",IF($F334="Maior Melhor",IF(AW334&gt;=AV334,"Sim","Não"),IF(AW334&lt;=AV334,"Sim","Não")))</f>
        <v>Sim</v>
      </c>
      <c r="AZ334" s="3" t="n">
        <v>0.992</v>
      </c>
      <c r="BA334" s="3" t="n">
        <v>0.995911414</v>
      </c>
      <c r="BB334" s="4" t="n">
        <f aca="false">IF(OR(AZ334="",BA334=""),"",IFERROR(IF($K334="%",BA334-AZ334,BA334/AZ334-1),""))</f>
        <v>0.00391141400000006</v>
      </c>
      <c r="BC334" s="5" t="str">
        <f aca="false">IF(OR(AZ334="",BA334=""),"",IF($F334="Maior Melhor",IF(BA334&gt;=AZ334,"Sim","Não"),IF(BA334&lt;=AZ334,"Sim","Não")))</f>
        <v>Sim</v>
      </c>
      <c r="BD334" s="3" t="n">
        <v>0.992</v>
      </c>
      <c r="BE334" s="3" t="n">
        <v>0.999</v>
      </c>
      <c r="BF334" s="4" t="n">
        <f aca="false">IF(OR(BD334="",BE334=""),"",IFERROR(IF($K334="%",BE334-BD334,BE334/BD334-1),""))</f>
        <v>0.00700000000000001</v>
      </c>
      <c r="BG334" s="5" t="str">
        <f aca="false">IF(OR(BD334="",BE334=""),"",IF($F334="Maior Melhor",IF(BE334&gt;=BD334,"Sim","Não"),IF(BE334&lt;=BD334,"Sim","Não")))</f>
        <v>Sim</v>
      </c>
      <c r="BH334" s="3" t="n">
        <v>0.992</v>
      </c>
      <c r="BI334" s="3" t="n">
        <v>0.996</v>
      </c>
      <c r="BJ334" s="4" t="n">
        <f aca="false">IF(OR(BH334="",BI334=""),"",IFERROR(IF($K334="%",BI334-BH334,BI334/BH334-1),""))</f>
        <v>0.004</v>
      </c>
      <c r="BK334" s="5" t="str">
        <f aca="false">IF(OR(BH334="",BI334=""),"",IF($F334="Maior Melhor",IF(BI334&gt;=BH334,"Sim","Não"),IF(BI334&lt;=BH334,"Sim","Não")))</f>
        <v>Sim</v>
      </c>
      <c r="BL334" s="6"/>
      <c r="BM334" s="6"/>
      <c r="BN334" s="4" t="str">
        <f aca="false">IF(OR(BL334="",BM334=""),"",IFERROR(IF($K334="%",BM334-BL334,BM334/BL334-1),""))</f>
        <v/>
      </c>
      <c r="BO334" s="5" t="str">
        <f aca="false">IF(OR(BL334="",BM334=""),"",IF($F334="Maior Melhor",IF(BM334&gt;=BL334,"Sim","Não"),IF(BM334&lt;=BL334,"Sim","Não")))</f>
        <v/>
      </c>
      <c r="BP334" s="6"/>
      <c r="BQ334" s="6"/>
      <c r="BR334" s="4" t="str">
        <f aca="false">IF(OR(BP334="",BQ334=""),"",IFERROR(IF($K334="%",BQ334-BP334,BQ334/BP334-1),""))</f>
        <v/>
      </c>
      <c r="BS334" s="5" t="str">
        <f aca="false">IF(OR(BP334="",BQ334=""),"",IF($F334="Maior Melhor",IF(BQ334&gt;=BP334,"Sim","Não"),IF(BQ334&lt;=BP334,"Sim","Não")))</f>
        <v/>
      </c>
      <c r="BT334" s="6"/>
      <c r="BU334" s="6"/>
      <c r="BV334" s="4" t="str">
        <f aca="false">IF(OR(BT334="",BU334=""),"",IFERROR(IF($K334="%",BU334-BT334,BU334/BT334-1),""))</f>
        <v/>
      </c>
      <c r="BW334" s="5" t="str">
        <f aca="false">IF(OR(BT334="",BU334=""),"",IF($F334="Maior Melhor",IF(BU334&gt;=BT334,"Sim","Não"),IF(BU334&lt;=BT334,"Sim","Não")))</f>
        <v/>
      </c>
      <c r="BX334" s="6"/>
      <c r="BY334" s="6"/>
      <c r="BZ334" s="4" t="str">
        <f aca="false">IF(OR(BX334="",BY334=""),"",IFERROR(IF($K334="%",BY334-BX334,BY334/BX334-1),""))</f>
        <v/>
      </c>
      <c r="CA334" s="5" t="str">
        <f aca="false">IF(OR(BX334="",BY334=""),"",IF($F334="Maior Melhor",IF(BY334&gt;=BX334,"Sim","Não"),IF(BY334&lt;=BX334,"Sim","Não")))</f>
        <v/>
      </c>
      <c r="CB334" s="6"/>
      <c r="CC334" s="6"/>
      <c r="CD334" s="4" t="str">
        <f aca="false">IF(OR(CB334="",CC334=""),"",IFERROR(IF($K334="%",CC334-CB334,CC334/CB334-1),""))</f>
        <v/>
      </c>
      <c r="CE334" s="5" t="str">
        <f aca="false">IF(OR(CB334="",CC334=""),"",IF($F334="Maior Melhor",IF(CC334&gt;=CB334,"Sim","Não"),IF(CC334&lt;=CB334,"Sim","Não")))</f>
        <v/>
      </c>
      <c r="CF334" s="6"/>
      <c r="CG334" s="6"/>
      <c r="CH334" s="4" t="str">
        <f aca="false">IF(OR(CF334="",CG334=""),"",IFERROR(IF($K334="%",CG334-CF334,CG334/CF334-1),""))</f>
        <v/>
      </c>
      <c r="CI334" s="5" t="str">
        <f aca="false">IF(OR(CF334="",CG334=""),"",IF($F334="Maior Melhor",IF(CG334&gt;=CF334,"Sim","Não"),IF(CG334&lt;=CF334,"Sim","Não")))</f>
        <v/>
      </c>
      <c r="CJ334" s="6"/>
      <c r="CK334" s="6"/>
      <c r="CL334" s="4" t="str">
        <f aca="false">IF(OR(CJ334="",CK334=""),"",IFERROR(IF($K334="%",CK334-CJ334,CK334/CJ334-1),""))</f>
        <v/>
      </c>
      <c r="CM334" s="5" t="str">
        <f aca="false">IF(OR(CJ334="",CK334=""),"",IF($F334="Maior Melhor",IF(CK334&gt;=CJ334,"Sim","Não"),IF(CK334&lt;=CJ334,"Sim","Não")))</f>
        <v/>
      </c>
      <c r="CN334" s="6"/>
      <c r="CO334" s="6"/>
      <c r="CP334" s="4" t="str">
        <f aca="false">IF(OR(CN334="",CO334=""),"",IFERROR(IF($K334="%",CO334-CN334,CO334/CN334-1),""))</f>
        <v/>
      </c>
      <c r="CQ334" s="5" t="str">
        <f aca="false">IF(OR(CN334="",CO334=""),"",IF($F334="Maior Melhor",IF(CO334&gt;=CN334,"Sim","Não"),IF(CO334&lt;=CN334,"Sim","Não")))</f>
        <v/>
      </c>
      <c r="CR334" s="2" t="s">
        <v>134</v>
      </c>
    </row>
    <row r="335" customFormat="false" ht="15" hidden="false" customHeight="false" outlineLevel="0" collapsed="false">
      <c r="A335" s="2" t="s">
        <v>161</v>
      </c>
      <c r="B335" s="2" t="s">
        <v>97</v>
      </c>
      <c r="C335" s="2" t="s">
        <v>121</v>
      </c>
      <c r="D335" s="2" t="s">
        <v>200</v>
      </c>
      <c r="E335" s="2" t="str">
        <f aca="false">C335&amp;D335</f>
        <v>UTD IRECÊServiço atendido no prazo* (Eficácia da Demanda Regulada (Curto Prazo))</v>
      </c>
      <c r="F335" s="2" t="s">
        <v>100</v>
      </c>
      <c r="G335" s="2" t="s">
        <v>201</v>
      </c>
      <c r="H335" s="2" t="s">
        <v>102</v>
      </c>
      <c r="I335" s="2" t="s">
        <v>103</v>
      </c>
      <c r="J335" s="2" t="n">
        <v>3</v>
      </c>
      <c r="K335" s="2" t="s">
        <v>104</v>
      </c>
      <c r="L335" s="3" t="n">
        <v>0.992</v>
      </c>
      <c r="M335" s="3" t="n">
        <v>0.996</v>
      </c>
      <c r="N335" s="4" t="n">
        <f aca="false">IF(OR(L335="",M335=""),"",IFERROR(IF($K335="%",M335-L335,M335/L335-1),""))</f>
        <v>0.004</v>
      </c>
      <c r="O335" s="5" t="str">
        <f aca="false">IF(OR(L335="",M335=""),"",IF($F335="Maior Melhor",IF(M335&gt;=L335,"Sim","Não"),IF(M335&lt;=L335,"Sim","Não")))</f>
        <v>Sim</v>
      </c>
      <c r="P335" s="3" t="n">
        <v>0.992</v>
      </c>
      <c r="Q335" s="3" t="n">
        <v>0.996</v>
      </c>
      <c r="R335" s="4" t="n">
        <f aca="false">IF(OR(P335="",Q335=""),"",IFERROR(IF($K335="%",Q335-P335,Q335/P335-1),""))</f>
        <v>0.004</v>
      </c>
      <c r="S335" s="5" t="str">
        <f aca="false">IF(OR(P335="",Q335=""),"",IF($F335="Maior Melhor",IF(Q335&gt;=P335,"Sim","Não"),IF(Q335&lt;=P335,"Sim","Não")))</f>
        <v>Sim</v>
      </c>
      <c r="T335" s="3" t="n">
        <v>0.992</v>
      </c>
      <c r="U335" s="3" t="n">
        <v>0.991</v>
      </c>
      <c r="V335" s="4" t="n">
        <f aca="false">IF(OR(T335="",U335=""),"",IFERROR(IF($K335="%",U335-T335,U335/T335-1),""))</f>
        <v>-0.001</v>
      </c>
      <c r="W335" s="5" t="str">
        <f aca="false">IF(OR(T335="",U335=""),"",IF($F335="Maior Melhor",IF(U335&gt;=T335,"Sim","Não"),IF(U335&lt;=T335,"Sim","Não")))</f>
        <v>Não</v>
      </c>
      <c r="X335" s="3" t="n">
        <v>0.992</v>
      </c>
      <c r="Y335" s="3" t="n">
        <v>0.9997</v>
      </c>
      <c r="Z335" s="4" t="n">
        <f aca="false">IF(OR(X335="",Y335=""),"",IFERROR(IF($K335="%",Y335-X335,Y335/X335-1),""))</f>
        <v>0.00770000000000004</v>
      </c>
      <c r="AA335" s="5" t="str">
        <f aca="false">IF(OR(X335="",Y335=""),"",IF($F335="Maior Melhor",IF(Y335&gt;=X335,"Sim","Não"),IF(Y335&lt;=X335,"Sim","Não")))</f>
        <v>Sim</v>
      </c>
      <c r="AB335" s="3" t="n">
        <v>0.992</v>
      </c>
      <c r="AC335" s="3" t="n">
        <v>0.9977</v>
      </c>
      <c r="AD335" s="4" t="n">
        <f aca="false">IF(OR(AB335="",AC335=""),"",IFERROR(IF($K335="%",AC335-AB335,AC335/AB335-1),""))</f>
        <v>0.00570000000000004</v>
      </c>
      <c r="AE335" s="5" t="str">
        <f aca="false">IF(OR(AB335="",AC335=""),"",IF($F335="Maior Melhor",IF(AC335&gt;=AB335,"Sim","Não"),IF(AC335&lt;=AB335,"Sim","Não")))</f>
        <v>Sim</v>
      </c>
      <c r="AF335" s="3" t="n">
        <v>0.992</v>
      </c>
      <c r="AG335" s="3" t="n">
        <v>0.996866715</v>
      </c>
      <c r="AH335" s="4" t="n">
        <f aca="false">IF(OR(AF335="",AG335=""),"",IFERROR(IF($K335="%",AG335-AF335,AG335/AF335-1),""))</f>
        <v>0.00486671500000002</v>
      </c>
      <c r="AI335" s="5" t="str">
        <f aca="false">IF(OR(AF335="",AG335=""),"",IF($F335="Maior Melhor",IF(AG335&gt;=AF335,"Sim","Não"),IF(AG335&lt;=AF335,"Sim","Não")))</f>
        <v>Sim</v>
      </c>
      <c r="AJ335" s="3" t="n">
        <v>0.992</v>
      </c>
      <c r="AK335" s="3" t="n">
        <v>0.997197781</v>
      </c>
      <c r="AL335" s="4" t="n">
        <f aca="false">IF(OR(AJ335="",AK335=""),"",IFERROR(IF($K335="%",AK335-AJ335,AK335/AJ335-1),""))</f>
        <v>0.00519778100000001</v>
      </c>
      <c r="AM335" s="5" t="str">
        <f aca="false">IF(OR(AJ335="",AK335=""),"",IF($F335="Maior Melhor",IF(AK335&gt;=AJ335,"Sim","Não"),IF(AK335&lt;=AJ335,"Sim","Não")))</f>
        <v>Sim</v>
      </c>
      <c r="AN335" s="3" t="n">
        <v>0.992</v>
      </c>
      <c r="AO335" s="3" t="n">
        <v>0.998322952</v>
      </c>
      <c r="AP335" s="4" t="n">
        <f aca="false">IF(OR(AN335="",AO335=""),"",IFERROR(IF($K335="%",AO335-AN335,AO335/AN335-1),""))</f>
        <v>0.00632295199999999</v>
      </c>
      <c r="AQ335" s="5" t="str">
        <f aca="false">IF(OR(AN335="",AO335=""),"",IF($F335="Maior Melhor",IF(AO335&gt;=AN335,"Sim","Não"),IF(AO335&lt;=AN335,"Sim","Não")))</f>
        <v>Sim</v>
      </c>
      <c r="AR335" s="3" t="n">
        <v>0.992</v>
      </c>
      <c r="AS335" s="3" t="n">
        <v>0.997411091</v>
      </c>
      <c r="AT335" s="4" t="n">
        <f aca="false">IF(OR(AR335="",AS335=""),"",IFERROR(IF($K335="%",AS335-AR335,AS335/AR335-1),""))</f>
        <v>0.00541109100000003</v>
      </c>
      <c r="AU335" s="5" t="str">
        <f aca="false">IF(OR(AR335="",AS335=""),"",IF($F335="Maior Melhor",IF(AS335&gt;=AR335,"Sim","Não"),IF(AS335&lt;=AR335,"Sim","Não")))</f>
        <v>Sim</v>
      </c>
      <c r="AV335" s="3" t="n">
        <v>0.992</v>
      </c>
      <c r="AW335" s="3" t="n">
        <v>0.99951148</v>
      </c>
      <c r="AX335" s="4" t="n">
        <f aca="false">IF(OR(AV335="",AW335=""),"",IFERROR(IF($K335="%",AW335-AV335,AW335/AV335-1),""))</f>
        <v>0.00751148000000002</v>
      </c>
      <c r="AY335" s="5" t="str">
        <f aca="false">IF(OR(AV335="",AW335=""),"",IF($F335="Maior Melhor",IF(AW335&gt;=AV335,"Sim","Não"),IF(AW335&lt;=AV335,"Sim","Não")))</f>
        <v>Sim</v>
      </c>
      <c r="AZ335" s="3" t="n">
        <v>0.992</v>
      </c>
      <c r="BA335" s="3" t="n">
        <v>0.997702118</v>
      </c>
      <c r="BB335" s="4" t="n">
        <f aca="false">IF(OR(AZ335="",BA335=""),"",IFERROR(IF($K335="%",BA335-AZ335,BA335/AZ335-1),""))</f>
        <v>0.00570211799999998</v>
      </c>
      <c r="BC335" s="5" t="str">
        <f aca="false">IF(OR(AZ335="",BA335=""),"",IF($F335="Maior Melhor",IF(BA335&gt;=AZ335,"Sim","Não"),IF(BA335&lt;=AZ335,"Sim","Não")))</f>
        <v>Sim</v>
      </c>
      <c r="BD335" s="3" t="n">
        <v>0.992</v>
      </c>
      <c r="BE335" s="3" t="n">
        <v>0.998</v>
      </c>
      <c r="BF335" s="4" t="n">
        <f aca="false">IF(OR(BD335="",BE335=""),"",IFERROR(IF($K335="%",BE335-BD335,BE335/BD335-1),""))</f>
        <v>0.00600000000000001</v>
      </c>
      <c r="BG335" s="5" t="str">
        <f aca="false">IF(OR(BD335="",BE335=""),"",IF($F335="Maior Melhor",IF(BE335&gt;=BD335,"Sim","Não"),IF(BE335&lt;=BD335,"Sim","Não")))</f>
        <v>Sim</v>
      </c>
      <c r="BH335" s="3" t="n">
        <v>0.992</v>
      </c>
      <c r="BI335" s="3" t="n">
        <v>0.998</v>
      </c>
      <c r="BJ335" s="4" t="n">
        <f aca="false">IF(OR(BH335="",BI335=""),"",IFERROR(IF($K335="%",BI335-BH335,BI335/BH335-1),""))</f>
        <v>0.00600000000000001</v>
      </c>
      <c r="BK335" s="5" t="str">
        <f aca="false">IF(OR(BH335="",BI335=""),"",IF($F335="Maior Melhor",IF(BI335&gt;=BH335,"Sim","Não"),IF(BI335&lt;=BH335,"Sim","Não")))</f>
        <v>Sim</v>
      </c>
      <c r="BL335" s="6"/>
      <c r="BM335" s="6"/>
      <c r="BN335" s="4" t="str">
        <f aca="false">IF(OR(BL335="",BM335=""),"",IFERROR(IF($K335="%",BM335-BL335,BM335/BL335-1),""))</f>
        <v/>
      </c>
      <c r="BO335" s="5" t="str">
        <f aca="false">IF(OR(BL335="",BM335=""),"",IF($F335="Maior Melhor",IF(BM335&gt;=BL335,"Sim","Não"),IF(BM335&lt;=BL335,"Sim","Não")))</f>
        <v/>
      </c>
      <c r="BP335" s="6"/>
      <c r="BQ335" s="6"/>
      <c r="BR335" s="4" t="str">
        <f aca="false">IF(OR(BP335="",BQ335=""),"",IFERROR(IF($K335="%",BQ335-BP335,BQ335/BP335-1),""))</f>
        <v/>
      </c>
      <c r="BS335" s="5" t="str">
        <f aca="false">IF(OR(BP335="",BQ335=""),"",IF($F335="Maior Melhor",IF(BQ335&gt;=BP335,"Sim","Não"),IF(BQ335&lt;=BP335,"Sim","Não")))</f>
        <v/>
      </c>
      <c r="BT335" s="6"/>
      <c r="BU335" s="6"/>
      <c r="BV335" s="4" t="str">
        <f aca="false">IF(OR(BT335="",BU335=""),"",IFERROR(IF($K335="%",BU335-BT335,BU335/BT335-1),""))</f>
        <v/>
      </c>
      <c r="BW335" s="5" t="str">
        <f aca="false">IF(OR(BT335="",BU335=""),"",IF($F335="Maior Melhor",IF(BU335&gt;=BT335,"Sim","Não"),IF(BU335&lt;=BT335,"Sim","Não")))</f>
        <v/>
      </c>
      <c r="BX335" s="6"/>
      <c r="BY335" s="6"/>
      <c r="BZ335" s="4" t="str">
        <f aca="false">IF(OR(BX335="",BY335=""),"",IFERROR(IF($K335="%",BY335-BX335,BY335/BX335-1),""))</f>
        <v/>
      </c>
      <c r="CA335" s="5" t="str">
        <f aca="false">IF(OR(BX335="",BY335=""),"",IF($F335="Maior Melhor",IF(BY335&gt;=BX335,"Sim","Não"),IF(BY335&lt;=BX335,"Sim","Não")))</f>
        <v/>
      </c>
      <c r="CB335" s="6"/>
      <c r="CC335" s="6"/>
      <c r="CD335" s="4" t="str">
        <f aca="false">IF(OR(CB335="",CC335=""),"",IFERROR(IF($K335="%",CC335-CB335,CC335/CB335-1),""))</f>
        <v/>
      </c>
      <c r="CE335" s="5" t="str">
        <f aca="false">IF(OR(CB335="",CC335=""),"",IF($F335="Maior Melhor",IF(CC335&gt;=CB335,"Sim","Não"),IF(CC335&lt;=CB335,"Sim","Não")))</f>
        <v/>
      </c>
      <c r="CF335" s="6"/>
      <c r="CG335" s="6"/>
      <c r="CH335" s="4" t="str">
        <f aca="false">IF(OR(CF335="",CG335=""),"",IFERROR(IF($K335="%",CG335-CF335,CG335/CF335-1),""))</f>
        <v/>
      </c>
      <c r="CI335" s="5" t="str">
        <f aca="false">IF(OR(CF335="",CG335=""),"",IF($F335="Maior Melhor",IF(CG335&gt;=CF335,"Sim","Não"),IF(CG335&lt;=CF335,"Sim","Não")))</f>
        <v/>
      </c>
      <c r="CJ335" s="6"/>
      <c r="CK335" s="6"/>
      <c r="CL335" s="4" t="str">
        <f aca="false">IF(OR(CJ335="",CK335=""),"",IFERROR(IF($K335="%",CK335-CJ335,CK335/CJ335-1),""))</f>
        <v/>
      </c>
      <c r="CM335" s="5" t="str">
        <f aca="false">IF(OR(CJ335="",CK335=""),"",IF($F335="Maior Melhor",IF(CK335&gt;=CJ335,"Sim","Não"),IF(CK335&lt;=CJ335,"Sim","Não")))</f>
        <v/>
      </c>
      <c r="CN335" s="6"/>
      <c r="CO335" s="6"/>
      <c r="CP335" s="4" t="str">
        <f aca="false">IF(OR(CN335="",CO335=""),"",IFERROR(IF($K335="%",CO335-CN335,CO335/CN335-1),""))</f>
        <v/>
      </c>
      <c r="CQ335" s="5" t="str">
        <f aca="false">IF(OR(CN335="",CO335=""),"",IF($F335="Maior Melhor",IF(CO335&gt;=CN335,"Sim","Não"),IF(CO335&lt;=CN335,"Sim","Não")))</f>
        <v/>
      </c>
      <c r="CR335" s="2" t="s">
        <v>105</v>
      </c>
    </row>
    <row r="336" customFormat="false" ht="15" hidden="false" customHeight="false" outlineLevel="0" collapsed="false">
      <c r="A336" s="2" t="s">
        <v>161</v>
      </c>
      <c r="B336" s="2" t="s">
        <v>97</v>
      </c>
      <c r="C336" s="2" t="s">
        <v>122</v>
      </c>
      <c r="D336" s="2" t="s">
        <v>200</v>
      </c>
      <c r="E336" s="2" t="str">
        <f aca="false">C336&amp;D336</f>
        <v>UTD ITABERABAServiço atendido no prazo* (Eficácia da Demanda Regulada (Curto Prazo))</v>
      </c>
      <c r="F336" s="2" t="s">
        <v>100</v>
      </c>
      <c r="G336" s="2" t="s">
        <v>201</v>
      </c>
      <c r="H336" s="2" t="s">
        <v>102</v>
      </c>
      <c r="I336" s="2" t="s">
        <v>103</v>
      </c>
      <c r="J336" s="2" t="n">
        <v>3</v>
      </c>
      <c r="K336" s="2" t="s">
        <v>104</v>
      </c>
      <c r="L336" s="3" t="n">
        <v>0.992</v>
      </c>
      <c r="M336" s="3" t="n">
        <v>0.996</v>
      </c>
      <c r="N336" s="4" t="n">
        <f aca="false">IF(OR(L336="",M336=""),"",IFERROR(IF($K336="%",M336-L336,M336/L336-1),""))</f>
        <v>0.004</v>
      </c>
      <c r="O336" s="5" t="str">
        <f aca="false">IF(OR(L336="",M336=""),"",IF($F336="Maior Melhor",IF(M336&gt;=L336,"Sim","Não"),IF(M336&lt;=L336,"Sim","Não")))</f>
        <v>Sim</v>
      </c>
      <c r="P336" s="3" t="n">
        <v>0.992</v>
      </c>
      <c r="Q336" s="3" t="n">
        <v>0.994</v>
      </c>
      <c r="R336" s="4" t="n">
        <f aca="false">IF(OR(P336="",Q336=""),"",IFERROR(IF($K336="%",Q336-P336,Q336/P336-1),""))</f>
        <v>0.002</v>
      </c>
      <c r="S336" s="5" t="str">
        <f aca="false">IF(OR(P336="",Q336=""),"",IF($F336="Maior Melhor",IF(Q336&gt;=P336,"Sim","Não"),IF(Q336&lt;=P336,"Sim","Não")))</f>
        <v>Sim</v>
      </c>
      <c r="T336" s="3" t="n">
        <v>0.992</v>
      </c>
      <c r="U336" s="3" t="n">
        <v>0.991</v>
      </c>
      <c r="V336" s="4" t="n">
        <f aca="false">IF(OR(T336="",U336=""),"",IFERROR(IF($K336="%",U336-T336,U336/T336-1),""))</f>
        <v>-0.001</v>
      </c>
      <c r="W336" s="5" t="str">
        <f aca="false">IF(OR(T336="",U336=""),"",IF($F336="Maior Melhor",IF(U336&gt;=T336,"Sim","Não"),IF(U336&lt;=T336,"Sim","Não")))</f>
        <v>Não</v>
      </c>
      <c r="X336" s="3" t="n">
        <v>0.992</v>
      </c>
      <c r="Y336" s="3" t="n">
        <v>0.9927</v>
      </c>
      <c r="Z336" s="4" t="n">
        <f aca="false">IF(OR(X336="",Y336=""),"",IFERROR(IF($K336="%",Y336-X336,Y336/X336-1),""))</f>
        <v>0.000700000000000034</v>
      </c>
      <c r="AA336" s="5" t="str">
        <f aca="false">IF(OR(X336="",Y336=""),"",IF($F336="Maior Melhor",IF(Y336&gt;=X336,"Sim","Não"),IF(Y336&lt;=X336,"Sim","Não")))</f>
        <v>Sim</v>
      </c>
      <c r="AB336" s="3" t="n">
        <v>0.992</v>
      </c>
      <c r="AC336" s="3" t="n">
        <v>0.9948</v>
      </c>
      <c r="AD336" s="4" t="n">
        <f aca="false">IF(OR(AB336="",AC336=""),"",IFERROR(IF($K336="%",AC336-AB336,AC336/AB336-1),""))</f>
        <v>0.00280000000000002</v>
      </c>
      <c r="AE336" s="5" t="str">
        <f aca="false">IF(OR(AB336="",AC336=""),"",IF($F336="Maior Melhor",IF(AC336&gt;=AB336,"Sim","Não"),IF(AC336&lt;=AB336,"Sim","Não")))</f>
        <v>Sim</v>
      </c>
      <c r="AF336" s="3" t="n">
        <v>0.992</v>
      </c>
      <c r="AG336" s="3" t="n">
        <v>0.994219653</v>
      </c>
      <c r="AH336" s="4" t="n">
        <f aca="false">IF(OR(AF336="",AG336=""),"",IFERROR(IF($K336="%",AG336-AF336,AG336/AF336-1),""))</f>
        <v>0.00221965300000004</v>
      </c>
      <c r="AI336" s="5" t="str">
        <f aca="false">IF(OR(AF336="",AG336=""),"",IF($F336="Maior Melhor",IF(AG336&gt;=AF336,"Sim","Não"),IF(AG336&lt;=AF336,"Sim","Não")))</f>
        <v>Sim</v>
      </c>
      <c r="AJ336" s="3" t="n">
        <v>0.992</v>
      </c>
      <c r="AK336" s="3" t="n">
        <v>0.993650794</v>
      </c>
      <c r="AL336" s="4" t="n">
        <f aca="false">IF(OR(AJ336="",AK336=""),"",IFERROR(IF($K336="%",AK336-AJ336,AK336/AJ336-1),""))</f>
        <v>0.00165079400000001</v>
      </c>
      <c r="AM336" s="5" t="str">
        <f aca="false">IF(OR(AJ336="",AK336=""),"",IF($F336="Maior Melhor",IF(AK336&gt;=AJ336,"Sim","Não"),IF(AK336&lt;=AJ336,"Sim","Não")))</f>
        <v>Sim</v>
      </c>
      <c r="AN336" s="3" t="n">
        <v>0.992</v>
      </c>
      <c r="AO336" s="3" t="n">
        <v>0.994988864</v>
      </c>
      <c r="AP336" s="4" t="n">
        <f aca="false">IF(OR(AN336="",AO336=""),"",IFERROR(IF($K336="%",AO336-AN336,AO336/AN336-1),""))</f>
        <v>0.00298886399999998</v>
      </c>
      <c r="AQ336" s="5" t="str">
        <f aca="false">IF(OR(AN336="",AO336=""),"",IF($F336="Maior Melhor",IF(AO336&gt;=AN336,"Sim","Não"),IF(AO336&lt;=AN336,"Sim","Não")))</f>
        <v>Sim</v>
      </c>
      <c r="AR336" s="3" t="n">
        <v>0.992</v>
      </c>
      <c r="AS336" s="3" t="n">
        <v>0.993891448</v>
      </c>
      <c r="AT336" s="4" t="n">
        <f aca="false">IF(OR(AR336="",AS336=""),"",IFERROR(IF($K336="%",AS336-AR336,AS336/AR336-1),""))</f>
        <v>0.00189144799999996</v>
      </c>
      <c r="AU336" s="5" t="str">
        <f aca="false">IF(OR(AR336="",AS336=""),"",IF($F336="Maior Melhor",IF(AS336&gt;=AR336,"Sim","Não"),IF(AS336&lt;=AR336,"Sim","Não")))</f>
        <v>Sim</v>
      </c>
      <c r="AV336" s="3" t="n">
        <v>0.992</v>
      </c>
      <c r="AW336" s="3" t="n">
        <v>1</v>
      </c>
      <c r="AX336" s="4" t="n">
        <f aca="false">IF(OR(AV336="",AW336=""),"",IFERROR(IF($K336="%",AW336-AV336,AW336/AV336-1),""))</f>
        <v>0.00800000000000001</v>
      </c>
      <c r="AY336" s="5" t="str">
        <f aca="false">IF(OR(AV336="",AW336=""),"",IF($F336="Maior Melhor",IF(AW336&gt;=AV336,"Sim","Não"),IF(AW336&lt;=AV336,"Sim","Não")))</f>
        <v>Sim</v>
      </c>
      <c r="AZ336" s="3" t="n">
        <v>0.992</v>
      </c>
      <c r="BA336" s="3" t="n">
        <v>0.994210438</v>
      </c>
      <c r="BB336" s="4" t="n">
        <f aca="false">IF(OR(AZ336="",BA336=""),"",IFERROR(IF($K336="%",BA336-AZ336,BA336/AZ336-1),""))</f>
        <v>0.00221043799999998</v>
      </c>
      <c r="BC336" s="5" t="str">
        <f aca="false">IF(OR(AZ336="",BA336=""),"",IF($F336="Maior Melhor",IF(BA336&gt;=AZ336,"Sim","Não"),IF(BA336&lt;=AZ336,"Sim","Não")))</f>
        <v>Sim</v>
      </c>
      <c r="BD336" s="3" t="n">
        <v>0.992</v>
      </c>
      <c r="BE336" s="3" t="n">
        <v>0.998</v>
      </c>
      <c r="BF336" s="4" t="n">
        <f aca="false">IF(OR(BD336="",BE336=""),"",IFERROR(IF($K336="%",BE336-BD336,BE336/BD336-1),""))</f>
        <v>0.00600000000000001</v>
      </c>
      <c r="BG336" s="5" t="str">
        <f aca="false">IF(OR(BD336="",BE336=""),"",IF($F336="Maior Melhor",IF(BE336&gt;=BD336,"Sim","Não"),IF(BE336&lt;=BD336,"Sim","Não")))</f>
        <v>Sim</v>
      </c>
      <c r="BH336" s="3" t="n">
        <v>0.992</v>
      </c>
      <c r="BI336" s="3" t="n">
        <v>0.995</v>
      </c>
      <c r="BJ336" s="4" t="n">
        <f aca="false">IF(OR(BH336="",BI336=""),"",IFERROR(IF($K336="%",BI336-BH336,BI336/BH336-1),""))</f>
        <v>0.003</v>
      </c>
      <c r="BK336" s="5" t="str">
        <f aca="false">IF(OR(BH336="",BI336=""),"",IF($F336="Maior Melhor",IF(BI336&gt;=BH336,"Sim","Não"),IF(BI336&lt;=BH336,"Sim","Não")))</f>
        <v>Sim</v>
      </c>
      <c r="BL336" s="6"/>
      <c r="BM336" s="6"/>
      <c r="BN336" s="4" t="str">
        <f aca="false">IF(OR(BL336="",BM336=""),"",IFERROR(IF($K336="%",BM336-BL336,BM336/BL336-1),""))</f>
        <v/>
      </c>
      <c r="BO336" s="5" t="str">
        <f aca="false">IF(OR(BL336="",BM336=""),"",IF($F336="Maior Melhor",IF(BM336&gt;=BL336,"Sim","Não"),IF(BM336&lt;=BL336,"Sim","Não")))</f>
        <v/>
      </c>
      <c r="BP336" s="6"/>
      <c r="BQ336" s="6"/>
      <c r="BR336" s="4" t="str">
        <f aca="false">IF(OR(BP336="",BQ336=""),"",IFERROR(IF($K336="%",BQ336-BP336,BQ336/BP336-1),""))</f>
        <v/>
      </c>
      <c r="BS336" s="5" t="str">
        <f aca="false">IF(OR(BP336="",BQ336=""),"",IF($F336="Maior Melhor",IF(BQ336&gt;=BP336,"Sim","Não"),IF(BQ336&lt;=BP336,"Sim","Não")))</f>
        <v/>
      </c>
      <c r="BT336" s="6"/>
      <c r="BU336" s="6"/>
      <c r="BV336" s="4" t="str">
        <f aca="false">IF(OR(BT336="",BU336=""),"",IFERROR(IF($K336="%",BU336-BT336,BU336/BT336-1),""))</f>
        <v/>
      </c>
      <c r="BW336" s="5" t="str">
        <f aca="false">IF(OR(BT336="",BU336=""),"",IF($F336="Maior Melhor",IF(BU336&gt;=BT336,"Sim","Não"),IF(BU336&lt;=BT336,"Sim","Não")))</f>
        <v/>
      </c>
      <c r="BX336" s="6"/>
      <c r="BY336" s="6"/>
      <c r="BZ336" s="4" t="str">
        <f aca="false">IF(OR(BX336="",BY336=""),"",IFERROR(IF($K336="%",BY336-BX336,BY336/BX336-1),""))</f>
        <v/>
      </c>
      <c r="CA336" s="5" t="str">
        <f aca="false">IF(OR(BX336="",BY336=""),"",IF($F336="Maior Melhor",IF(BY336&gt;=BX336,"Sim","Não"),IF(BY336&lt;=BX336,"Sim","Não")))</f>
        <v/>
      </c>
      <c r="CB336" s="6"/>
      <c r="CC336" s="6"/>
      <c r="CD336" s="4" t="str">
        <f aca="false">IF(OR(CB336="",CC336=""),"",IFERROR(IF($K336="%",CC336-CB336,CC336/CB336-1),""))</f>
        <v/>
      </c>
      <c r="CE336" s="5" t="str">
        <f aca="false">IF(OR(CB336="",CC336=""),"",IF($F336="Maior Melhor",IF(CC336&gt;=CB336,"Sim","Não"),IF(CC336&lt;=CB336,"Sim","Não")))</f>
        <v/>
      </c>
      <c r="CF336" s="6"/>
      <c r="CG336" s="6"/>
      <c r="CH336" s="4" t="str">
        <f aca="false">IF(OR(CF336="",CG336=""),"",IFERROR(IF($K336="%",CG336-CF336,CG336/CF336-1),""))</f>
        <v/>
      </c>
      <c r="CI336" s="5" t="str">
        <f aca="false">IF(OR(CF336="",CG336=""),"",IF($F336="Maior Melhor",IF(CG336&gt;=CF336,"Sim","Não"),IF(CG336&lt;=CF336,"Sim","Não")))</f>
        <v/>
      </c>
      <c r="CJ336" s="6"/>
      <c r="CK336" s="6"/>
      <c r="CL336" s="4" t="str">
        <f aca="false">IF(OR(CJ336="",CK336=""),"",IFERROR(IF($K336="%",CK336-CJ336,CK336/CJ336-1),""))</f>
        <v/>
      </c>
      <c r="CM336" s="5" t="str">
        <f aca="false">IF(OR(CJ336="",CK336=""),"",IF($F336="Maior Melhor",IF(CK336&gt;=CJ336,"Sim","Não"),IF(CK336&lt;=CJ336,"Sim","Não")))</f>
        <v/>
      </c>
      <c r="CN336" s="6"/>
      <c r="CO336" s="6"/>
      <c r="CP336" s="4" t="str">
        <f aca="false">IF(OR(CN336="",CO336=""),"",IFERROR(IF($K336="%",CO336-CN336,CO336/CN336-1),""))</f>
        <v/>
      </c>
      <c r="CQ336" s="5" t="str">
        <f aca="false">IF(OR(CN336="",CO336=""),"",IF($F336="Maior Melhor",IF(CO336&gt;=CN336,"Sim","Não"),IF(CO336&lt;=CN336,"Sim","Não")))</f>
        <v/>
      </c>
      <c r="CR336" s="2" t="s">
        <v>123</v>
      </c>
    </row>
    <row r="337" customFormat="false" ht="15" hidden="false" customHeight="false" outlineLevel="0" collapsed="false">
      <c r="A337" s="2" t="s">
        <v>161</v>
      </c>
      <c r="B337" s="2" t="s">
        <v>108</v>
      </c>
      <c r="C337" s="2" t="s">
        <v>124</v>
      </c>
      <c r="D337" s="2" t="s">
        <v>200</v>
      </c>
      <c r="E337" s="2" t="str">
        <f aca="false">C337&amp;D337</f>
        <v>UTD ITAPETINGAServiço atendido no prazo* (Eficácia da Demanda Regulada (Curto Prazo))</v>
      </c>
      <c r="F337" s="2" t="s">
        <v>100</v>
      </c>
      <c r="G337" s="2" t="s">
        <v>201</v>
      </c>
      <c r="H337" s="2" t="s">
        <v>102</v>
      </c>
      <c r="I337" s="2" t="s">
        <v>103</v>
      </c>
      <c r="J337" s="2" t="n">
        <v>3</v>
      </c>
      <c r="K337" s="2" t="s">
        <v>104</v>
      </c>
      <c r="L337" s="3" t="n">
        <v>0.992</v>
      </c>
      <c r="M337" s="3" t="n">
        <v>0.991</v>
      </c>
      <c r="N337" s="4" t="n">
        <f aca="false">IF(OR(L337="",M337=""),"",IFERROR(IF($K337="%",M337-L337,M337/L337-1),""))</f>
        <v>-0.001</v>
      </c>
      <c r="O337" s="5" t="str">
        <f aca="false">IF(OR(L337="",M337=""),"",IF($F337="Maior Melhor",IF(M337&gt;=L337,"Sim","Não"),IF(M337&lt;=L337,"Sim","Não")))</f>
        <v>Não</v>
      </c>
      <c r="P337" s="3" t="n">
        <v>0.992</v>
      </c>
      <c r="Q337" s="3" t="n">
        <v>0.991</v>
      </c>
      <c r="R337" s="4" t="n">
        <f aca="false">IF(OR(P337="",Q337=""),"",IFERROR(IF($K337="%",Q337-P337,Q337/P337-1),""))</f>
        <v>-0.001</v>
      </c>
      <c r="S337" s="5" t="str">
        <f aca="false">IF(OR(P337="",Q337=""),"",IF($F337="Maior Melhor",IF(Q337&gt;=P337,"Sim","Não"),IF(Q337&lt;=P337,"Sim","Não")))</f>
        <v>Não</v>
      </c>
      <c r="T337" s="3" t="n">
        <v>0.992</v>
      </c>
      <c r="U337" s="3" t="n">
        <v>0.99</v>
      </c>
      <c r="V337" s="4" t="n">
        <f aca="false">IF(OR(T337="",U337=""),"",IFERROR(IF($K337="%",U337-T337,U337/T337-1),""))</f>
        <v>-0.002</v>
      </c>
      <c r="W337" s="5" t="str">
        <f aca="false">IF(OR(T337="",U337=""),"",IF($F337="Maior Melhor",IF(U337&gt;=T337,"Sim","Não"),IF(U337&lt;=T337,"Sim","Não")))</f>
        <v>Não</v>
      </c>
      <c r="X337" s="3" t="n">
        <v>0.992</v>
      </c>
      <c r="Y337" s="3" t="n">
        <v>0.9972</v>
      </c>
      <c r="Z337" s="4" t="n">
        <f aca="false">IF(OR(X337="",Y337=""),"",IFERROR(IF($K337="%",Y337-X337,Y337/X337-1),""))</f>
        <v>0.00519999999999998</v>
      </c>
      <c r="AA337" s="5" t="str">
        <f aca="false">IF(OR(X337="",Y337=""),"",IF($F337="Maior Melhor",IF(Y337&gt;=X337,"Sim","Não"),IF(Y337&lt;=X337,"Sim","Não")))</f>
        <v>Sim</v>
      </c>
      <c r="AB337" s="3" t="n">
        <v>0.992</v>
      </c>
      <c r="AC337" s="3" t="n">
        <v>0.9942</v>
      </c>
      <c r="AD337" s="4" t="n">
        <f aca="false">IF(OR(AB337="",AC337=""),"",IFERROR(IF($K337="%",AC337-AB337,AC337/AB337-1),""))</f>
        <v>0.00219999999999998</v>
      </c>
      <c r="AE337" s="5" t="str">
        <f aca="false">IF(OR(AB337="",AC337=""),"",IF($F337="Maior Melhor",IF(AC337&gt;=AB337,"Sim","Não"),IF(AC337&lt;=AB337,"Sim","Não")))</f>
        <v>Sim</v>
      </c>
      <c r="AF337" s="3" t="n">
        <v>0.992</v>
      </c>
      <c r="AG337" s="3" t="n">
        <v>0.994715208</v>
      </c>
      <c r="AH337" s="4" t="n">
        <f aca="false">IF(OR(AF337="",AG337=""),"",IFERROR(IF($K337="%",AG337-AF337,AG337/AF337-1),""))</f>
        <v>0.00271520800000002</v>
      </c>
      <c r="AI337" s="5" t="str">
        <f aca="false">IF(OR(AF337="",AG337=""),"",IF($F337="Maior Melhor",IF(AG337&gt;=AF337,"Sim","Não"),IF(AG337&lt;=AF337,"Sim","Não")))</f>
        <v>Sim</v>
      </c>
      <c r="AJ337" s="3" t="n">
        <v>0.992</v>
      </c>
      <c r="AK337" s="3" t="n">
        <v>0.993130925</v>
      </c>
      <c r="AL337" s="4" t="n">
        <f aca="false">IF(OR(AJ337="",AK337=""),"",IFERROR(IF($K337="%",AK337-AJ337,AK337/AJ337-1),""))</f>
        <v>0.001130925</v>
      </c>
      <c r="AM337" s="5" t="str">
        <f aca="false">IF(OR(AJ337="",AK337=""),"",IF($F337="Maior Melhor",IF(AK337&gt;=AJ337,"Sim","Não"),IF(AK337&lt;=AJ337,"Sim","Não")))</f>
        <v>Sim</v>
      </c>
      <c r="AN337" s="3" t="n">
        <v>0.992</v>
      </c>
      <c r="AO337" s="3" t="n">
        <v>0.997377049</v>
      </c>
      <c r="AP337" s="4" t="n">
        <f aca="false">IF(OR(AN337="",AO337=""),"",IFERROR(IF($K337="%",AO337-AN337,AO337/AN337-1),""))</f>
        <v>0.00537704900000002</v>
      </c>
      <c r="AQ337" s="5" t="str">
        <f aca="false">IF(OR(AN337="",AO337=""),"",IF($F337="Maior Melhor",IF(AO337&gt;=AN337,"Sim","Não"),IF(AO337&lt;=AN337,"Sim","Não")))</f>
        <v>Sim</v>
      </c>
      <c r="AR337" s="3" t="n">
        <v>0.992</v>
      </c>
      <c r="AS337" s="3" t="n">
        <v>0.993866424</v>
      </c>
      <c r="AT337" s="4" t="n">
        <f aca="false">IF(OR(AR337="",AS337=""),"",IFERROR(IF($K337="%",AS337-AR337,AS337/AR337-1),""))</f>
        <v>0.00186642400000003</v>
      </c>
      <c r="AU337" s="5" t="str">
        <f aca="false">IF(OR(AR337="",AS337=""),"",IF($F337="Maior Melhor",IF(AS337&gt;=AR337,"Sim","Não"),IF(AS337&lt;=AR337,"Sim","Não")))</f>
        <v>Sim</v>
      </c>
      <c r="AV337" s="3" t="n">
        <v>0.992</v>
      </c>
      <c r="AW337" s="3" t="n">
        <v>0.994279176</v>
      </c>
      <c r="AX337" s="4" t="n">
        <f aca="false">IF(OR(AV337="",AW337=""),"",IFERROR(IF($K337="%",AW337-AV337,AW337/AV337-1),""))</f>
        <v>0.00227917600000005</v>
      </c>
      <c r="AY337" s="5" t="str">
        <f aca="false">IF(OR(AV337="",AW337=""),"",IF($F337="Maior Melhor",IF(AW337&gt;=AV337,"Sim","Não"),IF(AW337&lt;=AV337,"Sim","Não")))</f>
        <v>Sim</v>
      </c>
      <c r="AZ337" s="3" t="n">
        <v>0.992</v>
      </c>
      <c r="BA337" s="3" t="n">
        <v>0.993670288</v>
      </c>
      <c r="BB337" s="4" t="n">
        <f aca="false">IF(OR(AZ337="",BA337=""),"",IFERROR(IF($K337="%",BA337-AZ337,BA337/AZ337-1),""))</f>
        <v>0.00167028800000002</v>
      </c>
      <c r="BC337" s="5" t="str">
        <f aca="false">IF(OR(AZ337="",BA337=""),"",IF($F337="Maior Melhor",IF(BA337&gt;=AZ337,"Sim","Não"),IF(BA337&lt;=AZ337,"Sim","Não")))</f>
        <v>Sim</v>
      </c>
      <c r="BD337" s="3" t="n">
        <v>0.992</v>
      </c>
      <c r="BE337" s="3" t="n">
        <v>0.997</v>
      </c>
      <c r="BF337" s="4" t="n">
        <f aca="false">IF(OR(BD337="",BE337=""),"",IFERROR(IF($K337="%",BE337-BD337,BE337/BD337-1),""))</f>
        <v>0.005</v>
      </c>
      <c r="BG337" s="5" t="str">
        <f aca="false">IF(OR(BD337="",BE337=""),"",IF($F337="Maior Melhor",IF(BE337&gt;=BD337,"Sim","Não"),IF(BE337&lt;=BD337,"Sim","Não")))</f>
        <v>Sim</v>
      </c>
      <c r="BH337" s="3" t="n">
        <v>0.992</v>
      </c>
      <c r="BI337" s="3" t="n">
        <v>0.994</v>
      </c>
      <c r="BJ337" s="4" t="n">
        <f aca="false">IF(OR(BH337="",BI337=""),"",IFERROR(IF($K337="%",BI337-BH337,BI337/BH337-1),""))</f>
        <v>0.002</v>
      </c>
      <c r="BK337" s="5" t="str">
        <f aca="false">IF(OR(BH337="",BI337=""),"",IF($F337="Maior Melhor",IF(BI337&gt;=BH337,"Sim","Não"),IF(BI337&lt;=BH337,"Sim","Não")))</f>
        <v>Sim</v>
      </c>
      <c r="BL337" s="6"/>
      <c r="BM337" s="6"/>
      <c r="BN337" s="4" t="str">
        <f aca="false">IF(OR(BL337="",BM337=""),"",IFERROR(IF($K337="%",BM337-BL337,BM337/BL337-1),""))</f>
        <v/>
      </c>
      <c r="BO337" s="5" t="str">
        <f aca="false">IF(OR(BL337="",BM337=""),"",IF($F337="Maior Melhor",IF(BM337&gt;=BL337,"Sim","Não"),IF(BM337&lt;=BL337,"Sim","Não")))</f>
        <v/>
      </c>
      <c r="BP337" s="6"/>
      <c r="BQ337" s="6"/>
      <c r="BR337" s="4" t="str">
        <f aca="false">IF(OR(BP337="",BQ337=""),"",IFERROR(IF($K337="%",BQ337-BP337,BQ337/BP337-1),""))</f>
        <v/>
      </c>
      <c r="BS337" s="5" t="str">
        <f aca="false">IF(OR(BP337="",BQ337=""),"",IF($F337="Maior Melhor",IF(BQ337&gt;=BP337,"Sim","Não"),IF(BQ337&lt;=BP337,"Sim","Não")))</f>
        <v/>
      </c>
      <c r="BT337" s="6"/>
      <c r="BU337" s="6"/>
      <c r="BV337" s="4" t="str">
        <f aca="false">IF(OR(BT337="",BU337=""),"",IFERROR(IF($K337="%",BU337-BT337,BU337/BT337-1),""))</f>
        <v/>
      </c>
      <c r="BW337" s="5" t="str">
        <f aca="false">IF(OR(BT337="",BU337=""),"",IF($F337="Maior Melhor",IF(BU337&gt;=BT337,"Sim","Não"),IF(BU337&lt;=BT337,"Sim","Não")))</f>
        <v/>
      </c>
      <c r="BX337" s="6"/>
      <c r="BY337" s="6"/>
      <c r="BZ337" s="4" t="str">
        <f aca="false">IF(OR(BX337="",BY337=""),"",IFERROR(IF($K337="%",BY337-BX337,BY337/BX337-1),""))</f>
        <v/>
      </c>
      <c r="CA337" s="5" t="str">
        <f aca="false">IF(OR(BX337="",BY337=""),"",IF($F337="Maior Melhor",IF(BY337&gt;=BX337,"Sim","Não"),IF(BY337&lt;=BX337,"Sim","Não")))</f>
        <v/>
      </c>
      <c r="CB337" s="6"/>
      <c r="CC337" s="6"/>
      <c r="CD337" s="4" t="str">
        <f aca="false">IF(OR(CB337="",CC337=""),"",IFERROR(IF($K337="%",CC337-CB337,CC337/CB337-1),""))</f>
        <v/>
      </c>
      <c r="CE337" s="5" t="str">
        <f aca="false">IF(OR(CB337="",CC337=""),"",IF($F337="Maior Melhor",IF(CC337&gt;=CB337,"Sim","Não"),IF(CC337&lt;=CB337,"Sim","Não")))</f>
        <v/>
      </c>
      <c r="CF337" s="6"/>
      <c r="CG337" s="6"/>
      <c r="CH337" s="4" t="str">
        <f aca="false">IF(OR(CF337="",CG337=""),"",IFERROR(IF($K337="%",CG337-CF337,CG337/CF337-1),""))</f>
        <v/>
      </c>
      <c r="CI337" s="5" t="str">
        <f aca="false">IF(OR(CF337="",CG337=""),"",IF($F337="Maior Melhor",IF(CG337&gt;=CF337,"Sim","Não"),IF(CG337&lt;=CF337,"Sim","Não")))</f>
        <v/>
      </c>
      <c r="CJ337" s="6"/>
      <c r="CK337" s="6"/>
      <c r="CL337" s="4" t="str">
        <f aca="false">IF(OR(CJ337="",CK337=""),"",IFERROR(IF($K337="%",CK337-CJ337,CK337/CJ337-1),""))</f>
        <v/>
      </c>
      <c r="CM337" s="5" t="str">
        <f aca="false">IF(OR(CJ337="",CK337=""),"",IF($F337="Maior Melhor",IF(CK337&gt;=CJ337,"Sim","Não"),IF(CK337&lt;=CJ337,"Sim","Não")))</f>
        <v/>
      </c>
      <c r="CN337" s="6"/>
      <c r="CO337" s="6"/>
      <c r="CP337" s="4" t="str">
        <f aca="false">IF(OR(CN337="",CO337=""),"",IFERROR(IF($K337="%",CO337-CN337,CO337/CN337-1),""))</f>
        <v/>
      </c>
      <c r="CQ337" s="5" t="str">
        <f aca="false">IF(OR(CN337="",CO337=""),"",IF($F337="Maior Melhor",IF(CO337&gt;=CN337,"Sim","Não"),IF(CO337&lt;=CN337,"Sim","Não")))</f>
        <v/>
      </c>
      <c r="CR337" s="2" t="s">
        <v>105</v>
      </c>
    </row>
    <row r="338" customFormat="false" ht="15" hidden="false" customHeight="false" outlineLevel="0" collapsed="false">
      <c r="A338" s="2" t="s">
        <v>161</v>
      </c>
      <c r="B338" s="2" t="s">
        <v>97</v>
      </c>
      <c r="C338" s="2" t="s">
        <v>125</v>
      </c>
      <c r="D338" s="2" t="s">
        <v>200</v>
      </c>
      <c r="E338" s="2" t="str">
        <f aca="false">C338&amp;D338</f>
        <v>UTD JEQUIÉServiço atendido no prazo* (Eficácia da Demanda Regulada (Curto Prazo))</v>
      </c>
      <c r="F338" s="2" t="s">
        <v>100</v>
      </c>
      <c r="G338" s="2" t="s">
        <v>201</v>
      </c>
      <c r="H338" s="2" t="s">
        <v>102</v>
      </c>
      <c r="I338" s="2" t="s">
        <v>103</v>
      </c>
      <c r="J338" s="2" t="n">
        <v>3</v>
      </c>
      <c r="K338" s="2" t="s">
        <v>104</v>
      </c>
      <c r="L338" s="3" t="n">
        <v>0.992</v>
      </c>
      <c r="M338" s="3" t="n">
        <v>0.989</v>
      </c>
      <c r="N338" s="4" t="n">
        <f aca="false">IF(OR(L338="",M338=""),"",IFERROR(IF($K338="%",M338-L338,M338/L338-1),""))</f>
        <v>-0.003</v>
      </c>
      <c r="O338" s="5" t="str">
        <f aca="false">IF(OR(L338="",M338=""),"",IF($F338="Maior Melhor",IF(M338&gt;=L338,"Sim","Não"),IF(M338&lt;=L338,"Sim","Não")))</f>
        <v>Não</v>
      </c>
      <c r="P338" s="3" t="n">
        <v>0.992</v>
      </c>
      <c r="Q338" s="3" t="n">
        <v>0.997</v>
      </c>
      <c r="R338" s="4" t="n">
        <f aca="false">IF(OR(P338="",Q338=""),"",IFERROR(IF($K338="%",Q338-P338,Q338/P338-1),""))</f>
        <v>0.005</v>
      </c>
      <c r="S338" s="5" t="str">
        <f aca="false">IF(OR(P338="",Q338=""),"",IF($F338="Maior Melhor",IF(Q338&gt;=P338,"Sim","Não"),IF(Q338&lt;=P338,"Sim","Não")))</f>
        <v>Sim</v>
      </c>
      <c r="T338" s="3" t="n">
        <v>0.992</v>
      </c>
      <c r="U338" s="3" t="n">
        <v>0.996</v>
      </c>
      <c r="V338" s="4" t="n">
        <f aca="false">IF(OR(T338="",U338=""),"",IFERROR(IF($K338="%",U338-T338,U338/T338-1),""))</f>
        <v>0.004</v>
      </c>
      <c r="W338" s="5" t="str">
        <f aca="false">IF(OR(T338="",U338=""),"",IF($F338="Maior Melhor",IF(U338&gt;=T338,"Sim","Não"),IF(U338&lt;=T338,"Sim","Não")))</f>
        <v>Sim</v>
      </c>
      <c r="X338" s="3" t="n">
        <v>0.992</v>
      </c>
      <c r="Y338" s="3" t="n">
        <v>0.999</v>
      </c>
      <c r="Z338" s="4" t="n">
        <f aca="false">IF(OR(X338="",Y338=""),"",IFERROR(IF($K338="%",Y338-X338,Y338/X338-1),""))</f>
        <v>0.00700000000000001</v>
      </c>
      <c r="AA338" s="5" t="str">
        <f aca="false">IF(OR(X338="",Y338=""),"",IF($F338="Maior Melhor",IF(Y338&gt;=X338,"Sim","Não"),IF(Y338&lt;=X338,"Sim","Não")))</f>
        <v>Sim</v>
      </c>
      <c r="AB338" s="3" t="n">
        <v>0.992</v>
      </c>
      <c r="AC338" s="3" t="n">
        <v>0.9995</v>
      </c>
      <c r="AD338" s="4" t="n">
        <f aca="false">IF(OR(AB338="",AC338=""),"",IFERROR(IF($K338="%",AC338-AB338,AC338/AB338-1),""))</f>
        <v>0.00750000000000006</v>
      </c>
      <c r="AE338" s="5" t="str">
        <f aca="false">IF(OR(AB338="",AC338=""),"",IF($F338="Maior Melhor",IF(AC338&gt;=AB338,"Sim","Não"),IF(AC338&lt;=AB338,"Sim","Não")))</f>
        <v>Sim</v>
      </c>
      <c r="AF338" s="3" t="n">
        <v>0.992</v>
      </c>
      <c r="AG338" s="3" t="n">
        <v>1</v>
      </c>
      <c r="AH338" s="4" t="n">
        <f aca="false">IF(OR(AF338="",AG338=""),"",IFERROR(IF($K338="%",AG338-AF338,AG338/AF338-1),""))</f>
        <v>0.00800000000000001</v>
      </c>
      <c r="AI338" s="5" t="str">
        <f aca="false">IF(OR(AF338="",AG338=""),"",IF($F338="Maior Melhor",IF(AG338&gt;=AF338,"Sim","Não"),IF(AG338&lt;=AF338,"Sim","Não")))</f>
        <v>Sim</v>
      </c>
      <c r="AJ338" s="3" t="n">
        <v>0.992</v>
      </c>
      <c r="AK338" s="3" t="n">
        <v>0.996843559</v>
      </c>
      <c r="AL338" s="4" t="n">
        <f aca="false">IF(OR(AJ338="",AK338=""),"",IFERROR(IF($K338="%",AK338-AJ338,AK338/AJ338-1),""))</f>
        <v>0.004843559</v>
      </c>
      <c r="AM338" s="5" t="str">
        <f aca="false">IF(OR(AJ338="",AK338=""),"",IF($F338="Maior Melhor",IF(AK338&gt;=AJ338,"Sim","Não"),IF(AK338&lt;=AJ338,"Sim","Não")))</f>
        <v>Sim</v>
      </c>
      <c r="AN338" s="3" t="n">
        <v>0.992</v>
      </c>
      <c r="AO338" s="3" t="n">
        <v>0.9970385</v>
      </c>
      <c r="AP338" s="4" t="n">
        <f aca="false">IF(OR(AN338="",AO338=""),"",IFERROR(IF($K338="%",AO338-AN338,AO338/AN338-1),""))</f>
        <v>0.00503850000000006</v>
      </c>
      <c r="AQ338" s="5" t="str">
        <f aca="false">IF(OR(AN338="",AO338=""),"",IF($F338="Maior Melhor",IF(AO338&gt;=AN338,"Sim","Não"),IF(AO338&lt;=AN338,"Sim","Não")))</f>
        <v>Sim</v>
      </c>
      <c r="AR338" s="3" t="n">
        <v>0.992</v>
      </c>
      <c r="AS338" s="3" t="n">
        <v>0.996876028</v>
      </c>
      <c r="AT338" s="4" t="n">
        <f aca="false">IF(OR(AR338="",AS338=""),"",IFERROR(IF($K338="%",AS338-AR338,AS338/AR338-1),""))</f>
        <v>0.00487602799999998</v>
      </c>
      <c r="AU338" s="5" t="str">
        <f aca="false">IF(OR(AR338="",AS338=""),"",IF($F338="Maior Melhor",IF(AS338&gt;=AR338,"Sim","Não"),IF(AS338&lt;=AR338,"Sim","Não")))</f>
        <v>Sim</v>
      </c>
      <c r="AV338" s="3" t="n">
        <v>0.992</v>
      </c>
      <c r="AW338" s="3" t="n">
        <v>0.997858672</v>
      </c>
      <c r="AX338" s="4" t="n">
        <f aca="false">IF(OR(AV338="",AW338=""),"",IFERROR(IF($K338="%",AW338-AV338,AW338/AV338-1),""))</f>
        <v>0.00585867200000001</v>
      </c>
      <c r="AY338" s="5" t="str">
        <f aca="false">IF(OR(AV338="",AW338=""),"",IF($F338="Maior Melhor",IF(AW338&gt;=AV338,"Sim","Não"),IF(AW338&lt;=AV338,"Sim","Não")))</f>
        <v>Sim</v>
      </c>
      <c r="AZ338" s="3" t="n">
        <v>0.992</v>
      </c>
      <c r="BA338" s="3" t="n">
        <v>0.996827367</v>
      </c>
      <c r="BB338" s="4" t="n">
        <f aca="false">IF(OR(AZ338="",BA338=""),"",IFERROR(IF($K338="%",BA338-AZ338,BA338/AZ338-1),""))</f>
        <v>0.00482736699999997</v>
      </c>
      <c r="BC338" s="5" t="str">
        <f aca="false">IF(OR(AZ338="",BA338=""),"",IF($F338="Maior Melhor",IF(BA338&gt;=AZ338,"Sim","Não"),IF(BA338&lt;=AZ338,"Sim","Não")))</f>
        <v>Sim</v>
      </c>
      <c r="BD338" s="3" t="n">
        <v>0.992</v>
      </c>
      <c r="BE338" s="3" t="n">
        <v>1</v>
      </c>
      <c r="BF338" s="4" t="n">
        <f aca="false">IF(OR(BD338="",BE338=""),"",IFERROR(IF($K338="%",BE338-BD338,BE338/BD338-1),""))</f>
        <v>0.00800000000000001</v>
      </c>
      <c r="BG338" s="5" t="str">
        <f aca="false">IF(OR(BD338="",BE338=""),"",IF($F338="Maior Melhor",IF(BE338&gt;=BD338,"Sim","Não"),IF(BE338&lt;=BD338,"Sim","Não")))</f>
        <v>Sim</v>
      </c>
      <c r="BH338" s="3" t="n">
        <v>0.992</v>
      </c>
      <c r="BI338" s="3" t="n">
        <v>0.997</v>
      </c>
      <c r="BJ338" s="4" t="n">
        <f aca="false">IF(OR(BH338="",BI338=""),"",IFERROR(IF($K338="%",BI338-BH338,BI338/BH338-1),""))</f>
        <v>0.005</v>
      </c>
      <c r="BK338" s="5" t="str">
        <f aca="false">IF(OR(BH338="",BI338=""),"",IF($F338="Maior Melhor",IF(BI338&gt;=BH338,"Sim","Não"),IF(BI338&lt;=BH338,"Sim","Não")))</f>
        <v>Sim</v>
      </c>
      <c r="BL338" s="6"/>
      <c r="BM338" s="6"/>
      <c r="BN338" s="4" t="str">
        <f aca="false">IF(OR(BL338="",BM338=""),"",IFERROR(IF($K338="%",BM338-BL338,BM338/BL338-1),""))</f>
        <v/>
      </c>
      <c r="BO338" s="5" t="str">
        <f aca="false">IF(OR(BL338="",BM338=""),"",IF($F338="Maior Melhor",IF(BM338&gt;=BL338,"Sim","Não"),IF(BM338&lt;=BL338,"Sim","Não")))</f>
        <v/>
      </c>
      <c r="BP338" s="6"/>
      <c r="BQ338" s="6"/>
      <c r="BR338" s="4" t="str">
        <f aca="false">IF(OR(BP338="",BQ338=""),"",IFERROR(IF($K338="%",BQ338-BP338,BQ338/BP338-1),""))</f>
        <v/>
      </c>
      <c r="BS338" s="5" t="str">
        <f aca="false">IF(OR(BP338="",BQ338=""),"",IF($F338="Maior Melhor",IF(BQ338&gt;=BP338,"Sim","Não"),IF(BQ338&lt;=BP338,"Sim","Não")))</f>
        <v/>
      </c>
      <c r="BT338" s="6"/>
      <c r="BU338" s="6"/>
      <c r="BV338" s="4" t="str">
        <f aca="false">IF(OR(BT338="",BU338=""),"",IFERROR(IF($K338="%",BU338-BT338,BU338/BT338-1),""))</f>
        <v/>
      </c>
      <c r="BW338" s="5" t="str">
        <f aca="false">IF(OR(BT338="",BU338=""),"",IF($F338="Maior Melhor",IF(BU338&gt;=BT338,"Sim","Não"),IF(BU338&lt;=BT338,"Sim","Não")))</f>
        <v/>
      </c>
      <c r="BX338" s="6"/>
      <c r="BY338" s="6"/>
      <c r="BZ338" s="4" t="str">
        <f aca="false">IF(OR(BX338="",BY338=""),"",IFERROR(IF($K338="%",BY338-BX338,BY338/BX338-1),""))</f>
        <v/>
      </c>
      <c r="CA338" s="5" t="str">
        <f aca="false">IF(OR(BX338="",BY338=""),"",IF($F338="Maior Melhor",IF(BY338&gt;=BX338,"Sim","Não"),IF(BY338&lt;=BX338,"Sim","Não")))</f>
        <v/>
      </c>
      <c r="CB338" s="6"/>
      <c r="CC338" s="6"/>
      <c r="CD338" s="4" t="str">
        <f aca="false">IF(OR(CB338="",CC338=""),"",IFERROR(IF($K338="%",CC338-CB338,CC338/CB338-1),""))</f>
        <v/>
      </c>
      <c r="CE338" s="5" t="str">
        <f aca="false">IF(OR(CB338="",CC338=""),"",IF($F338="Maior Melhor",IF(CC338&gt;=CB338,"Sim","Não"),IF(CC338&lt;=CB338,"Sim","Não")))</f>
        <v/>
      </c>
      <c r="CF338" s="6"/>
      <c r="CG338" s="6"/>
      <c r="CH338" s="4" t="str">
        <f aca="false">IF(OR(CF338="",CG338=""),"",IFERROR(IF($K338="%",CG338-CF338,CG338/CF338-1),""))</f>
        <v/>
      </c>
      <c r="CI338" s="5" t="str">
        <f aca="false">IF(OR(CF338="",CG338=""),"",IF($F338="Maior Melhor",IF(CG338&gt;=CF338,"Sim","Não"),IF(CG338&lt;=CF338,"Sim","Não")))</f>
        <v/>
      </c>
      <c r="CJ338" s="6"/>
      <c r="CK338" s="6"/>
      <c r="CL338" s="4" t="str">
        <f aca="false">IF(OR(CJ338="",CK338=""),"",IFERROR(IF($K338="%",CK338-CJ338,CK338/CJ338-1),""))</f>
        <v/>
      </c>
      <c r="CM338" s="5" t="str">
        <f aca="false">IF(OR(CJ338="",CK338=""),"",IF($F338="Maior Melhor",IF(CK338&gt;=CJ338,"Sim","Não"),IF(CK338&lt;=CJ338,"Sim","Não")))</f>
        <v/>
      </c>
      <c r="CN338" s="6"/>
      <c r="CO338" s="6"/>
      <c r="CP338" s="4" t="str">
        <f aca="false">IF(OR(CN338="",CO338=""),"",IFERROR(IF($K338="%",CO338-CN338,CO338/CN338-1),""))</f>
        <v/>
      </c>
      <c r="CQ338" s="5" t="str">
        <f aca="false">IF(OR(CN338="",CO338=""),"",IF($F338="Maior Melhor",IF(CO338&gt;=CN338,"Sim","Não"),IF(CO338&lt;=CN338,"Sim","Não")))</f>
        <v/>
      </c>
      <c r="CR338" s="2" t="s">
        <v>105</v>
      </c>
    </row>
    <row r="339" customFormat="false" ht="15" hidden="false" customHeight="false" outlineLevel="0" collapsed="false">
      <c r="A339" s="2" t="s">
        <v>161</v>
      </c>
      <c r="B339" s="2" t="s">
        <v>97</v>
      </c>
      <c r="C339" s="2" t="s">
        <v>126</v>
      </c>
      <c r="D339" s="2" t="s">
        <v>200</v>
      </c>
      <c r="E339" s="2" t="str">
        <f aca="false">C339&amp;D339</f>
        <v>UTD LIVRAMENTO DE NOSSA SENHORAServiço atendido no prazo* (Eficácia da Demanda Regulada (Curto Prazo))</v>
      </c>
      <c r="F339" s="2" t="s">
        <v>100</v>
      </c>
      <c r="G339" s="2" t="s">
        <v>201</v>
      </c>
      <c r="H339" s="2" t="s">
        <v>102</v>
      </c>
      <c r="I339" s="2" t="s">
        <v>103</v>
      </c>
      <c r="J339" s="2" t="n">
        <v>3</v>
      </c>
      <c r="K339" s="2" t="s">
        <v>104</v>
      </c>
      <c r="L339" s="3" t="n">
        <v>0.992</v>
      </c>
      <c r="M339" s="3" t="n">
        <v>0.994</v>
      </c>
      <c r="N339" s="4" t="n">
        <f aca="false">IF(OR(L339="",M339=""),"",IFERROR(IF($K339="%",M339-L339,M339/L339-1),""))</f>
        <v>0.002</v>
      </c>
      <c r="O339" s="5" t="str">
        <f aca="false">IF(OR(L339="",M339=""),"",IF($F339="Maior Melhor",IF(M339&gt;=L339,"Sim","Não"),IF(M339&lt;=L339,"Sim","Não")))</f>
        <v>Sim</v>
      </c>
      <c r="P339" s="3" t="n">
        <v>0.992</v>
      </c>
      <c r="Q339" s="3" t="n">
        <v>0.991</v>
      </c>
      <c r="R339" s="4" t="n">
        <f aca="false">IF(OR(P339="",Q339=""),"",IFERROR(IF($K339="%",Q339-P339,Q339/P339-1),""))</f>
        <v>-0.001</v>
      </c>
      <c r="S339" s="5" t="str">
        <f aca="false">IF(OR(P339="",Q339=""),"",IF($F339="Maior Melhor",IF(Q339&gt;=P339,"Sim","Não"),IF(Q339&lt;=P339,"Sim","Não")))</f>
        <v>Não</v>
      </c>
      <c r="T339" s="3" t="n">
        <v>0.992</v>
      </c>
      <c r="U339" s="3" t="n">
        <v>0.991</v>
      </c>
      <c r="V339" s="4" t="n">
        <f aca="false">IF(OR(T339="",U339=""),"",IFERROR(IF($K339="%",U339-T339,U339/T339-1),""))</f>
        <v>-0.001</v>
      </c>
      <c r="W339" s="5" t="str">
        <f aca="false">IF(OR(T339="",U339=""),"",IF($F339="Maior Melhor",IF(U339&gt;=T339,"Sim","Não"),IF(U339&lt;=T339,"Sim","Não")))</f>
        <v>Não</v>
      </c>
      <c r="X339" s="3" t="n">
        <v>0.992</v>
      </c>
      <c r="Y339" s="3" t="n">
        <v>0.9836</v>
      </c>
      <c r="Z339" s="4" t="n">
        <f aca="false">IF(OR(X339="",Y339=""),"",IFERROR(IF($K339="%",Y339-X339,Y339/X339-1),""))</f>
        <v>-0.00839999999999996</v>
      </c>
      <c r="AA339" s="5" t="str">
        <f aca="false">IF(OR(X339="",Y339=""),"",IF($F339="Maior Melhor",IF(Y339&gt;=X339,"Sim","Não"),IF(Y339&lt;=X339,"Sim","Não")))</f>
        <v>Não</v>
      </c>
      <c r="AB339" s="3" t="n">
        <v>0.992</v>
      </c>
      <c r="AC339" s="3" t="n">
        <v>0.9946</v>
      </c>
      <c r="AD339" s="4" t="n">
        <f aca="false">IF(OR(AB339="",AC339=""),"",IFERROR(IF($K339="%",AC339-AB339,AC339/AB339-1),""))</f>
        <v>0.00260000000000005</v>
      </c>
      <c r="AE339" s="5" t="str">
        <f aca="false">IF(OR(AB339="",AC339=""),"",IF($F339="Maior Melhor",IF(AC339&gt;=AB339,"Sim","Não"),IF(AC339&lt;=AB339,"Sim","Não")))</f>
        <v>Sim</v>
      </c>
      <c r="AF339" s="3" t="n">
        <v>0.992</v>
      </c>
      <c r="AG339" s="3" t="n">
        <v>0.988505747</v>
      </c>
      <c r="AH339" s="4" t="n">
        <f aca="false">IF(OR(AF339="",AG339=""),"",IFERROR(IF($K339="%",AG339-AF339,AG339/AF339-1),""))</f>
        <v>-0.00349425299999995</v>
      </c>
      <c r="AI339" s="5" t="str">
        <f aca="false">IF(OR(AF339="",AG339=""),"",IF($F339="Maior Melhor",IF(AG339&gt;=AF339,"Sim","Não"),IF(AG339&lt;=AF339,"Sim","Não")))</f>
        <v>Não</v>
      </c>
      <c r="AJ339" s="3" t="n">
        <v>0.992</v>
      </c>
      <c r="AK339" s="3" t="n">
        <v>0.989783956</v>
      </c>
      <c r="AL339" s="4" t="n">
        <f aca="false">IF(OR(AJ339="",AK339=""),"",IFERROR(IF($K339="%",AK339-AJ339,AK339/AJ339-1),""))</f>
        <v>-0.00221604399999997</v>
      </c>
      <c r="AM339" s="5" t="str">
        <f aca="false">IF(OR(AJ339="",AK339=""),"",IF($F339="Maior Melhor",IF(AK339&gt;=AJ339,"Sim","Não"),IF(AK339&lt;=AJ339,"Sim","Não")))</f>
        <v>Não</v>
      </c>
      <c r="AN339" s="3" t="n">
        <v>0.992</v>
      </c>
      <c r="AO339" s="3" t="n">
        <v>0.992438563</v>
      </c>
      <c r="AP339" s="4" t="n">
        <f aca="false">IF(OR(AN339="",AO339=""),"",IFERROR(IF($K339="%",AO339-AN339,AO339/AN339-1),""))</f>
        <v>0.000438563000000003</v>
      </c>
      <c r="AQ339" s="5" t="str">
        <f aca="false">IF(OR(AN339="",AO339=""),"",IF($F339="Maior Melhor",IF(AO339&gt;=AN339,"Sim","Não"),IF(AO339&lt;=AN339,"Sim","Não")))</f>
        <v>Sim</v>
      </c>
      <c r="AR339" s="3" t="n">
        <v>0.992</v>
      </c>
      <c r="AS339" s="3" t="n">
        <v>0.990183525</v>
      </c>
      <c r="AT339" s="4" t="n">
        <f aca="false">IF(OR(AR339="",AS339=""),"",IFERROR(IF($K339="%",AS339-AR339,AS339/AR339-1),""))</f>
        <v>-0.00181647500000004</v>
      </c>
      <c r="AU339" s="5" t="str">
        <f aca="false">IF(OR(AR339="",AS339=""),"",IF($F339="Maior Melhor",IF(AS339&gt;=AR339,"Sim","Não"),IF(AS339&lt;=AR339,"Sim","Não")))</f>
        <v>Não</v>
      </c>
      <c r="AV339" s="3" t="n">
        <v>0.992</v>
      </c>
      <c r="AW339" s="3" t="n">
        <v>0.991928975</v>
      </c>
      <c r="AX339" s="4" t="n">
        <f aca="false">IF(OR(AV339="",AW339=""),"",IFERROR(IF($K339="%",AW339-AV339,AW339/AV339-1),""))</f>
        <v>-7.10250000000023E-005</v>
      </c>
      <c r="AY339" s="5" t="str">
        <f aca="false">IF(OR(AV339="",AW339=""),"",IF($F339="Maior Melhor",IF(AW339&gt;=AV339,"Sim","Não"),IF(AW339&lt;=AV339,"Sim","Não")))</f>
        <v>Não</v>
      </c>
      <c r="AZ339" s="3" t="n">
        <v>0.992</v>
      </c>
      <c r="BA339" s="3" t="n">
        <v>0.990443934</v>
      </c>
      <c r="BB339" s="4" t="n">
        <f aca="false">IF(OR(AZ339="",BA339=""),"",IFERROR(IF($K339="%",BA339-AZ339,BA339/AZ339-1),""))</f>
        <v>-0.00155606600000002</v>
      </c>
      <c r="BC339" s="5" t="str">
        <f aca="false">IF(OR(AZ339="",BA339=""),"",IF($F339="Maior Melhor",IF(BA339&gt;=AZ339,"Sim","Não"),IF(BA339&lt;=AZ339,"Sim","Não")))</f>
        <v>Não</v>
      </c>
      <c r="BD339" s="3" t="n">
        <v>0.992</v>
      </c>
      <c r="BE339" s="3" t="n">
        <v>0.995</v>
      </c>
      <c r="BF339" s="4" t="n">
        <f aca="false">IF(OR(BD339="",BE339=""),"",IFERROR(IF($K339="%",BE339-BD339,BE339/BD339-1),""))</f>
        <v>0.003</v>
      </c>
      <c r="BG339" s="5" t="str">
        <f aca="false">IF(OR(BD339="",BE339=""),"",IF($F339="Maior Melhor",IF(BE339&gt;=BD339,"Sim","Não"),IF(BE339&lt;=BD339,"Sim","Não")))</f>
        <v>Sim</v>
      </c>
      <c r="BH339" s="3" t="n">
        <v>0.992</v>
      </c>
      <c r="BI339" s="3" t="n">
        <v>0.991</v>
      </c>
      <c r="BJ339" s="4" t="n">
        <f aca="false">IF(OR(BH339="",BI339=""),"",IFERROR(IF($K339="%",BI339-BH339,BI339/BH339-1),""))</f>
        <v>-0.001</v>
      </c>
      <c r="BK339" s="5" t="str">
        <f aca="false">IF(OR(BH339="",BI339=""),"",IF($F339="Maior Melhor",IF(BI339&gt;=BH339,"Sim","Não"),IF(BI339&lt;=BH339,"Sim","Não")))</f>
        <v>Não</v>
      </c>
      <c r="BL339" s="6"/>
      <c r="BM339" s="6"/>
      <c r="BN339" s="4" t="str">
        <f aca="false">IF(OR(BL339="",BM339=""),"",IFERROR(IF($K339="%",BM339-BL339,BM339/BL339-1),""))</f>
        <v/>
      </c>
      <c r="BO339" s="5" t="str">
        <f aca="false">IF(OR(BL339="",BM339=""),"",IF($F339="Maior Melhor",IF(BM339&gt;=BL339,"Sim","Não"),IF(BM339&lt;=BL339,"Sim","Não")))</f>
        <v/>
      </c>
      <c r="BP339" s="6"/>
      <c r="BQ339" s="6"/>
      <c r="BR339" s="4" t="str">
        <f aca="false">IF(OR(BP339="",BQ339=""),"",IFERROR(IF($K339="%",BQ339-BP339,BQ339/BP339-1),""))</f>
        <v/>
      </c>
      <c r="BS339" s="5" t="str">
        <f aca="false">IF(OR(BP339="",BQ339=""),"",IF($F339="Maior Melhor",IF(BQ339&gt;=BP339,"Sim","Não"),IF(BQ339&lt;=BP339,"Sim","Não")))</f>
        <v/>
      </c>
      <c r="BT339" s="6"/>
      <c r="BU339" s="6"/>
      <c r="BV339" s="4" t="str">
        <f aca="false">IF(OR(BT339="",BU339=""),"",IFERROR(IF($K339="%",BU339-BT339,BU339/BT339-1),""))</f>
        <v/>
      </c>
      <c r="BW339" s="5" t="str">
        <f aca="false">IF(OR(BT339="",BU339=""),"",IF($F339="Maior Melhor",IF(BU339&gt;=BT339,"Sim","Não"),IF(BU339&lt;=BT339,"Sim","Não")))</f>
        <v/>
      </c>
      <c r="BX339" s="6"/>
      <c r="BY339" s="6"/>
      <c r="BZ339" s="4" t="str">
        <f aca="false">IF(OR(BX339="",BY339=""),"",IFERROR(IF($K339="%",BY339-BX339,BY339/BX339-1),""))</f>
        <v/>
      </c>
      <c r="CA339" s="5" t="str">
        <f aca="false">IF(OR(BX339="",BY339=""),"",IF($F339="Maior Melhor",IF(BY339&gt;=BX339,"Sim","Não"),IF(BY339&lt;=BX339,"Sim","Não")))</f>
        <v/>
      </c>
      <c r="CB339" s="6"/>
      <c r="CC339" s="6"/>
      <c r="CD339" s="4" t="str">
        <f aca="false">IF(OR(CB339="",CC339=""),"",IFERROR(IF($K339="%",CC339-CB339,CC339/CB339-1),""))</f>
        <v/>
      </c>
      <c r="CE339" s="5" t="str">
        <f aca="false">IF(OR(CB339="",CC339=""),"",IF($F339="Maior Melhor",IF(CC339&gt;=CB339,"Sim","Não"),IF(CC339&lt;=CB339,"Sim","Não")))</f>
        <v/>
      </c>
      <c r="CF339" s="6"/>
      <c r="CG339" s="6"/>
      <c r="CH339" s="4" t="str">
        <f aca="false">IF(OR(CF339="",CG339=""),"",IFERROR(IF($K339="%",CG339-CF339,CG339/CF339-1),""))</f>
        <v/>
      </c>
      <c r="CI339" s="5" t="str">
        <f aca="false">IF(OR(CF339="",CG339=""),"",IF($F339="Maior Melhor",IF(CG339&gt;=CF339,"Sim","Não"),IF(CG339&lt;=CF339,"Sim","Não")))</f>
        <v/>
      </c>
      <c r="CJ339" s="6"/>
      <c r="CK339" s="6"/>
      <c r="CL339" s="4" t="str">
        <f aca="false">IF(OR(CJ339="",CK339=""),"",IFERROR(IF($K339="%",CK339-CJ339,CK339/CJ339-1),""))</f>
        <v/>
      </c>
      <c r="CM339" s="5" t="str">
        <f aca="false">IF(OR(CJ339="",CK339=""),"",IF($F339="Maior Melhor",IF(CK339&gt;=CJ339,"Sim","Não"),IF(CK339&lt;=CJ339,"Sim","Não")))</f>
        <v/>
      </c>
      <c r="CN339" s="6"/>
      <c r="CO339" s="6"/>
      <c r="CP339" s="4" t="str">
        <f aca="false">IF(OR(CN339="",CO339=""),"",IFERROR(IF($K339="%",CO339-CN339,CO339/CN339-1),""))</f>
        <v/>
      </c>
      <c r="CQ339" s="5" t="str">
        <f aca="false">IF(OR(CN339="",CO339=""),"",IF($F339="Maior Melhor",IF(CO339&gt;=CN339,"Sim","Não"),IF(CO339&lt;=CN339,"Sim","Não")))</f>
        <v/>
      </c>
      <c r="CR339" s="2" t="s">
        <v>105</v>
      </c>
    </row>
    <row r="340" customFormat="false" ht="15" hidden="false" customHeight="false" outlineLevel="0" collapsed="false">
      <c r="A340" s="2" t="s">
        <v>161</v>
      </c>
      <c r="B340" s="2" t="s">
        <v>106</v>
      </c>
      <c r="C340" s="2" t="s">
        <v>127</v>
      </c>
      <c r="D340" s="2" t="s">
        <v>200</v>
      </c>
      <c r="E340" s="2" t="str">
        <f aca="false">C340&amp;D340</f>
        <v>UTD LUIS EDUARDO MAGALHAESServiço atendido no prazo* (Eficácia da Demanda Regulada (Curto Prazo))</v>
      </c>
      <c r="F340" s="2" t="s">
        <v>100</v>
      </c>
      <c r="G340" s="2" t="s">
        <v>201</v>
      </c>
      <c r="H340" s="2" t="s">
        <v>102</v>
      </c>
      <c r="I340" s="2" t="s">
        <v>103</v>
      </c>
      <c r="J340" s="2" t="n">
        <v>3</v>
      </c>
      <c r="K340" s="2" t="s">
        <v>104</v>
      </c>
      <c r="L340" s="3" t="n">
        <v>0.992</v>
      </c>
      <c r="M340" s="3" t="n">
        <v>0.995</v>
      </c>
      <c r="N340" s="4" t="n">
        <f aca="false">IF(OR(L340="",M340=""),"",IFERROR(IF($K340="%",M340-L340,M340/L340-1),""))</f>
        <v>0.003</v>
      </c>
      <c r="O340" s="5" t="str">
        <f aca="false">IF(OR(L340="",M340=""),"",IF($F340="Maior Melhor",IF(M340&gt;=L340,"Sim","Não"),IF(M340&lt;=L340,"Sim","Não")))</f>
        <v>Sim</v>
      </c>
      <c r="P340" s="3" t="n">
        <v>0.992</v>
      </c>
      <c r="Q340" s="3" t="n">
        <v>0.979</v>
      </c>
      <c r="R340" s="4" t="n">
        <f aca="false">IF(OR(P340="",Q340=""),"",IFERROR(IF($K340="%",Q340-P340,Q340/P340-1),""))</f>
        <v>-0.013</v>
      </c>
      <c r="S340" s="5" t="str">
        <f aca="false">IF(OR(P340="",Q340=""),"",IF($F340="Maior Melhor",IF(Q340&gt;=P340,"Sim","Não"),IF(Q340&lt;=P340,"Sim","Não")))</f>
        <v>Não</v>
      </c>
      <c r="T340" s="3" t="n">
        <v>0.992</v>
      </c>
      <c r="U340" s="3" t="n">
        <v>0.994</v>
      </c>
      <c r="V340" s="4" t="n">
        <f aca="false">IF(OR(T340="",U340=""),"",IFERROR(IF($K340="%",U340-T340,U340/T340-1),""))</f>
        <v>0.002</v>
      </c>
      <c r="W340" s="5" t="str">
        <f aca="false">IF(OR(T340="",U340=""),"",IF($F340="Maior Melhor",IF(U340&gt;=T340,"Sim","Não"),IF(U340&lt;=T340,"Sim","Não")))</f>
        <v>Sim</v>
      </c>
      <c r="X340" s="3" t="n">
        <v>0.992</v>
      </c>
      <c r="Y340" s="3" t="n">
        <v>0.9988</v>
      </c>
      <c r="Z340" s="4" t="n">
        <f aca="false">IF(OR(X340="",Y340=""),"",IFERROR(IF($K340="%",Y340-X340,Y340/X340-1),""))</f>
        <v>0.00680000000000003</v>
      </c>
      <c r="AA340" s="5" t="str">
        <f aca="false">IF(OR(X340="",Y340=""),"",IF($F340="Maior Melhor",IF(Y340&gt;=X340,"Sim","Não"),IF(Y340&lt;=X340,"Sim","Não")))</f>
        <v>Sim</v>
      </c>
      <c r="AB340" s="3" t="n">
        <v>0.992</v>
      </c>
      <c r="AC340" s="3" t="n">
        <v>0.9978</v>
      </c>
      <c r="AD340" s="4" t="n">
        <f aca="false">IF(OR(AB340="",AC340=""),"",IFERROR(IF($K340="%",AC340-AB340,AC340/AB340-1),""))</f>
        <v>0.00580000000000003</v>
      </c>
      <c r="AE340" s="5" t="str">
        <f aca="false">IF(OR(AB340="",AC340=""),"",IF($F340="Maior Melhor",IF(AC340&gt;=AB340,"Sim","Não"),IF(AC340&lt;=AB340,"Sim","Não")))</f>
        <v>Sim</v>
      </c>
      <c r="AF340" s="3" t="n">
        <v>0.992</v>
      </c>
      <c r="AG340" s="3" t="n">
        <v>0.999231065</v>
      </c>
      <c r="AH340" s="4" t="n">
        <f aca="false">IF(OR(AF340="",AG340=""),"",IFERROR(IF($K340="%",AG340-AF340,AG340/AF340-1),""))</f>
        <v>0.00723106500000004</v>
      </c>
      <c r="AI340" s="5" t="str">
        <f aca="false">IF(OR(AF340="",AG340=""),"",IF($F340="Maior Melhor",IF(AG340&gt;=AF340,"Sim","Não"),IF(AG340&lt;=AF340,"Sim","Não")))</f>
        <v>Sim</v>
      </c>
      <c r="AJ340" s="3" t="n">
        <v>0.992</v>
      </c>
      <c r="AK340" s="3" t="n">
        <v>0.993979201</v>
      </c>
      <c r="AL340" s="4" t="n">
        <f aca="false">IF(OR(AJ340="",AK340=""),"",IFERROR(IF($K340="%",AK340-AJ340,AK340/AJ340-1),""))</f>
        <v>0.00197920100000004</v>
      </c>
      <c r="AM340" s="5" t="str">
        <f aca="false">IF(OR(AJ340="",AK340=""),"",IF($F340="Maior Melhor",IF(AK340&gt;=AJ340,"Sim","Não"),IF(AK340&lt;=AJ340,"Sim","Não")))</f>
        <v>Sim</v>
      </c>
      <c r="AN340" s="3" t="n">
        <v>0.992</v>
      </c>
      <c r="AO340" s="3" t="n">
        <v>0.999211045</v>
      </c>
      <c r="AP340" s="4" t="n">
        <f aca="false">IF(OR(AN340="",AO340=""),"",IFERROR(IF($K340="%",AO340-AN340,AO340/AN340-1),""))</f>
        <v>0.00721104500000003</v>
      </c>
      <c r="AQ340" s="5" t="str">
        <f aca="false">IF(OR(AN340="",AO340=""),"",IF($F340="Maior Melhor",IF(AO340&gt;=AN340,"Sim","Não"),IF(AO340&lt;=AN340,"Sim","Não")))</f>
        <v>Sim</v>
      </c>
      <c r="AR340" s="3" t="n">
        <v>0.992</v>
      </c>
      <c r="AS340" s="3" t="n">
        <v>0.994961843</v>
      </c>
      <c r="AT340" s="4" t="n">
        <f aca="false">IF(OR(AR340="",AS340=""),"",IFERROR(IF($K340="%",AS340-AR340,AS340/AR340-1),""))</f>
        <v>0.00296184300000002</v>
      </c>
      <c r="AU340" s="5" t="str">
        <f aca="false">IF(OR(AR340="",AS340=""),"",IF($F340="Maior Melhor",IF(AS340&gt;=AR340,"Sim","Não"),IF(AS340&lt;=AR340,"Sim","Não")))</f>
        <v>Sim</v>
      </c>
      <c r="AV340" s="3" t="n">
        <v>0.992</v>
      </c>
      <c r="AW340" s="3" t="n">
        <v>0.999329534</v>
      </c>
      <c r="AX340" s="4" t="n">
        <f aca="false">IF(OR(AV340="",AW340=""),"",IFERROR(IF($K340="%",AW340-AV340,AW340/AV340-1),""))</f>
        <v>0.00732953400000003</v>
      </c>
      <c r="AY340" s="5" t="str">
        <f aca="false">IF(OR(AV340="",AW340=""),"",IF($F340="Maior Melhor",IF(AW340&gt;=AV340,"Sim","Não"),IF(AW340&lt;=AV340,"Sim","Não")))</f>
        <v>Sim</v>
      </c>
      <c r="AZ340" s="3" t="n">
        <v>0.992</v>
      </c>
      <c r="BA340" s="3" t="n">
        <v>0.995524767</v>
      </c>
      <c r="BB340" s="4" t="n">
        <f aca="false">IF(OR(AZ340="",BA340=""),"",IFERROR(IF($K340="%",BA340-AZ340,BA340/AZ340-1),""))</f>
        <v>0.00352476700000004</v>
      </c>
      <c r="BC340" s="5" t="str">
        <f aca="false">IF(OR(AZ340="",BA340=""),"",IF($F340="Maior Melhor",IF(BA340&gt;=AZ340,"Sim","Não"),IF(BA340&lt;=AZ340,"Sim","Não")))</f>
        <v>Sim</v>
      </c>
      <c r="BD340" s="3" t="n">
        <v>0.992</v>
      </c>
      <c r="BE340" s="3" t="n">
        <v>0.998</v>
      </c>
      <c r="BF340" s="4" t="n">
        <f aca="false">IF(OR(BD340="",BE340=""),"",IFERROR(IF($K340="%",BE340-BD340,BE340/BD340-1),""))</f>
        <v>0.00600000000000001</v>
      </c>
      <c r="BG340" s="5" t="str">
        <f aca="false">IF(OR(BD340="",BE340=""),"",IF($F340="Maior Melhor",IF(BE340&gt;=BD340,"Sim","Não"),IF(BE340&lt;=BD340,"Sim","Não")))</f>
        <v>Sim</v>
      </c>
      <c r="BH340" s="3" t="n">
        <v>0.992</v>
      </c>
      <c r="BI340" s="3" t="n">
        <v>0.996</v>
      </c>
      <c r="BJ340" s="4" t="n">
        <f aca="false">IF(OR(BH340="",BI340=""),"",IFERROR(IF($K340="%",BI340-BH340,BI340/BH340-1),""))</f>
        <v>0.004</v>
      </c>
      <c r="BK340" s="5" t="str">
        <f aca="false">IF(OR(BH340="",BI340=""),"",IF($F340="Maior Melhor",IF(BI340&gt;=BH340,"Sim","Não"),IF(BI340&lt;=BH340,"Sim","Não")))</f>
        <v>Sim</v>
      </c>
      <c r="BL340" s="6"/>
      <c r="BM340" s="6"/>
      <c r="BN340" s="4" t="str">
        <f aca="false">IF(OR(BL340="",BM340=""),"",IFERROR(IF($K340="%",BM340-BL340,BM340/BL340-1),""))</f>
        <v/>
      </c>
      <c r="BO340" s="5" t="str">
        <f aca="false">IF(OR(BL340="",BM340=""),"",IF($F340="Maior Melhor",IF(BM340&gt;=BL340,"Sim","Não"),IF(BM340&lt;=BL340,"Sim","Não")))</f>
        <v/>
      </c>
      <c r="BP340" s="6"/>
      <c r="BQ340" s="6"/>
      <c r="BR340" s="4" t="str">
        <f aca="false">IF(OR(BP340="",BQ340=""),"",IFERROR(IF($K340="%",BQ340-BP340,BQ340/BP340-1),""))</f>
        <v/>
      </c>
      <c r="BS340" s="5" t="str">
        <f aca="false">IF(OR(BP340="",BQ340=""),"",IF($F340="Maior Melhor",IF(BQ340&gt;=BP340,"Sim","Não"),IF(BQ340&lt;=BP340,"Sim","Não")))</f>
        <v/>
      </c>
      <c r="BT340" s="6"/>
      <c r="BU340" s="6"/>
      <c r="BV340" s="4" t="str">
        <f aca="false">IF(OR(BT340="",BU340=""),"",IFERROR(IF($K340="%",BU340-BT340,BU340/BT340-1),""))</f>
        <v/>
      </c>
      <c r="BW340" s="5" t="str">
        <f aca="false">IF(OR(BT340="",BU340=""),"",IF($F340="Maior Melhor",IF(BU340&gt;=BT340,"Sim","Não"),IF(BU340&lt;=BT340,"Sim","Não")))</f>
        <v/>
      </c>
      <c r="BX340" s="6"/>
      <c r="BY340" s="6"/>
      <c r="BZ340" s="4" t="str">
        <f aca="false">IF(OR(BX340="",BY340=""),"",IFERROR(IF($K340="%",BY340-BX340,BY340/BX340-1),""))</f>
        <v/>
      </c>
      <c r="CA340" s="5" t="str">
        <f aca="false">IF(OR(BX340="",BY340=""),"",IF($F340="Maior Melhor",IF(BY340&gt;=BX340,"Sim","Não"),IF(BY340&lt;=BX340,"Sim","Não")))</f>
        <v/>
      </c>
      <c r="CB340" s="6"/>
      <c r="CC340" s="6"/>
      <c r="CD340" s="4" t="str">
        <f aca="false">IF(OR(CB340="",CC340=""),"",IFERROR(IF($K340="%",CC340-CB340,CC340/CB340-1),""))</f>
        <v/>
      </c>
      <c r="CE340" s="5" t="str">
        <f aca="false">IF(OR(CB340="",CC340=""),"",IF($F340="Maior Melhor",IF(CC340&gt;=CB340,"Sim","Não"),IF(CC340&lt;=CB340,"Sim","Não")))</f>
        <v/>
      </c>
      <c r="CF340" s="6"/>
      <c r="CG340" s="6"/>
      <c r="CH340" s="4" t="str">
        <f aca="false">IF(OR(CF340="",CG340=""),"",IFERROR(IF($K340="%",CG340-CF340,CG340/CF340-1),""))</f>
        <v/>
      </c>
      <c r="CI340" s="5" t="str">
        <f aca="false">IF(OR(CF340="",CG340=""),"",IF($F340="Maior Melhor",IF(CG340&gt;=CF340,"Sim","Não"),IF(CG340&lt;=CF340,"Sim","Não")))</f>
        <v/>
      </c>
      <c r="CJ340" s="6"/>
      <c r="CK340" s="6"/>
      <c r="CL340" s="4" t="str">
        <f aca="false">IF(OR(CJ340="",CK340=""),"",IFERROR(IF($K340="%",CK340-CJ340,CK340/CJ340-1),""))</f>
        <v/>
      </c>
      <c r="CM340" s="5" t="str">
        <f aca="false">IF(OR(CJ340="",CK340=""),"",IF($F340="Maior Melhor",IF(CK340&gt;=CJ340,"Sim","Não"),IF(CK340&lt;=CJ340,"Sim","Não")))</f>
        <v/>
      </c>
      <c r="CN340" s="6"/>
      <c r="CO340" s="6"/>
      <c r="CP340" s="4" t="str">
        <f aca="false">IF(OR(CN340="",CO340=""),"",IFERROR(IF($K340="%",CO340-CN340,CO340/CN340-1),""))</f>
        <v/>
      </c>
      <c r="CQ340" s="5" t="str">
        <f aca="false">IF(OR(CN340="",CO340=""),"",IF($F340="Maior Melhor",IF(CO340&gt;=CN340,"Sim","Não"),IF(CO340&lt;=CN340,"Sim","Não")))</f>
        <v/>
      </c>
      <c r="CR340" s="2" t="s">
        <v>105</v>
      </c>
    </row>
    <row r="341" customFormat="false" ht="15" hidden="false" customHeight="false" outlineLevel="0" collapsed="false">
      <c r="A341" s="2" t="s">
        <v>161</v>
      </c>
      <c r="B341" s="2" t="s">
        <v>106</v>
      </c>
      <c r="C341" s="2" t="s">
        <v>128</v>
      </c>
      <c r="D341" s="2" t="s">
        <v>200</v>
      </c>
      <c r="E341" s="2" t="str">
        <f aca="false">C341&amp;D341</f>
        <v>UTD SANTA MARIA DA VITORIAServiço atendido no prazo* (Eficácia da Demanda Regulada (Curto Prazo))</v>
      </c>
      <c r="F341" s="2" t="s">
        <v>100</v>
      </c>
      <c r="G341" s="2" t="s">
        <v>201</v>
      </c>
      <c r="H341" s="2" t="s">
        <v>102</v>
      </c>
      <c r="I341" s="2" t="s">
        <v>103</v>
      </c>
      <c r="J341" s="2" t="n">
        <v>3</v>
      </c>
      <c r="K341" s="2" t="s">
        <v>104</v>
      </c>
      <c r="L341" s="3" t="n">
        <v>0.992</v>
      </c>
      <c r="M341" s="3" t="n">
        <v>0.992</v>
      </c>
      <c r="N341" s="4" t="n">
        <f aca="false">IF(OR(L341="",M341=""),"",IFERROR(IF($K341="%",M341-L341,M341/L341-1),""))</f>
        <v>0</v>
      </c>
      <c r="O341" s="5" t="str">
        <f aca="false">IF(OR(L341="",M341=""),"",IF($F341="Maior Melhor",IF(M341&gt;=L341,"Sim","Não"),IF(M341&lt;=L341,"Sim","Não")))</f>
        <v>Sim</v>
      </c>
      <c r="P341" s="3" t="n">
        <v>0.992</v>
      </c>
      <c r="Q341" s="3" t="n">
        <v>0.957</v>
      </c>
      <c r="R341" s="4" t="n">
        <f aca="false">IF(OR(P341="",Q341=""),"",IFERROR(IF($K341="%",Q341-P341,Q341/P341-1),""))</f>
        <v>-0.035</v>
      </c>
      <c r="S341" s="5" t="str">
        <f aca="false">IF(OR(P341="",Q341=""),"",IF($F341="Maior Melhor",IF(Q341&gt;=P341,"Sim","Não"),IF(Q341&lt;=P341,"Sim","Não")))</f>
        <v>Não</v>
      </c>
      <c r="T341" s="3" t="n">
        <v>0.992</v>
      </c>
      <c r="U341" s="3" t="n">
        <v>0.996</v>
      </c>
      <c r="V341" s="4" t="n">
        <f aca="false">IF(OR(T341="",U341=""),"",IFERROR(IF($K341="%",U341-T341,U341/T341-1),""))</f>
        <v>0.004</v>
      </c>
      <c r="W341" s="5" t="str">
        <f aca="false">IF(OR(T341="",U341=""),"",IF($F341="Maior Melhor",IF(U341&gt;=T341,"Sim","Não"),IF(U341&lt;=T341,"Sim","Não")))</f>
        <v>Sim</v>
      </c>
      <c r="X341" s="3" t="n">
        <v>0.992</v>
      </c>
      <c r="Y341" s="3" t="n">
        <v>0.9936</v>
      </c>
      <c r="Z341" s="4" t="n">
        <f aca="false">IF(OR(X341="",Y341=""),"",IFERROR(IF($K341="%",Y341-X341,Y341/X341-1),""))</f>
        <v>0.00160000000000005</v>
      </c>
      <c r="AA341" s="5" t="str">
        <f aca="false">IF(OR(X341="",Y341=""),"",IF($F341="Maior Melhor",IF(Y341&gt;=X341,"Sim","Não"),IF(Y341&lt;=X341,"Sim","Não")))</f>
        <v>Sim</v>
      </c>
      <c r="AB341" s="3" t="n">
        <v>0.992</v>
      </c>
      <c r="AC341" s="3" t="n">
        <v>0.9967</v>
      </c>
      <c r="AD341" s="4" t="n">
        <f aca="false">IF(OR(AB341="",AC341=""),"",IFERROR(IF($K341="%",AC341-AB341,AC341/AB341-1),""))</f>
        <v>0.00470000000000004</v>
      </c>
      <c r="AE341" s="5" t="str">
        <f aca="false">IF(OR(AB341="",AC341=""),"",IF($F341="Maior Melhor",IF(AC341&gt;=AB341,"Sim","Não"),IF(AC341&lt;=AB341,"Sim","Não")))</f>
        <v>Sim</v>
      </c>
      <c r="AF341" s="3" t="n">
        <v>0.992</v>
      </c>
      <c r="AG341" s="3" t="n">
        <v>0.995609221</v>
      </c>
      <c r="AH341" s="4" t="n">
        <f aca="false">IF(OR(AF341="",AG341=""),"",IFERROR(IF($K341="%",AG341-AF341,AG341/AF341-1),""))</f>
        <v>0.00360922100000005</v>
      </c>
      <c r="AI341" s="5" t="str">
        <f aca="false">IF(OR(AF341="",AG341=""),"",IF($F341="Maior Melhor",IF(AG341&gt;=AF341,"Sim","Não"),IF(AG341&lt;=AF341,"Sim","Não")))</f>
        <v>Sim</v>
      </c>
      <c r="AJ341" s="3" t="n">
        <v>0.992</v>
      </c>
      <c r="AK341" s="3" t="n">
        <v>0.987790832</v>
      </c>
      <c r="AL341" s="4" t="n">
        <f aca="false">IF(OR(AJ341="",AK341=""),"",IFERROR(IF($K341="%",AK341-AJ341,AK341/AJ341-1),""))</f>
        <v>-0.00420916800000004</v>
      </c>
      <c r="AM341" s="5" t="str">
        <f aca="false">IF(OR(AJ341="",AK341=""),"",IF($F341="Maior Melhor",IF(AK341&gt;=AJ341,"Sim","Não"),IF(AK341&lt;=AJ341,"Sim","Não")))</f>
        <v>Não</v>
      </c>
      <c r="AN341" s="3" t="n">
        <v>0.992</v>
      </c>
      <c r="AO341" s="3" t="n">
        <v>1</v>
      </c>
      <c r="AP341" s="4" t="n">
        <f aca="false">IF(OR(AN341="",AO341=""),"",IFERROR(IF($K341="%",AO341-AN341,AO341/AN341-1),""))</f>
        <v>0.00800000000000001</v>
      </c>
      <c r="AQ341" s="5" t="str">
        <f aca="false">IF(OR(AN341="",AO341=""),"",IF($F341="Maior Melhor",IF(AO341&gt;=AN341,"Sim","Não"),IF(AO341&lt;=AN341,"Sim","Não")))</f>
        <v>Sim</v>
      </c>
      <c r="AR341" s="3" t="n">
        <v>0.992</v>
      </c>
      <c r="AS341" s="3" t="n">
        <v>0.990187002</v>
      </c>
      <c r="AT341" s="4" t="n">
        <f aca="false">IF(OR(AR341="",AS341=""),"",IFERROR(IF($K341="%",AS341-AR341,AS341/AR341-1),""))</f>
        <v>-0.00181299800000001</v>
      </c>
      <c r="AU341" s="5" t="str">
        <f aca="false">IF(OR(AR341="",AS341=""),"",IF($F341="Maior Melhor",IF(AS341&gt;=AR341,"Sim","Não"),IF(AS341&lt;=AR341,"Sim","Não")))</f>
        <v>Não</v>
      </c>
      <c r="AV341" s="3" t="n">
        <v>0.992</v>
      </c>
      <c r="AW341" s="3" t="n">
        <v>1</v>
      </c>
      <c r="AX341" s="4" t="n">
        <f aca="false">IF(OR(AV341="",AW341=""),"",IFERROR(IF($K341="%",AW341-AV341,AW341/AV341-1),""))</f>
        <v>0.00800000000000001</v>
      </c>
      <c r="AY341" s="5" t="str">
        <f aca="false">IF(OR(AV341="",AW341=""),"",IF($F341="Maior Melhor",IF(AW341&gt;=AV341,"Sim","Não"),IF(AW341&lt;=AV341,"Sim","Não")))</f>
        <v>Sim</v>
      </c>
      <c r="AZ341" s="3" t="n">
        <v>0.992</v>
      </c>
      <c r="BA341" s="3" t="n">
        <v>0.991910867</v>
      </c>
      <c r="BB341" s="4" t="n">
        <f aca="false">IF(OR(AZ341="",BA341=""),"",IFERROR(IF($K341="%",BA341-AZ341,BA341/AZ341-1),""))</f>
        <v>-8.9133000000019E-005</v>
      </c>
      <c r="BC341" s="5" t="str">
        <f aca="false">IF(OR(AZ341="",BA341=""),"",IF($F341="Maior Melhor",IF(BA341&gt;=AZ341,"Sim","Não"),IF(BA341&lt;=AZ341,"Sim","Não")))</f>
        <v>Não</v>
      </c>
      <c r="BD341" s="3" t="n">
        <v>0.992</v>
      </c>
      <c r="BE341" s="3" t="n">
        <v>0.998</v>
      </c>
      <c r="BF341" s="4" t="n">
        <f aca="false">IF(OR(BD341="",BE341=""),"",IFERROR(IF($K341="%",BE341-BD341,BE341/BD341-1),""))</f>
        <v>0.00600000000000001</v>
      </c>
      <c r="BG341" s="5" t="str">
        <f aca="false">IF(OR(BD341="",BE341=""),"",IF($F341="Maior Melhor",IF(BE341&gt;=BD341,"Sim","Não"),IF(BE341&lt;=BD341,"Sim","Não")))</f>
        <v>Sim</v>
      </c>
      <c r="BH341" s="3" t="n">
        <v>0.992</v>
      </c>
      <c r="BI341" s="3" t="n">
        <v>0.993</v>
      </c>
      <c r="BJ341" s="4" t="n">
        <f aca="false">IF(OR(BH341="",BI341=""),"",IFERROR(IF($K341="%",BI341-BH341,BI341/BH341-1),""))</f>
        <v>0.001</v>
      </c>
      <c r="BK341" s="5" t="str">
        <f aca="false">IF(OR(BH341="",BI341=""),"",IF($F341="Maior Melhor",IF(BI341&gt;=BH341,"Sim","Não"),IF(BI341&lt;=BH341,"Sim","Não")))</f>
        <v>Sim</v>
      </c>
      <c r="BL341" s="6"/>
      <c r="BM341" s="6"/>
      <c r="BN341" s="4" t="str">
        <f aca="false">IF(OR(BL341="",BM341=""),"",IFERROR(IF($K341="%",BM341-BL341,BM341/BL341-1),""))</f>
        <v/>
      </c>
      <c r="BO341" s="5" t="str">
        <f aca="false">IF(OR(BL341="",BM341=""),"",IF($F341="Maior Melhor",IF(BM341&gt;=BL341,"Sim","Não"),IF(BM341&lt;=BL341,"Sim","Não")))</f>
        <v/>
      </c>
      <c r="BP341" s="6"/>
      <c r="BQ341" s="6"/>
      <c r="BR341" s="4" t="str">
        <f aca="false">IF(OR(BP341="",BQ341=""),"",IFERROR(IF($K341="%",BQ341-BP341,BQ341/BP341-1),""))</f>
        <v/>
      </c>
      <c r="BS341" s="5" t="str">
        <f aca="false">IF(OR(BP341="",BQ341=""),"",IF($F341="Maior Melhor",IF(BQ341&gt;=BP341,"Sim","Não"),IF(BQ341&lt;=BP341,"Sim","Não")))</f>
        <v/>
      </c>
      <c r="BT341" s="6"/>
      <c r="BU341" s="6"/>
      <c r="BV341" s="4" t="str">
        <f aca="false">IF(OR(BT341="",BU341=""),"",IFERROR(IF($K341="%",BU341-BT341,BU341/BT341-1),""))</f>
        <v/>
      </c>
      <c r="BW341" s="5" t="str">
        <f aca="false">IF(OR(BT341="",BU341=""),"",IF($F341="Maior Melhor",IF(BU341&gt;=BT341,"Sim","Não"),IF(BU341&lt;=BT341,"Sim","Não")))</f>
        <v/>
      </c>
      <c r="BX341" s="6"/>
      <c r="BY341" s="6"/>
      <c r="BZ341" s="4" t="str">
        <f aca="false">IF(OR(BX341="",BY341=""),"",IFERROR(IF($K341="%",BY341-BX341,BY341/BX341-1),""))</f>
        <v/>
      </c>
      <c r="CA341" s="5" t="str">
        <f aca="false">IF(OR(BX341="",BY341=""),"",IF($F341="Maior Melhor",IF(BY341&gt;=BX341,"Sim","Não"),IF(BY341&lt;=BX341,"Sim","Não")))</f>
        <v/>
      </c>
      <c r="CB341" s="6"/>
      <c r="CC341" s="6"/>
      <c r="CD341" s="4" t="str">
        <f aca="false">IF(OR(CB341="",CC341=""),"",IFERROR(IF($K341="%",CC341-CB341,CC341/CB341-1),""))</f>
        <v/>
      </c>
      <c r="CE341" s="5" t="str">
        <f aca="false">IF(OR(CB341="",CC341=""),"",IF($F341="Maior Melhor",IF(CC341&gt;=CB341,"Sim","Não"),IF(CC341&lt;=CB341,"Sim","Não")))</f>
        <v/>
      </c>
      <c r="CF341" s="6"/>
      <c r="CG341" s="6"/>
      <c r="CH341" s="4" t="str">
        <f aca="false">IF(OR(CF341="",CG341=""),"",IFERROR(IF($K341="%",CG341-CF341,CG341/CF341-1),""))</f>
        <v/>
      </c>
      <c r="CI341" s="5" t="str">
        <f aca="false">IF(OR(CF341="",CG341=""),"",IF($F341="Maior Melhor",IF(CG341&gt;=CF341,"Sim","Não"),IF(CG341&lt;=CF341,"Sim","Não")))</f>
        <v/>
      </c>
      <c r="CJ341" s="6"/>
      <c r="CK341" s="6"/>
      <c r="CL341" s="4" t="str">
        <f aca="false">IF(OR(CJ341="",CK341=""),"",IFERROR(IF($K341="%",CK341-CJ341,CK341/CJ341-1),""))</f>
        <v/>
      </c>
      <c r="CM341" s="5" t="str">
        <f aca="false">IF(OR(CJ341="",CK341=""),"",IF($F341="Maior Melhor",IF(CK341&gt;=CJ341,"Sim","Não"),IF(CK341&lt;=CJ341,"Sim","Não")))</f>
        <v/>
      </c>
      <c r="CN341" s="6"/>
      <c r="CO341" s="6"/>
      <c r="CP341" s="4" t="str">
        <f aca="false">IF(OR(CN341="",CO341=""),"",IFERROR(IF($K341="%",CO341-CN341,CO341/CN341-1),""))</f>
        <v/>
      </c>
      <c r="CQ341" s="5" t="str">
        <f aca="false">IF(OR(CN341="",CO341=""),"",IF($F341="Maior Melhor",IF(CO341&gt;=CN341,"Sim","Não"),IF(CO341&lt;=CN341,"Sim","Não")))</f>
        <v/>
      </c>
      <c r="CR341" s="2" t="s">
        <v>165</v>
      </c>
    </row>
    <row r="342" customFormat="false" ht="15" hidden="false" customHeight="false" outlineLevel="0" collapsed="false">
      <c r="A342" s="2" t="s">
        <v>161</v>
      </c>
      <c r="B342" s="2" t="s">
        <v>97</v>
      </c>
      <c r="C342" s="2" t="s">
        <v>130</v>
      </c>
      <c r="D342" s="2" t="s">
        <v>200</v>
      </c>
      <c r="E342" s="2" t="str">
        <f aca="false">C342&amp;D342</f>
        <v>UTD SEABRAServiço atendido no prazo* (Eficácia da Demanda Regulada (Curto Prazo))</v>
      </c>
      <c r="F342" s="2" t="s">
        <v>100</v>
      </c>
      <c r="G342" s="2" t="s">
        <v>201</v>
      </c>
      <c r="H342" s="2" t="s">
        <v>102</v>
      </c>
      <c r="I342" s="2" t="s">
        <v>103</v>
      </c>
      <c r="J342" s="2" t="n">
        <v>3</v>
      </c>
      <c r="K342" s="2" t="s">
        <v>104</v>
      </c>
      <c r="L342" s="3" t="n">
        <v>0.992</v>
      </c>
      <c r="M342" s="3" t="n">
        <v>0.997</v>
      </c>
      <c r="N342" s="4" t="n">
        <f aca="false">IF(OR(L342="",M342=""),"",IFERROR(IF($K342="%",M342-L342,M342/L342-1),""))</f>
        <v>0.005</v>
      </c>
      <c r="O342" s="5" t="str">
        <f aca="false">IF(OR(L342="",M342=""),"",IF($F342="Maior Melhor",IF(M342&gt;=L342,"Sim","Não"),IF(M342&lt;=L342,"Sim","Não")))</f>
        <v>Sim</v>
      </c>
      <c r="P342" s="3" t="n">
        <v>0.992</v>
      </c>
      <c r="Q342" s="3" t="n">
        <v>0.997</v>
      </c>
      <c r="R342" s="4" t="n">
        <f aca="false">IF(OR(P342="",Q342=""),"",IFERROR(IF($K342="%",Q342-P342,Q342/P342-1),""))</f>
        <v>0.005</v>
      </c>
      <c r="S342" s="5" t="str">
        <f aca="false">IF(OR(P342="",Q342=""),"",IF($F342="Maior Melhor",IF(Q342&gt;=P342,"Sim","Não"),IF(Q342&lt;=P342,"Sim","Não")))</f>
        <v>Sim</v>
      </c>
      <c r="T342" s="3" t="n">
        <v>0.992</v>
      </c>
      <c r="U342" s="3" t="n">
        <v>0.982</v>
      </c>
      <c r="V342" s="4" t="n">
        <f aca="false">IF(OR(T342="",U342=""),"",IFERROR(IF($K342="%",U342-T342,U342/T342-1),""))</f>
        <v>-0.01</v>
      </c>
      <c r="W342" s="5" t="str">
        <f aca="false">IF(OR(T342="",U342=""),"",IF($F342="Maior Melhor",IF(U342&gt;=T342,"Sim","Não"),IF(U342&lt;=T342,"Sim","Não")))</f>
        <v>Não</v>
      </c>
      <c r="X342" s="3" t="n">
        <v>0.992</v>
      </c>
      <c r="Y342" s="3" t="n">
        <v>0.9963</v>
      </c>
      <c r="Z342" s="4" t="n">
        <f aca="false">IF(OR(X342="",Y342=""),"",IFERROR(IF($K342="%",Y342-X342,Y342/X342-1),""))</f>
        <v>0.00429999999999997</v>
      </c>
      <c r="AA342" s="5" t="str">
        <f aca="false">IF(OR(X342="",Y342=""),"",IF($F342="Maior Melhor",IF(Y342&gt;=X342,"Sim","Não"),IF(Y342&lt;=X342,"Sim","Não")))</f>
        <v>Sim</v>
      </c>
      <c r="AB342" s="3" t="n">
        <v>0.992</v>
      </c>
      <c r="AC342" s="3" t="n">
        <v>0.9878</v>
      </c>
      <c r="AD342" s="4" t="n">
        <f aca="false">IF(OR(AB342="",AC342=""),"",IFERROR(IF($K342="%",AC342-AB342,AC342/AB342-1),""))</f>
        <v>-0.00419999999999998</v>
      </c>
      <c r="AE342" s="5" t="str">
        <f aca="false">IF(OR(AB342="",AC342=""),"",IF($F342="Maior Melhor",IF(AC342&gt;=AB342,"Sim","Não"),IF(AC342&lt;=AB342,"Sim","Não")))</f>
        <v>Não</v>
      </c>
      <c r="AF342" s="3" t="n">
        <v>0.992</v>
      </c>
      <c r="AG342" s="3" t="n">
        <v>0.997524752</v>
      </c>
      <c r="AH342" s="4" t="n">
        <f aca="false">IF(OR(AF342="",AG342=""),"",IFERROR(IF($K342="%",AG342-AF342,AG342/AF342-1),""))</f>
        <v>0.00552475200000002</v>
      </c>
      <c r="AI342" s="5" t="str">
        <f aca="false">IF(OR(AF342="",AG342=""),"",IF($F342="Maior Melhor",IF(AG342&gt;=AF342,"Sim","Não"),IF(AG342&lt;=AF342,"Sim","Não")))</f>
        <v>Sim</v>
      </c>
      <c r="AJ342" s="3" t="n">
        <v>0.992</v>
      </c>
      <c r="AK342" s="3" t="n">
        <v>0.995070294</v>
      </c>
      <c r="AL342" s="4" t="n">
        <f aca="false">IF(OR(AJ342="",AK342=""),"",IFERROR(IF($K342="%",AK342-AJ342,AK342/AJ342-1),""))</f>
        <v>0.00307029400000003</v>
      </c>
      <c r="AM342" s="5" t="str">
        <f aca="false">IF(OR(AJ342="",AK342=""),"",IF($F342="Maior Melhor",IF(AK342&gt;=AJ342,"Sim","Não"),IF(AK342&lt;=AJ342,"Sim","Não")))</f>
        <v>Sim</v>
      </c>
      <c r="AN342" s="3" t="n">
        <v>0.992</v>
      </c>
      <c r="AO342" s="3" t="n">
        <v>0.994897959</v>
      </c>
      <c r="AP342" s="4" t="n">
        <f aca="false">IF(OR(AN342="",AO342=""),"",IFERROR(IF($K342="%",AO342-AN342,AO342/AN342-1),""))</f>
        <v>0.00289795900000001</v>
      </c>
      <c r="AQ342" s="5" t="str">
        <f aca="false">IF(OR(AN342="",AO342=""),"",IF($F342="Maior Melhor",IF(AO342&gt;=AN342,"Sim","Não"),IF(AO342&lt;=AN342,"Sim","Não")))</f>
        <v>Sim</v>
      </c>
      <c r="AR342" s="3" t="n">
        <v>0.992</v>
      </c>
      <c r="AS342" s="3" t="n">
        <v>0.995039832</v>
      </c>
      <c r="AT342" s="4" t="n">
        <f aca="false">IF(OR(AR342="",AS342=""),"",IFERROR(IF($K342="%",AS342-AR342,AS342/AR342-1),""))</f>
        <v>0.00303983200000002</v>
      </c>
      <c r="AU342" s="5" t="str">
        <f aca="false">IF(OR(AR342="",AS342=""),"",IF($F342="Maior Melhor",IF(AS342&gt;=AR342,"Sim","Não"),IF(AS342&lt;=AR342,"Sim","Não")))</f>
        <v>Sim</v>
      </c>
      <c r="AV342" s="3" t="n">
        <v>0.992</v>
      </c>
      <c r="AW342" s="3" t="n">
        <v>0.995409334</v>
      </c>
      <c r="AX342" s="4" t="n">
        <f aca="false">IF(OR(AV342="",AW342=""),"",IFERROR(IF($K342="%",AW342-AV342,AW342/AV342-1),""))</f>
        <v>0.00340933399999999</v>
      </c>
      <c r="AY342" s="5" t="str">
        <f aca="false">IF(OR(AV342="",AW342=""),"",IF($F342="Maior Melhor",IF(AW342&gt;=AV342,"Sim","Não"),IF(AW342&lt;=AV342,"Sim","Não")))</f>
        <v>Sim</v>
      </c>
      <c r="AZ342" s="3" t="n">
        <v>0.992</v>
      </c>
      <c r="BA342" s="3" t="n">
        <v>0.995100503</v>
      </c>
      <c r="BB342" s="4" t="n">
        <f aca="false">IF(OR(AZ342="",BA342=""),"",IFERROR(IF($K342="%",BA342-AZ342,BA342/AZ342-1),""))</f>
        <v>0.00310050299999998</v>
      </c>
      <c r="BC342" s="5" t="str">
        <f aca="false">IF(OR(AZ342="",BA342=""),"",IF($F342="Maior Melhor",IF(BA342&gt;=AZ342,"Sim","Não"),IF(BA342&lt;=AZ342,"Sim","Não")))</f>
        <v>Sim</v>
      </c>
      <c r="BD342" s="3" t="n">
        <v>0.992</v>
      </c>
      <c r="BE342" s="3" t="n">
        <v>1</v>
      </c>
      <c r="BF342" s="4" t="n">
        <f aca="false">IF(OR(BD342="",BE342=""),"",IFERROR(IF($K342="%",BE342-BD342,BE342/BD342-1),""))</f>
        <v>0.00800000000000001</v>
      </c>
      <c r="BG342" s="5" t="str">
        <f aca="false">IF(OR(BD342="",BE342=""),"",IF($F342="Maior Melhor",IF(BE342&gt;=BD342,"Sim","Não"),IF(BE342&lt;=BD342,"Sim","Não")))</f>
        <v>Sim</v>
      </c>
      <c r="BH342" s="3" t="n">
        <v>0.992</v>
      </c>
      <c r="BI342" s="3" t="n">
        <v>0.996</v>
      </c>
      <c r="BJ342" s="4" t="n">
        <f aca="false">IF(OR(BH342="",BI342=""),"",IFERROR(IF($K342="%",BI342-BH342,BI342/BH342-1),""))</f>
        <v>0.004</v>
      </c>
      <c r="BK342" s="5" t="str">
        <f aca="false">IF(OR(BH342="",BI342=""),"",IF($F342="Maior Melhor",IF(BI342&gt;=BH342,"Sim","Não"),IF(BI342&lt;=BH342,"Sim","Não")))</f>
        <v>Sim</v>
      </c>
      <c r="BL342" s="6"/>
      <c r="BM342" s="6"/>
      <c r="BN342" s="4" t="str">
        <f aca="false">IF(OR(BL342="",BM342=""),"",IFERROR(IF($K342="%",BM342-BL342,BM342/BL342-1),""))</f>
        <v/>
      </c>
      <c r="BO342" s="5" t="str">
        <f aca="false">IF(OR(BL342="",BM342=""),"",IF($F342="Maior Melhor",IF(BM342&gt;=BL342,"Sim","Não"),IF(BM342&lt;=BL342,"Sim","Não")))</f>
        <v/>
      </c>
      <c r="BP342" s="6"/>
      <c r="BQ342" s="6"/>
      <c r="BR342" s="4" t="str">
        <f aca="false">IF(OR(BP342="",BQ342=""),"",IFERROR(IF($K342="%",BQ342-BP342,BQ342/BP342-1),""))</f>
        <v/>
      </c>
      <c r="BS342" s="5" t="str">
        <f aca="false">IF(OR(BP342="",BQ342=""),"",IF($F342="Maior Melhor",IF(BQ342&gt;=BP342,"Sim","Não"),IF(BQ342&lt;=BP342,"Sim","Não")))</f>
        <v/>
      </c>
      <c r="BT342" s="6"/>
      <c r="BU342" s="6"/>
      <c r="BV342" s="4" t="str">
        <f aca="false">IF(OR(BT342="",BU342=""),"",IFERROR(IF($K342="%",BU342-BT342,BU342/BT342-1),""))</f>
        <v/>
      </c>
      <c r="BW342" s="5" t="str">
        <f aca="false">IF(OR(BT342="",BU342=""),"",IF($F342="Maior Melhor",IF(BU342&gt;=BT342,"Sim","Não"),IF(BU342&lt;=BT342,"Sim","Não")))</f>
        <v/>
      </c>
      <c r="BX342" s="6"/>
      <c r="BY342" s="6"/>
      <c r="BZ342" s="4" t="str">
        <f aca="false">IF(OR(BX342="",BY342=""),"",IFERROR(IF($K342="%",BY342-BX342,BY342/BX342-1),""))</f>
        <v/>
      </c>
      <c r="CA342" s="5" t="str">
        <f aca="false">IF(OR(BX342="",BY342=""),"",IF($F342="Maior Melhor",IF(BY342&gt;=BX342,"Sim","Não"),IF(BY342&lt;=BX342,"Sim","Não")))</f>
        <v/>
      </c>
      <c r="CB342" s="6"/>
      <c r="CC342" s="6"/>
      <c r="CD342" s="4" t="str">
        <f aca="false">IF(OR(CB342="",CC342=""),"",IFERROR(IF($K342="%",CC342-CB342,CC342/CB342-1),""))</f>
        <v/>
      </c>
      <c r="CE342" s="5" t="str">
        <f aca="false">IF(OR(CB342="",CC342=""),"",IF($F342="Maior Melhor",IF(CC342&gt;=CB342,"Sim","Não"),IF(CC342&lt;=CB342,"Sim","Não")))</f>
        <v/>
      </c>
      <c r="CF342" s="6"/>
      <c r="CG342" s="6"/>
      <c r="CH342" s="4" t="str">
        <f aca="false">IF(OR(CF342="",CG342=""),"",IFERROR(IF($K342="%",CG342-CF342,CG342/CF342-1),""))</f>
        <v/>
      </c>
      <c r="CI342" s="5" t="str">
        <f aca="false">IF(OR(CF342="",CG342=""),"",IF($F342="Maior Melhor",IF(CG342&gt;=CF342,"Sim","Não"),IF(CG342&lt;=CF342,"Sim","Não")))</f>
        <v/>
      </c>
      <c r="CJ342" s="6"/>
      <c r="CK342" s="6"/>
      <c r="CL342" s="4" t="str">
        <f aca="false">IF(OR(CJ342="",CK342=""),"",IFERROR(IF($K342="%",CK342-CJ342,CK342/CJ342-1),""))</f>
        <v/>
      </c>
      <c r="CM342" s="5" t="str">
        <f aca="false">IF(OR(CJ342="",CK342=""),"",IF($F342="Maior Melhor",IF(CK342&gt;=CJ342,"Sim","Não"),IF(CK342&lt;=CJ342,"Sim","Não")))</f>
        <v/>
      </c>
      <c r="CN342" s="6"/>
      <c r="CO342" s="6"/>
      <c r="CP342" s="4" t="str">
        <f aca="false">IF(OR(CN342="",CO342=""),"",IFERROR(IF($K342="%",CO342-CN342,CO342/CN342-1),""))</f>
        <v/>
      </c>
      <c r="CQ342" s="5" t="str">
        <f aca="false">IF(OR(CN342="",CO342=""),"",IF($F342="Maior Melhor",IF(CO342&gt;=CN342,"Sim","Não"),IF(CO342&lt;=CN342,"Sim","Não")))</f>
        <v/>
      </c>
      <c r="CR342" s="2" t="s">
        <v>105</v>
      </c>
    </row>
    <row r="343" customFormat="false" ht="15" hidden="false" customHeight="false" outlineLevel="0" collapsed="false">
      <c r="A343" s="2" t="s">
        <v>161</v>
      </c>
      <c r="B343" s="2" t="s">
        <v>108</v>
      </c>
      <c r="C343" s="2" t="s">
        <v>131</v>
      </c>
      <c r="D343" s="2" t="s">
        <v>200</v>
      </c>
      <c r="E343" s="2" t="str">
        <f aca="false">C343&amp;D343</f>
        <v>UTD VITORIA DA CONQUISTAServiço atendido no prazo* (Eficácia da Demanda Regulada (Curto Prazo))</v>
      </c>
      <c r="F343" s="2" t="s">
        <v>100</v>
      </c>
      <c r="G343" s="2" t="s">
        <v>201</v>
      </c>
      <c r="H343" s="2" t="s">
        <v>102</v>
      </c>
      <c r="I343" s="2" t="s">
        <v>103</v>
      </c>
      <c r="J343" s="2" t="n">
        <v>3</v>
      </c>
      <c r="K343" s="2" t="s">
        <v>104</v>
      </c>
      <c r="L343" s="3" t="n">
        <v>0.992</v>
      </c>
      <c r="M343" s="3" t="n">
        <v>0.993</v>
      </c>
      <c r="N343" s="4" t="n">
        <f aca="false">IF(OR(L343="",M343=""),"",IFERROR(IF($K343="%",M343-L343,M343/L343-1),""))</f>
        <v>0.001</v>
      </c>
      <c r="O343" s="5" t="str">
        <f aca="false">IF(OR(L343="",M343=""),"",IF($F343="Maior Melhor",IF(M343&gt;=L343,"Sim","Não"),IF(M343&lt;=L343,"Sim","Não")))</f>
        <v>Sim</v>
      </c>
      <c r="P343" s="3" t="n">
        <v>0.992</v>
      </c>
      <c r="Q343" s="3" t="n">
        <v>0.993</v>
      </c>
      <c r="R343" s="4" t="n">
        <f aca="false">IF(OR(P343="",Q343=""),"",IFERROR(IF($K343="%",Q343-P343,Q343/P343-1),""))</f>
        <v>0.001</v>
      </c>
      <c r="S343" s="5" t="str">
        <f aca="false">IF(OR(P343="",Q343=""),"",IF($F343="Maior Melhor",IF(Q343&gt;=P343,"Sim","Não"),IF(Q343&lt;=P343,"Sim","Não")))</f>
        <v>Sim</v>
      </c>
      <c r="T343" s="3" t="n">
        <v>0.992</v>
      </c>
      <c r="U343" s="3" t="n">
        <v>0.995</v>
      </c>
      <c r="V343" s="4" t="n">
        <f aca="false">IF(OR(T343="",U343=""),"",IFERROR(IF($K343="%",U343-T343,U343/T343-1),""))</f>
        <v>0.003</v>
      </c>
      <c r="W343" s="5" t="str">
        <f aca="false">IF(OR(T343="",U343=""),"",IF($F343="Maior Melhor",IF(U343&gt;=T343,"Sim","Não"),IF(U343&lt;=T343,"Sim","Não")))</f>
        <v>Sim</v>
      </c>
      <c r="X343" s="3" t="n">
        <v>0.992</v>
      </c>
      <c r="Y343" s="3" t="n">
        <v>0.9954</v>
      </c>
      <c r="Z343" s="4" t="n">
        <f aca="false">IF(OR(X343="",Y343=""),"",IFERROR(IF($K343="%",Y343-X343,Y343/X343-1),""))</f>
        <v>0.00339999999999996</v>
      </c>
      <c r="AA343" s="5" t="str">
        <f aca="false">IF(OR(X343="",Y343=""),"",IF($F343="Maior Melhor",IF(Y343&gt;=X343,"Sim","Não"),IF(Y343&lt;=X343,"Sim","Não")))</f>
        <v>Sim</v>
      </c>
      <c r="AB343" s="3" t="n">
        <v>0.992</v>
      </c>
      <c r="AC343" s="3" t="n">
        <v>0.9958</v>
      </c>
      <c r="AD343" s="4" t="n">
        <f aca="false">IF(OR(AB343="",AC343=""),"",IFERROR(IF($K343="%",AC343-AB343,AC343/AB343-1),""))</f>
        <v>0.00380000000000003</v>
      </c>
      <c r="AE343" s="5" t="str">
        <f aca="false">IF(OR(AB343="",AC343=""),"",IF($F343="Maior Melhor",IF(AC343&gt;=AB343,"Sim","Não"),IF(AC343&lt;=AB343,"Sim","Não")))</f>
        <v>Sim</v>
      </c>
      <c r="AF343" s="3" t="n">
        <v>0.992</v>
      </c>
      <c r="AG343" s="3" t="n">
        <v>0.992121331</v>
      </c>
      <c r="AH343" s="4" t="n">
        <f aca="false">IF(OR(AF343="",AG343=""),"",IFERROR(IF($K343="%",AG343-AF343,AG343/AF343-1),""))</f>
        <v>0.000121331000000002</v>
      </c>
      <c r="AI343" s="5" t="str">
        <f aca="false">IF(OR(AF343="",AG343=""),"",IF($F343="Maior Melhor",IF(AG343&gt;=AF343,"Sim","Não"),IF(AG343&lt;=AF343,"Sim","Não")))</f>
        <v>Sim</v>
      </c>
      <c r="AJ343" s="3" t="n">
        <v>0.992</v>
      </c>
      <c r="AK343" s="3" t="n">
        <v>0.993694882</v>
      </c>
      <c r="AL343" s="4" t="n">
        <f aca="false">IF(OR(AJ343="",AK343=""),"",IFERROR(IF($K343="%",AK343-AJ343,AK343/AJ343-1),""))</f>
        <v>0.00169488200000001</v>
      </c>
      <c r="AM343" s="5" t="str">
        <f aca="false">IF(OR(AJ343="",AK343=""),"",IF($F343="Maior Melhor",IF(AK343&gt;=AJ343,"Sim","Não"),IF(AK343&lt;=AJ343,"Sim","Não")))</f>
        <v>Sim</v>
      </c>
      <c r="AN343" s="3" t="n">
        <v>0.992</v>
      </c>
      <c r="AO343" s="3" t="n">
        <v>0.996716602</v>
      </c>
      <c r="AP343" s="4" t="n">
        <f aca="false">IF(OR(AN343="",AO343=""),"",IFERROR(IF($K343="%",AO343-AN343,AO343/AN343-1),""))</f>
        <v>0.00471660200000001</v>
      </c>
      <c r="AQ343" s="5" t="str">
        <f aca="false">IF(OR(AN343="",AO343=""),"",IF($F343="Maior Melhor",IF(AO343&gt;=AN343,"Sim","Não"),IF(AO343&lt;=AN343,"Sim","Não")))</f>
        <v>Sim</v>
      </c>
      <c r="AR343" s="3" t="n">
        <v>0.992</v>
      </c>
      <c r="AS343" s="3" t="n">
        <v>0.994200213</v>
      </c>
      <c r="AT343" s="4" t="n">
        <f aca="false">IF(OR(AR343="",AS343=""),"",IFERROR(IF($K343="%",AS343-AR343,AS343/AR343-1),""))</f>
        <v>0.00220021300000006</v>
      </c>
      <c r="AU343" s="5" t="str">
        <f aca="false">IF(OR(AR343="",AS343=""),"",IF($F343="Maior Melhor",IF(AS343&gt;=AR343,"Sim","Não"),IF(AS343&lt;=AR343,"Sim","Não")))</f>
        <v>Sim</v>
      </c>
      <c r="AV343" s="3" t="n">
        <v>0.992</v>
      </c>
      <c r="AW343" s="3" t="n">
        <v>0.997635074</v>
      </c>
      <c r="AX343" s="4" t="n">
        <f aca="false">IF(OR(AV343="",AW343=""),"",IFERROR(IF($K343="%",AW343-AV343,AW343/AV343-1),""))</f>
        <v>0.00563507399999996</v>
      </c>
      <c r="AY343" s="5" t="str">
        <f aca="false">IF(OR(AV343="",AW343=""),"",IF($F343="Maior Melhor",IF(AW343&gt;=AV343,"Sim","Não"),IF(AW343&lt;=AV343,"Sim","Não")))</f>
        <v>Sim</v>
      </c>
      <c r="AZ343" s="3" t="n">
        <v>0.992</v>
      </c>
      <c r="BA343" s="3" t="n">
        <v>0.994796334</v>
      </c>
      <c r="BB343" s="4" t="n">
        <f aca="false">IF(OR(AZ343="",BA343=""),"",IFERROR(IF($K343="%",BA343-AZ343,BA343/AZ343-1),""))</f>
        <v>0.00279633400000001</v>
      </c>
      <c r="BC343" s="5" t="str">
        <f aca="false">IF(OR(AZ343="",BA343=""),"",IF($F343="Maior Melhor",IF(BA343&gt;=AZ343,"Sim","Não"),IF(BA343&lt;=AZ343,"Sim","Não")))</f>
        <v>Sim</v>
      </c>
      <c r="BD343" s="3" t="n">
        <v>0.992</v>
      </c>
      <c r="BE343" s="3" t="n">
        <v>0.997</v>
      </c>
      <c r="BF343" s="4" t="n">
        <f aca="false">IF(OR(BD343="",BE343=""),"",IFERROR(IF($K343="%",BE343-BD343,BE343/BD343-1),""))</f>
        <v>0.005</v>
      </c>
      <c r="BG343" s="5" t="str">
        <f aca="false">IF(OR(BD343="",BE343=""),"",IF($F343="Maior Melhor",IF(BE343&gt;=BD343,"Sim","Não"),IF(BE343&lt;=BD343,"Sim","Não")))</f>
        <v>Sim</v>
      </c>
      <c r="BH343" s="3" t="n">
        <v>0.992</v>
      </c>
      <c r="BI343" s="3" t="n">
        <v>0.995</v>
      </c>
      <c r="BJ343" s="4" t="n">
        <f aca="false">IF(OR(BH343="",BI343=""),"",IFERROR(IF($K343="%",BI343-BH343,BI343/BH343-1),""))</f>
        <v>0.003</v>
      </c>
      <c r="BK343" s="5" t="str">
        <f aca="false">IF(OR(BH343="",BI343=""),"",IF($F343="Maior Melhor",IF(BI343&gt;=BH343,"Sim","Não"),IF(BI343&lt;=BH343,"Sim","Não")))</f>
        <v>Sim</v>
      </c>
      <c r="BL343" s="6"/>
      <c r="BM343" s="6"/>
      <c r="BN343" s="4" t="str">
        <f aca="false">IF(OR(BL343="",BM343=""),"",IFERROR(IF($K343="%",BM343-BL343,BM343/BL343-1),""))</f>
        <v/>
      </c>
      <c r="BO343" s="5" t="str">
        <f aca="false">IF(OR(BL343="",BM343=""),"",IF($F343="Maior Melhor",IF(BM343&gt;=BL343,"Sim","Não"),IF(BM343&lt;=BL343,"Sim","Não")))</f>
        <v/>
      </c>
      <c r="BP343" s="6"/>
      <c r="BQ343" s="6"/>
      <c r="BR343" s="4" t="str">
        <f aca="false">IF(OR(BP343="",BQ343=""),"",IFERROR(IF($K343="%",BQ343-BP343,BQ343/BP343-1),""))</f>
        <v/>
      </c>
      <c r="BS343" s="5" t="str">
        <f aca="false">IF(OR(BP343="",BQ343=""),"",IF($F343="Maior Melhor",IF(BQ343&gt;=BP343,"Sim","Não"),IF(BQ343&lt;=BP343,"Sim","Não")))</f>
        <v/>
      </c>
      <c r="BT343" s="6"/>
      <c r="BU343" s="6"/>
      <c r="BV343" s="4" t="str">
        <f aca="false">IF(OR(BT343="",BU343=""),"",IFERROR(IF($K343="%",BU343-BT343,BU343/BT343-1),""))</f>
        <v/>
      </c>
      <c r="BW343" s="5" t="str">
        <f aca="false">IF(OR(BT343="",BU343=""),"",IF($F343="Maior Melhor",IF(BU343&gt;=BT343,"Sim","Não"),IF(BU343&lt;=BT343,"Sim","Não")))</f>
        <v/>
      </c>
      <c r="BX343" s="6"/>
      <c r="BY343" s="6"/>
      <c r="BZ343" s="4" t="str">
        <f aca="false">IF(OR(BX343="",BY343=""),"",IFERROR(IF($K343="%",BY343-BX343,BY343/BX343-1),""))</f>
        <v/>
      </c>
      <c r="CA343" s="5" t="str">
        <f aca="false">IF(OR(BX343="",BY343=""),"",IF($F343="Maior Melhor",IF(BY343&gt;=BX343,"Sim","Não"),IF(BY343&lt;=BX343,"Sim","Não")))</f>
        <v/>
      </c>
      <c r="CB343" s="6"/>
      <c r="CC343" s="6"/>
      <c r="CD343" s="4" t="str">
        <f aca="false">IF(OR(CB343="",CC343=""),"",IFERROR(IF($K343="%",CC343-CB343,CC343/CB343-1),""))</f>
        <v/>
      </c>
      <c r="CE343" s="5" t="str">
        <f aca="false">IF(OR(CB343="",CC343=""),"",IF($F343="Maior Melhor",IF(CC343&gt;=CB343,"Sim","Não"),IF(CC343&lt;=CB343,"Sim","Não")))</f>
        <v/>
      </c>
      <c r="CF343" s="6"/>
      <c r="CG343" s="6"/>
      <c r="CH343" s="4" t="str">
        <f aca="false">IF(OR(CF343="",CG343=""),"",IFERROR(IF($K343="%",CG343-CF343,CG343/CF343-1),""))</f>
        <v/>
      </c>
      <c r="CI343" s="5" t="str">
        <f aca="false">IF(OR(CF343="",CG343=""),"",IF($F343="Maior Melhor",IF(CG343&gt;=CF343,"Sim","Não"),IF(CG343&lt;=CF343,"Sim","Não")))</f>
        <v/>
      </c>
      <c r="CJ343" s="6"/>
      <c r="CK343" s="6"/>
      <c r="CL343" s="4" t="str">
        <f aca="false">IF(OR(CJ343="",CK343=""),"",IFERROR(IF($K343="%",CK343-CJ343,CK343/CJ343-1),""))</f>
        <v/>
      </c>
      <c r="CM343" s="5" t="str">
        <f aca="false">IF(OR(CJ343="",CK343=""),"",IF($F343="Maior Melhor",IF(CK343&gt;=CJ343,"Sim","Não"),IF(CK343&lt;=CJ343,"Sim","Não")))</f>
        <v/>
      </c>
      <c r="CN343" s="6"/>
      <c r="CO343" s="6"/>
      <c r="CP343" s="4" t="str">
        <f aca="false">IF(OR(CN343="",CO343=""),"",IFERROR(IF($K343="%",CO343-CN343,CO343/CN343-1),""))</f>
        <v/>
      </c>
      <c r="CQ343" s="5" t="str">
        <f aca="false">IF(OR(CN343="",CO343=""),"",IF($F343="Maior Melhor",IF(CO343&gt;=CN343,"Sim","Não"),IF(CO343&lt;=CN343,"Sim","Não")))</f>
        <v/>
      </c>
      <c r="CR343" s="2" t="s">
        <v>105</v>
      </c>
    </row>
    <row r="344" customFormat="false" ht="15" hidden="false" customHeight="false" outlineLevel="0" collapsed="false">
      <c r="A344" s="2" t="s">
        <v>96</v>
      </c>
      <c r="B344" s="2" t="s">
        <v>97</v>
      </c>
      <c r="C344" s="2" t="s">
        <v>98</v>
      </c>
      <c r="D344" s="2" t="s">
        <v>202</v>
      </c>
      <c r="E344" s="2" t="str">
        <f aca="false">C344&amp;D344</f>
        <v>Gerência Centro OesteServiço atendido no prazo* (Eficácia do Plano de Manutenção)</v>
      </c>
      <c r="F344" s="2" t="s">
        <v>100</v>
      </c>
      <c r="G344" s="2" t="s">
        <v>203</v>
      </c>
      <c r="H344" s="2" t="s">
        <v>102</v>
      </c>
      <c r="I344" s="2" t="s">
        <v>103</v>
      </c>
      <c r="J344" s="2" t="n">
        <v>0</v>
      </c>
      <c r="K344" s="2" t="s">
        <v>104</v>
      </c>
      <c r="L344" s="3"/>
      <c r="M344" s="3"/>
      <c r="N344" s="4" t="str">
        <f aca="false">IF(OR(L344="",M344=""),"",IFERROR(IF($K344="%",M344-L344,M344/L344-1),""))</f>
        <v/>
      </c>
      <c r="O344" s="5" t="str">
        <f aca="false">IF(OR(L344="",M344=""),"",IF($F344="Maior Melhor",IF(M344&gt;=L344,"Sim","Não"),IF(M344&lt;=L344,"Sim","Não")))</f>
        <v/>
      </c>
      <c r="P344" s="3"/>
      <c r="Q344" s="3"/>
      <c r="R344" s="4" t="str">
        <f aca="false">IF(OR(P344="",Q344=""),"",IFERROR(IF($K344="%",Q344-P344,Q344/P344-1),""))</f>
        <v/>
      </c>
      <c r="S344" s="5" t="str">
        <f aca="false">IF(OR(P344="",Q344=""),"",IF($F344="Maior Melhor",IF(Q344&gt;=P344,"Sim","Não"),IF(Q344&lt;=P344,"Sim","Não")))</f>
        <v/>
      </c>
      <c r="T344" s="3"/>
      <c r="U344" s="3"/>
      <c r="V344" s="4" t="str">
        <f aca="false">IF(OR(T344="",U344=""),"",IFERROR(IF($K344="%",U344-T344,U344/T344-1),""))</f>
        <v/>
      </c>
      <c r="W344" s="5" t="str">
        <f aca="false">IF(OR(T344="",U344=""),"",IF($F344="Maior Melhor",IF(U344&gt;=T344,"Sim","Não"),IF(U344&lt;=T344,"Sim","Não")))</f>
        <v/>
      </c>
      <c r="X344" s="3"/>
      <c r="Y344" s="3"/>
      <c r="Z344" s="4" t="str">
        <f aca="false">IF(OR(X344="",Y344=""),"",IFERROR(IF($K344="%",Y344-X344,Y344/X344-1),""))</f>
        <v/>
      </c>
      <c r="AA344" s="5" t="str">
        <f aca="false">IF(OR(X344="",Y344=""),"",IF($F344="Maior Melhor",IF(Y344&gt;=X344,"Sim","Não"),IF(Y344&lt;=X344,"Sim","Não")))</f>
        <v/>
      </c>
      <c r="AB344" s="3"/>
      <c r="AC344" s="3"/>
      <c r="AD344" s="4" t="str">
        <f aca="false">IF(OR(AB344="",AC344=""),"",IFERROR(IF($K344="%",AC344-AB344,AC344/AB344-1),""))</f>
        <v/>
      </c>
      <c r="AE344" s="5" t="str">
        <f aca="false">IF(OR(AB344="",AC344=""),"",IF($F344="Maior Melhor",IF(AC344&gt;=AB344,"Sim","Não"),IF(AC344&lt;=AB344,"Sim","Não")))</f>
        <v/>
      </c>
      <c r="AF344" s="3"/>
      <c r="AG344" s="3"/>
      <c r="AH344" s="4" t="str">
        <f aca="false">IF(OR(AF344="",AG344=""),"",IFERROR(IF($K344="%",AG344-AF344,AG344/AF344-1),""))</f>
        <v/>
      </c>
      <c r="AI344" s="5" t="str">
        <f aca="false">IF(OR(AF344="",AG344=""),"",IF($F344="Maior Melhor",IF(AG344&gt;=AF344,"Sim","Não"),IF(AG344&lt;=AF344,"Sim","Não")))</f>
        <v/>
      </c>
      <c r="AJ344" s="3"/>
      <c r="AK344" s="3"/>
      <c r="AL344" s="4" t="str">
        <f aca="false">IF(OR(AJ344="",AK344=""),"",IFERROR(IF($K344="%",AK344-AJ344,AK344/AJ344-1),""))</f>
        <v/>
      </c>
      <c r="AM344" s="5" t="str">
        <f aca="false">IF(OR(AJ344="",AK344=""),"",IF($F344="Maior Melhor",IF(AK344&gt;=AJ344,"Sim","Não"),IF(AK344&lt;=AJ344,"Sim","Não")))</f>
        <v/>
      </c>
      <c r="AN344" s="3"/>
      <c r="AO344" s="3"/>
      <c r="AP344" s="4" t="str">
        <f aca="false">IF(OR(AN344="",AO344=""),"",IFERROR(IF($K344="%",AO344-AN344,AO344/AN344-1),""))</f>
        <v/>
      </c>
      <c r="AQ344" s="5" t="str">
        <f aca="false">IF(OR(AN344="",AO344=""),"",IF($F344="Maior Melhor",IF(AO344&gt;=AN344,"Sim","Não"),IF(AO344&lt;=AN344,"Sim","Não")))</f>
        <v/>
      </c>
      <c r="AR344" s="3"/>
      <c r="AS344" s="3"/>
      <c r="AT344" s="4" t="str">
        <f aca="false">IF(OR(AR344="",AS344=""),"",IFERROR(IF($K344="%",AS344-AR344,AS344/AR344-1),""))</f>
        <v/>
      </c>
      <c r="AU344" s="5" t="str">
        <f aca="false">IF(OR(AR344="",AS344=""),"",IF($F344="Maior Melhor",IF(AS344&gt;=AR344,"Sim","Não"),IF(AS344&lt;=AR344,"Sim","Não")))</f>
        <v/>
      </c>
      <c r="AV344" s="3"/>
      <c r="AW344" s="3"/>
      <c r="AX344" s="4" t="str">
        <f aca="false">IF(OR(AV344="",AW344=""),"",IFERROR(IF($K344="%",AW344-AV344,AW344/AV344-1),""))</f>
        <v/>
      </c>
      <c r="AY344" s="5" t="str">
        <f aca="false">IF(OR(AV344="",AW344=""),"",IF($F344="Maior Melhor",IF(AW344&gt;=AV344,"Sim","Não"),IF(AW344&lt;=AV344,"Sim","Não")))</f>
        <v/>
      </c>
      <c r="AZ344" s="3"/>
      <c r="BA344" s="3"/>
      <c r="BB344" s="4" t="str">
        <f aca="false">IF(OR(AZ344="",BA344=""),"",IFERROR(IF($K344="%",BA344-AZ344,BA344/AZ344-1),""))</f>
        <v/>
      </c>
      <c r="BC344" s="5" t="str">
        <f aca="false">IF(OR(AZ344="",BA344=""),"",IF($F344="Maior Melhor",IF(BA344&gt;=AZ344,"Sim","Não"),IF(BA344&lt;=AZ344,"Sim","Não")))</f>
        <v/>
      </c>
      <c r="BD344" s="3"/>
      <c r="BE344" s="3"/>
      <c r="BF344" s="4" t="str">
        <f aca="false">IF(OR(BD344="",BE344=""),"",IFERROR(IF($K344="%",BE344-BD344,BE344/BD344-1),""))</f>
        <v/>
      </c>
      <c r="BG344" s="5" t="str">
        <f aca="false">IF(OR(BD344="",BE344=""),"",IF($F344="Maior Melhor",IF(BE344&gt;=BD344,"Sim","Não"),IF(BE344&lt;=BD344,"Sim","Não")))</f>
        <v/>
      </c>
      <c r="BH344" s="3"/>
      <c r="BI344" s="3"/>
      <c r="BJ344" s="4" t="str">
        <f aca="false">IF(OR(BH344="",BI344=""),"",IFERROR(IF($K344="%",BI344-BH344,BI344/BH344-1),""))</f>
        <v/>
      </c>
      <c r="BK344" s="5" t="str">
        <f aca="false">IF(OR(BH344="",BI344=""),"",IF($F344="Maior Melhor",IF(BI344&gt;=BH344,"Sim","Não"),IF(BI344&lt;=BH344,"Sim","Não")))</f>
        <v/>
      </c>
      <c r="BL344" s="6"/>
      <c r="BM344" s="6"/>
      <c r="BN344" s="4" t="str">
        <f aca="false">IF(OR(BL344="",BM344=""),"",IFERROR(IF($K344="%",BM344-BL344,BM344/BL344-1),""))</f>
        <v/>
      </c>
      <c r="BO344" s="5" t="str">
        <f aca="false">IF(OR(BL344="",BM344=""),"",IF($F344="Maior Melhor",IF(BM344&gt;=BL344,"Sim","Não"),IF(BM344&lt;=BL344,"Sim","Não")))</f>
        <v/>
      </c>
      <c r="BP344" s="6"/>
      <c r="BQ344" s="6"/>
      <c r="BR344" s="4" t="str">
        <f aca="false">IF(OR(BP344="",BQ344=""),"",IFERROR(IF($K344="%",BQ344-BP344,BQ344/BP344-1),""))</f>
        <v/>
      </c>
      <c r="BS344" s="5" t="str">
        <f aca="false">IF(OR(BP344="",BQ344=""),"",IF($F344="Maior Melhor",IF(BQ344&gt;=BP344,"Sim","Não"),IF(BQ344&lt;=BP344,"Sim","Não")))</f>
        <v/>
      </c>
      <c r="BT344" s="6"/>
      <c r="BU344" s="6"/>
      <c r="BV344" s="4" t="str">
        <f aca="false">IF(OR(BT344="",BU344=""),"",IFERROR(IF($K344="%",BU344-BT344,BU344/BT344-1),""))</f>
        <v/>
      </c>
      <c r="BW344" s="5" t="str">
        <f aca="false">IF(OR(BT344="",BU344=""),"",IF($F344="Maior Melhor",IF(BU344&gt;=BT344,"Sim","Não"),IF(BU344&lt;=BT344,"Sim","Não")))</f>
        <v/>
      </c>
      <c r="BX344" s="6"/>
      <c r="BY344" s="6"/>
      <c r="BZ344" s="4" t="str">
        <f aca="false">IF(OR(BX344="",BY344=""),"",IFERROR(IF($K344="%",BY344-BX344,BY344/BX344-1),""))</f>
        <v/>
      </c>
      <c r="CA344" s="5" t="str">
        <f aca="false">IF(OR(BX344="",BY344=""),"",IF($F344="Maior Melhor",IF(BY344&gt;=BX344,"Sim","Não"),IF(BY344&lt;=BX344,"Sim","Não")))</f>
        <v/>
      </c>
      <c r="CB344" s="6"/>
      <c r="CC344" s="6"/>
      <c r="CD344" s="4" t="str">
        <f aca="false">IF(OR(CB344="",CC344=""),"",IFERROR(IF($K344="%",CC344-CB344,CC344/CB344-1),""))</f>
        <v/>
      </c>
      <c r="CE344" s="5" t="str">
        <f aca="false">IF(OR(CB344="",CC344=""),"",IF($F344="Maior Melhor",IF(CC344&gt;=CB344,"Sim","Não"),IF(CC344&lt;=CB344,"Sim","Não")))</f>
        <v/>
      </c>
      <c r="CF344" s="6"/>
      <c r="CG344" s="6"/>
      <c r="CH344" s="4" t="str">
        <f aca="false">IF(OR(CF344="",CG344=""),"",IFERROR(IF($K344="%",CG344-CF344,CG344/CF344-1),""))</f>
        <v/>
      </c>
      <c r="CI344" s="5" t="str">
        <f aca="false">IF(OR(CF344="",CG344=""),"",IF($F344="Maior Melhor",IF(CG344&gt;=CF344,"Sim","Não"),IF(CG344&lt;=CF344,"Sim","Não")))</f>
        <v/>
      </c>
      <c r="CJ344" s="6"/>
      <c r="CK344" s="6"/>
      <c r="CL344" s="4" t="str">
        <f aca="false">IF(OR(CJ344="",CK344=""),"",IFERROR(IF($K344="%",CK344-CJ344,CK344/CJ344-1),""))</f>
        <v/>
      </c>
      <c r="CM344" s="5" t="str">
        <f aca="false">IF(OR(CJ344="",CK344=""),"",IF($F344="Maior Melhor",IF(CK344&gt;=CJ344,"Sim","Não"),IF(CK344&lt;=CJ344,"Sim","Não")))</f>
        <v/>
      </c>
      <c r="CN344" s="6"/>
      <c r="CO344" s="6"/>
      <c r="CP344" s="4" t="str">
        <f aca="false">IF(OR(CN344="",CO344=""),"",IFERROR(IF($K344="%",CO344-CN344,CO344/CN344-1),""))</f>
        <v/>
      </c>
      <c r="CQ344" s="5" t="str">
        <f aca="false">IF(OR(CN344="",CO344=""),"",IF($F344="Maior Melhor",IF(CO344&gt;=CN344,"Sim","Não"),IF(CO344&lt;=CN344,"Sim","Não")))</f>
        <v/>
      </c>
      <c r="CR344" s="2" t="s">
        <v>105</v>
      </c>
    </row>
    <row r="345" customFormat="false" ht="15" hidden="false" customHeight="false" outlineLevel="0" collapsed="false">
      <c r="A345" s="2" t="s">
        <v>96</v>
      </c>
      <c r="B345" s="2" t="s">
        <v>106</v>
      </c>
      <c r="C345" s="2" t="s">
        <v>107</v>
      </c>
      <c r="D345" s="2" t="s">
        <v>202</v>
      </c>
      <c r="E345" s="2" t="str">
        <f aca="false">C345&amp;D345</f>
        <v>Gerência OesteServiço atendido no prazo* (Eficácia do Plano de Manutenção)</v>
      </c>
      <c r="F345" s="2" t="s">
        <v>100</v>
      </c>
      <c r="G345" s="2" t="s">
        <v>203</v>
      </c>
      <c r="H345" s="2" t="s">
        <v>102</v>
      </c>
      <c r="I345" s="2" t="s">
        <v>103</v>
      </c>
      <c r="J345" s="2" t="n">
        <v>0</v>
      </c>
      <c r="K345" s="2" t="s">
        <v>104</v>
      </c>
      <c r="L345" s="3"/>
      <c r="M345" s="3"/>
      <c r="N345" s="4" t="str">
        <f aca="false">IF(OR(L345="",M345=""),"",IFERROR(IF($K345="%",M345-L345,M345/L345-1),""))</f>
        <v/>
      </c>
      <c r="O345" s="5" t="str">
        <f aca="false">IF(OR(L345="",M345=""),"",IF($F345="Maior Melhor",IF(M345&gt;=L345,"Sim","Não"),IF(M345&lt;=L345,"Sim","Não")))</f>
        <v/>
      </c>
      <c r="P345" s="3"/>
      <c r="Q345" s="3"/>
      <c r="R345" s="4" t="str">
        <f aca="false">IF(OR(P345="",Q345=""),"",IFERROR(IF($K345="%",Q345-P345,Q345/P345-1),""))</f>
        <v/>
      </c>
      <c r="S345" s="5" t="str">
        <f aca="false">IF(OR(P345="",Q345=""),"",IF($F345="Maior Melhor",IF(Q345&gt;=P345,"Sim","Não"),IF(Q345&lt;=P345,"Sim","Não")))</f>
        <v/>
      </c>
      <c r="T345" s="3"/>
      <c r="U345" s="3"/>
      <c r="V345" s="4" t="str">
        <f aca="false">IF(OR(T345="",U345=""),"",IFERROR(IF($K345="%",U345-T345,U345/T345-1),""))</f>
        <v/>
      </c>
      <c r="W345" s="5" t="str">
        <f aca="false">IF(OR(T345="",U345=""),"",IF($F345="Maior Melhor",IF(U345&gt;=T345,"Sim","Não"),IF(U345&lt;=T345,"Sim","Não")))</f>
        <v/>
      </c>
      <c r="X345" s="3"/>
      <c r="Y345" s="3"/>
      <c r="Z345" s="4" t="str">
        <f aca="false">IF(OR(X345="",Y345=""),"",IFERROR(IF($K345="%",Y345-X345,Y345/X345-1),""))</f>
        <v/>
      </c>
      <c r="AA345" s="5" t="str">
        <f aca="false">IF(OR(X345="",Y345=""),"",IF($F345="Maior Melhor",IF(Y345&gt;=X345,"Sim","Não"),IF(Y345&lt;=X345,"Sim","Não")))</f>
        <v/>
      </c>
      <c r="AB345" s="3"/>
      <c r="AC345" s="3"/>
      <c r="AD345" s="4" t="str">
        <f aca="false">IF(OR(AB345="",AC345=""),"",IFERROR(IF($K345="%",AC345-AB345,AC345/AB345-1),""))</f>
        <v/>
      </c>
      <c r="AE345" s="5" t="str">
        <f aca="false">IF(OR(AB345="",AC345=""),"",IF($F345="Maior Melhor",IF(AC345&gt;=AB345,"Sim","Não"),IF(AC345&lt;=AB345,"Sim","Não")))</f>
        <v/>
      </c>
      <c r="AF345" s="3"/>
      <c r="AG345" s="3"/>
      <c r="AH345" s="4" t="str">
        <f aca="false">IF(OR(AF345="",AG345=""),"",IFERROR(IF($K345="%",AG345-AF345,AG345/AF345-1),""))</f>
        <v/>
      </c>
      <c r="AI345" s="5" t="str">
        <f aca="false">IF(OR(AF345="",AG345=""),"",IF($F345="Maior Melhor",IF(AG345&gt;=AF345,"Sim","Não"),IF(AG345&lt;=AF345,"Sim","Não")))</f>
        <v/>
      </c>
      <c r="AJ345" s="3"/>
      <c r="AK345" s="3"/>
      <c r="AL345" s="4" t="str">
        <f aca="false">IF(OR(AJ345="",AK345=""),"",IFERROR(IF($K345="%",AK345-AJ345,AK345/AJ345-1),""))</f>
        <v/>
      </c>
      <c r="AM345" s="5" t="str">
        <f aca="false">IF(OR(AJ345="",AK345=""),"",IF($F345="Maior Melhor",IF(AK345&gt;=AJ345,"Sim","Não"),IF(AK345&lt;=AJ345,"Sim","Não")))</f>
        <v/>
      </c>
      <c r="AN345" s="3"/>
      <c r="AO345" s="3"/>
      <c r="AP345" s="4" t="str">
        <f aca="false">IF(OR(AN345="",AO345=""),"",IFERROR(IF($K345="%",AO345-AN345,AO345/AN345-1),""))</f>
        <v/>
      </c>
      <c r="AQ345" s="5" t="str">
        <f aca="false">IF(OR(AN345="",AO345=""),"",IF($F345="Maior Melhor",IF(AO345&gt;=AN345,"Sim","Não"),IF(AO345&lt;=AN345,"Sim","Não")))</f>
        <v/>
      </c>
      <c r="AR345" s="3"/>
      <c r="AS345" s="3"/>
      <c r="AT345" s="4" t="str">
        <f aca="false">IF(OR(AR345="",AS345=""),"",IFERROR(IF($K345="%",AS345-AR345,AS345/AR345-1),""))</f>
        <v/>
      </c>
      <c r="AU345" s="5" t="str">
        <f aca="false">IF(OR(AR345="",AS345=""),"",IF($F345="Maior Melhor",IF(AS345&gt;=AR345,"Sim","Não"),IF(AS345&lt;=AR345,"Sim","Não")))</f>
        <v/>
      </c>
      <c r="AV345" s="3"/>
      <c r="AW345" s="3"/>
      <c r="AX345" s="4" t="str">
        <f aca="false">IF(OR(AV345="",AW345=""),"",IFERROR(IF($K345="%",AW345-AV345,AW345/AV345-1),""))</f>
        <v/>
      </c>
      <c r="AY345" s="5" t="str">
        <f aca="false">IF(OR(AV345="",AW345=""),"",IF($F345="Maior Melhor",IF(AW345&gt;=AV345,"Sim","Não"),IF(AW345&lt;=AV345,"Sim","Não")))</f>
        <v/>
      </c>
      <c r="AZ345" s="3"/>
      <c r="BA345" s="3"/>
      <c r="BB345" s="4" t="str">
        <f aca="false">IF(OR(AZ345="",BA345=""),"",IFERROR(IF($K345="%",BA345-AZ345,BA345/AZ345-1),""))</f>
        <v/>
      </c>
      <c r="BC345" s="5" t="str">
        <f aca="false">IF(OR(AZ345="",BA345=""),"",IF($F345="Maior Melhor",IF(BA345&gt;=AZ345,"Sim","Não"),IF(BA345&lt;=AZ345,"Sim","Não")))</f>
        <v/>
      </c>
      <c r="BD345" s="3"/>
      <c r="BE345" s="3"/>
      <c r="BF345" s="4" t="str">
        <f aca="false">IF(OR(BD345="",BE345=""),"",IFERROR(IF($K345="%",BE345-BD345,BE345/BD345-1),""))</f>
        <v/>
      </c>
      <c r="BG345" s="5" t="str">
        <f aca="false">IF(OR(BD345="",BE345=""),"",IF($F345="Maior Melhor",IF(BE345&gt;=BD345,"Sim","Não"),IF(BE345&lt;=BD345,"Sim","Não")))</f>
        <v/>
      </c>
      <c r="BH345" s="3"/>
      <c r="BI345" s="3"/>
      <c r="BJ345" s="4" t="str">
        <f aca="false">IF(OR(BH345="",BI345=""),"",IFERROR(IF($K345="%",BI345-BH345,BI345/BH345-1),""))</f>
        <v/>
      </c>
      <c r="BK345" s="5" t="str">
        <f aca="false">IF(OR(BH345="",BI345=""),"",IF($F345="Maior Melhor",IF(BI345&gt;=BH345,"Sim","Não"),IF(BI345&lt;=BH345,"Sim","Não")))</f>
        <v/>
      </c>
      <c r="BL345" s="6"/>
      <c r="BM345" s="6"/>
      <c r="BN345" s="4" t="str">
        <f aca="false">IF(OR(BL345="",BM345=""),"",IFERROR(IF($K345="%",BM345-BL345,BM345/BL345-1),""))</f>
        <v/>
      </c>
      <c r="BO345" s="5" t="str">
        <f aca="false">IF(OR(BL345="",BM345=""),"",IF($F345="Maior Melhor",IF(BM345&gt;=BL345,"Sim","Não"),IF(BM345&lt;=BL345,"Sim","Não")))</f>
        <v/>
      </c>
      <c r="BP345" s="6"/>
      <c r="BQ345" s="6"/>
      <c r="BR345" s="4" t="str">
        <f aca="false">IF(OR(BP345="",BQ345=""),"",IFERROR(IF($K345="%",BQ345-BP345,BQ345/BP345-1),""))</f>
        <v/>
      </c>
      <c r="BS345" s="5" t="str">
        <f aca="false">IF(OR(BP345="",BQ345=""),"",IF($F345="Maior Melhor",IF(BQ345&gt;=BP345,"Sim","Não"),IF(BQ345&lt;=BP345,"Sim","Não")))</f>
        <v/>
      </c>
      <c r="BT345" s="6"/>
      <c r="BU345" s="6"/>
      <c r="BV345" s="4" t="str">
        <f aca="false">IF(OR(BT345="",BU345=""),"",IFERROR(IF($K345="%",BU345-BT345,BU345/BT345-1),""))</f>
        <v/>
      </c>
      <c r="BW345" s="5" t="str">
        <f aca="false">IF(OR(BT345="",BU345=""),"",IF($F345="Maior Melhor",IF(BU345&gt;=BT345,"Sim","Não"),IF(BU345&lt;=BT345,"Sim","Não")))</f>
        <v/>
      </c>
      <c r="BX345" s="6"/>
      <c r="BY345" s="6"/>
      <c r="BZ345" s="4" t="str">
        <f aca="false">IF(OR(BX345="",BY345=""),"",IFERROR(IF($K345="%",BY345-BX345,BY345/BX345-1),""))</f>
        <v/>
      </c>
      <c r="CA345" s="5" t="str">
        <f aca="false">IF(OR(BX345="",BY345=""),"",IF($F345="Maior Melhor",IF(BY345&gt;=BX345,"Sim","Não"),IF(BY345&lt;=BX345,"Sim","Não")))</f>
        <v/>
      </c>
      <c r="CB345" s="6"/>
      <c r="CC345" s="6"/>
      <c r="CD345" s="4" t="str">
        <f aca="false">IF(OR(CB345="",CC345=""),"",IFERROR(IF($K345="%",CC345-CB345,CC345/CB345-1),""))</f>
        <v/>
      </c>
      <c r="CE345" s="5" t="str">
        <f aca="false">IF(OR(CB345="",CC345=""),"",IF($F345="Maior Melhor",IF(CC345&gt;=CB345,"Sim","Não"),IF(CC345&lt;=CB345,"Sim","Não")))</f>
        <v/>
      </c>
      <c r="CF345" s="6"/>
      <c r="CG345" s="6"/>
      <c r="CH345" s="4" t="str">
        <f aca="false">IF(OR(CF345="",CG345=""),"",IFERROR(IF($K345="%",CG345-CF345,CG345/CF345-1),""))</f>
        <v/>
      </c>
      <c r="CI345" s="5" t="str">
        <f aca="false">IF(OR(CF345="",CG345=""),"",IF($F345="Maior Melhor",IF(CG345&gt;=CF345,"Sim","Não"),IF(CG345&lt;=CF345,"Sim","Não")))</f>
        <v/>
      </c>
      <c r="CJ345" s="6"/>
      <c r="CK345" s="6"/>
      <c r="CL345" s="4" t="str">
        <f aca="false">IF(OR(CJ345="",CK345=""),"",IFERROR(IF($K345="%",CK345-CJ345,CK345/CJ345-1),""))</f>
        <v/>
      </c>
      <c r="CM345" s="5" t="str">
        <f aca="false">IF(OR(CJ345="",CK345=""),"",IF($F345="Maior Melhor",IF(CK345&gt;=CJ345,"Sim","Não"),IF(CK345&lt;=CJ345,"Sim","Não")))</f>
        <v/>
      </c>
      <c r="CN345" s="6"/>
      <c r="CO345" s="6"/>
      <c r="CP345" s="4" t="str">
        <f aca="false">IF(OR(CN345="",CO345=""),"",IFERROR(IF($K345="%",CO345-CN345,CO345/CN345-1),""))</f>
        <v/>
      </c>
      <c r="CQ345" s="5" t="str">
        <f aca="false">IF(OR(CN345="",CO345=""),"",IF($F345="Maior Melhor",IF(CO345&gt;=CN345,"Sim","Não"),IF(CO345&lt;=CN345,"Sim","Não")))</f>
        <v/>
      </c>
      <c r="CR345" s="2" t="s">
        <v>105</v>
      </c>
    </row>
    <row r="346" customFormat="false" ht="15" hidden="false" customHeight="false" outlineLevel="0" collapsed="false">
      <c r="A346" s="2" t="s">
        <v>96</v>
      </c>
      <c r="B346" s="2" t="s">
        <v>108</v>
      </c>
      <c r="C346" s="2" t="s">
        <v>109</v>
      </c>
      <c r="D346" s="2" t="s">
        <v>202</v>
      </c>
      <c r="E346" s="2" t="str">
        <f aca="false">C346&amp;D346</f>
        <v>Gerência SudoesteServiço atendido no prazo* (Eficácia do Plano de Manutenção)</v>
      </c>
      <c r="F346" s="2" t="s">
        <v>100</v>
      </c>
      <c r="G346" s="2" t="s">
        <v>203</v>
      </c>
      <c r="H346" s="2" t="s">
        <v>102</v>
      </c>
      <c r="I346" s="2" t="s">
        <v>103</v>
      </c>
      <c r="J346" s="2" t="n">
        <v>0</v>
      </c>
      <c r="K346" s="2" t="s">
        <v>104</v>
      </c>
      <c r="L346" s="3"/>
      <c r="M346" s="3"/>
      <c r="N346" s="4" t="str">
        <f aca="false">IF(OR(L346="",M346=""),"",IFERROR(IF($K346="%",M346-L346,M346/L346-1),""))</f>
        <v/>
      </c>
      <c r="O346" s="5" t="str">
        <f aca="false">IF(OR(L346="",M346=""),"",IF($F346="Maior Melhor",IF(M346&gt;=L346,"Sim","Não"),IF(M346&lt;=L346,"Sim","Não")))</f>
        <v/>
      </c>
      <c r="P346" s="3"/>
      <c r="Q346" s="3"/>
      <c r="R346" s="4" t="str">
        <f aca="false">IF(OR(P346="",Q346=""),"",IFERROR(IF($K346="%",Q346-P346,Q346/P346-1),""))</f>
        <v/>
      </c>
      <c r="S346" s="5" t="str">
        <f aca="false">IF(OR(P346="",Q346=""),"",IF($F346="Maior Melhor",IF(Q346&gt;=P346,"Sim","Não"),IF(Q346&lt;=P346,"Sim","Não")))</f>
        <v/>
      </c>
      <c r="T346" s="3"/>
      <c r="U346" s="3"/>
      <c r="V346" s="4" t="str">
        <f aca="false">IF(OR(T346="",U346=""),"",IFERROR(IF($K346="%",U346-T346,U346/T346-1),""))</f>
        <v/>
      </c>
      <c r="W346" s="5" t="str">
        <f aca="false">IF(OR(T346="",U346=""),"",IF($F346="Maior Melhor",IF(U346&gt;=T346,"Sim","Não"),IF(U346&lt;=T346,"Sim","Não")))</f>
        <v/>
      </c>
      <c r="X346" s="3"/>
      <c r="Y346" s="3"/>
      <c r="Z346" s="4" t="str">
        <f aca="false">IF(OR(X346="",Y346=""),"",IFERROR(IF($K346="%",Y346-X346,Y346/X346-1),""))</f>
        <v/>
      </c>
      <c r="AA346" s="5" t="str">
        <f aca="false">IF(OR(X346="",Y346=""),"",IF($F346="Maior Melhor",IF(Y346&gt;=X346,"Sim","Não"),IF(Y346&lt;=X346,"Sim","Não")))</f>
        <v/>
      </c>
      <c r="AB346" s="3"/>
      <c r="AC346" s="3"/>
      <c r="AD346" s="4" t="str">
        <f aca="false">IF(OR(AB346="",AC346=""),"",IFERROR(IF($K346="%",AC346-AB346,AC346/AB346-1),""))</f>
        <v/>
      </c>
      <c r="AE346" s="5" t="str">
        <f aca="false">IF(OR(AB346="",AC346=""),"",IF($F346="Maior Melhor",IF(AC346&gt;=AB346,"Sim","Não"),IF(AC346&lt;=AB346,"Sim","Não")))</f>
        <v/>
      </c>
      <c r="AF346" s="3"/>
      <c r="AG346" s="3"/>
      <c r="AH346" s="4" t="str">
        <f aca="false">IF(OR(AF346="",AG346=""),"",IFERROR(IF($K346="%",AG346-AF346,AG346/AF346-1),""))</f>
        <v/>
      </c>
      <c r="AI346" s="5" t="str">
        <f aca="false">IF(OR(AF346="",AG346=""),"",IF($F346="Maior Melhor",IF(AG346&gt;=AF346,"Sim","Não"),IF(AG346&lt;=AF346,"Sim","Não")))</f>
        <v/>
      </c>
      <c r="AJ346" s="3"/>
      <c r="AK346" s="3"/>
      <c r="AL346" s="4" t="str">
        <f aca="false">IF(OR(AJ346="",AK346=""),"",IFERROR(IF($K346="%",AK346-AJ346,AK346/AJ346-1),""))</f>
        <v/>
      </c>
      <c r="AM346" s="5" t="str">
        <f aca="false">IF(OR(AJ346="",AK346=""),"",IF($F346="Maior Melhor",IF(AK346&gt;=AJ346,"Sim","Não"),IF(AK346&lt;=AJ346,"Sim","Não")))</f>
        <v/>
      </c>
      <c r="AN346" s="3"/>
      <c r="AO346" s="3"/>
      <c r="AP346" s="4" t="str">
        <f aca="false">IF(OR(AN346="",AO346=""),"",IFERROR(IF($K346="%",AO346-AN346,AO346/AN346-1),""))</f>
        <v/>
      </c>
      <c r="AQ346" s="5" t="str">
        <f aca="false">IF(OR(AN346="",AO346=""),"",IF($F346="Maior Melhor",IF(AO346&gt;=AN346,"Sim","Não"),IF(AO346&lt;=AN346,"Sim","Não")))</f>
        <v/>
      </c>
      <c r="AR346" s="3"/>
      <c r="AS346" s="3"/>
      <c r="AT346" s="4" t="str">
        <f aca="false">IF(OR(AR346="",AS346=""),"",IFERROR(IF($K346="%",AS346-AR346,AS346/AR346-1),""))</f>
        <v/>
      </c>
      <c r="AU346" s="5" t="str">
        <f aca="false">IF(OR(AR346="",AS346=""),"",IF($F346="Maior Melhor",IF(AS346&gt;=AR346,"Sim","Não"),IF(AS346&lt;=AR346,"Sim","Não")))</f>
        <v/>
      </c>
      <c r="AV346" s="3"/>
      <c r="AW346" s="3"/>
      <c r="AX346" s="4" t="str">
        <f aca="false">IF(OR(AV346="",AW346=""),"",IFERROR(IF($K346="%",AW346-AV346,AW346/AV346-1),""))</f>
        <v/>
      </c>
      <c r="AY346" s="5" t="str">
        <f aca="false">IF(OR(AV346="",AW346=""),"",IF($F346="Maior Melhor",IF(AW346&gt;=AV346,"Sim","Não"),IF(AW346&lt;=AV346,"Sim","Não")))</f>
        <v/>
      </c>
      <c r="AZ346" s="3"/>
      <c r="BA346" s="3"/>
      <c r="BB346" s="4" t="str">
        <f aca="false">IF(OR(AZ346="",BA346=""),"",IFERROR(IF($K346="%",BA346-AZ346,BA346/AZ346-1),""))</f>
        <v/>
      </c>
      <c r="BC346" s="5" t="str">
        <f aca="false">IF(OR(AZ346="",BA346=""),"",IF($F346="Maior Melhor",IF(BA346&gt;=AZ346,"Sim","Não"),IF(BA346&lt;=AZ346,"Sim","Não")))</f>
        <v/>
      </c>
      <c r="BD346" s="3"/>
      <c r="BE346" s="3"/>
      <c r="BF346" s="4" t="str">
        <f aca="false">IF(OR(BD346="",BE346=""),"",IFERROR(IF($K346="%",BE346-BD346,BE346/BD346-1),""))</f>
        <v/>
      </c>
      <c r="BG346" s="5" t="str">
        <f aca="false">IF(OR(BD346="",BE346=""),"",IF($F346="Maior Melhor",IF(BE346&gt;=BD346,"Sim","Não"),IF(BE346&lt;=BD346,"Sim","Não")))</f>
        <v/>
      </c>
      <c r="BH346" s="3"/>
      <c r="BI346" s="3"/>
      <c r="BJ346" s="4" t="str">
        <f aca="false">IF(OR(BH346="",BI346=""),"",IFERROR(IF($K346="%",BI346-BH346,BI346/BH346-1),""))</f>
        <v/>
      </c>
      <c r="BK346" s="5" t="str">
        <f aca="false">IF(OR(BH346="",BI346=""),"",IF($F346="Maior Melhor",IF(BI346&gt;=BH346,"Sim","Não"),IF(BI346&lt;=BH346,"Sim","Não")))</f>
        <v/>
      </c>
      <c r="BL346" s="6"/>
      <c r="BM346" s="6"/>
      <c r="BN346" s="4" t="str">
        <f aca="false">IF(OR(BL346="",BM346=""),"",IFERROR(IF($K346="%",BM346-BL346,BM346/BL346-1),""))</f>
        <v/>
      </c>
      <c r="BO346" s="5" t="str">
        <f aca="false">IF(OR(BL346="",BM346=""),"",IF($F346="Maior Melhor",IF(BM346&gt;=BL346,"Sim","Não"),IF(BM346&lt;=BL346,"Sim","Não")))</f>
        <v/>
      </c>
      <c r="BP346" s="6"/>
      <c r="BQ346" s="6"/>
      <c r="BR346" s="4" t="str">
        <f aca="false">IF(OR(BP346="",BQ346=""),"",IFERROR(IF($K346="%",BQ346-BP346,BQ346/BP346-1),""))</f>
        <v/>
      </c>
      <c r="BS346" s="5" t="str">
        <f aca="false">IF(OR(BP346="",BQ346=""),"",IF($F346="Maior Melhor",IF(BQ346&gt;=BP346,"Sim","Não"),IF(BQ346&lt;=BP346,"Sim","Não")))</f>
        <v/>
      </c>
      <c r="BT346" s="6"/>
      <c r="BU346" s="6"/>
      <c r="BV346" s="4" t="str">
        <f aca="false">IF(OR(BT346="",BU346=""),"",IFERROR(IF($K346="%",BU346-BT346,BU346/BT346-1),""))</f>
        <v/>
      </c>
      <c r="BW346" s="5" t="str">
        <f aca="false">IF(OR(BT346="",BU346=""),"",IF($F346="Maior Melhor",IF(BU346&gt;=BT346,"Sim","Não"),IF(BU346&lt;=BT346,"Sim","Não")))</f>
        <v/>
      </c>
      <c r="BX346" s="6"/>
      <c r="BY346" s="6"/>
      <c r="BZ346" s="4" t="str">
        <f aca="false">IF(OR(BX346="",BY346=""),"",IFERROR(IF($K346="%",BY346-BX346,BY346/BX346-1),""))</f>
        <v/>
      </c>
      <c r="CA346" s="5" t="str">
        <f aca="false">IF(OR(BX346="",BY346=""),"",IF($F346="Maior Melhor",IF(BY346&gt;=BX346,"Sim","Não"),IF(BY346&lt;=BX346,"Sim","Não")))</f>
        <v/>
      </c>
      <c r="CB346" s="6"/>
      <c r="CC346" s="6"/>
      <c r="CD346" s="4" t="str">
        <f aca="false">IF(OR(CB346="",CC346=""),"",IFERROR(IF($K346="%",CC346-CB346,CC346/CB346-1),""))</f>
        <v/>
      </c>
      <c r="CE346" s="5" t="str">
        <f aca="false">IF(OR(CB346="",CC346=""),"",IF($F346="Maior Melhor",IF(CC346&gt;=CB346,"Sim","Não"),IF(CC346&lt;=CB346,"Sim","Não")))</f>
        <v/>
      </c>
      <c r="CF346" s="6"/>
      <c r="CG346" s="6"/>
      <c r="CH346" s="4" t="str">
        <f aca="false">IF(OR(CF346="",CG346=""),"",IFERROR(IF($K346="%",CG346-CF346,CG346/CF346-1),""))</f>
        <v/>
      </c>
      <c r="CI346" s="5" t="str">
        <f aca="false">IF(OR(CF346="",CG346=""),"",IF($F346="Maior Melhor",IF(CG346&gt;=CF346,"Sim","Não"),IF(CG346&lt;=CF346,"Sim","Não")))</f>
        <v/>
      </c>
      <c r="CJ346" s="6"/>
      <c r="CK346" s="6"/>
      <c r="CL346" s="4" t="str">
        <f aca="false">IF(OR(CJ346="",CK346=""),"",IFERROR(IF($K346="%",CK346-CJ346,CK346/CJ346-1),""))</f>
        <v/>
      </c>
      <c r="CM346" s="5" t="str">
        <f aca="false">IF(OR(CJ346="",CK346=""),"",IF($F346="Maior Melhor",IF(CK346&gt;=CJ346,"Sim","Não"),IF(CK346&lt;=CJ346,"Sim","Não")))</f>
        <v/>
      </c>
      <c r="CN346" s="6"/>
      <c r="CO346" s="6"/>
      <c r="CP346" s="4" t="str">
        <f aca="false">IF(OR(CN346="",CO346=""),"",IFERROR(IF($K346="%",CO346-CN346,CO346/CN346-1),""))</f>
        <v/>
      </c>
      <c r="CQ346" s="5" t="str">
        <f aca="false">IF(OR(CN346="",CO346=""),"",IF($F346="Maior Melhor",IF(CO346&gt;=CN346,"Sim","Não"),IF(CO346&lt;=CN346,"Sim","Não")))</f>
        <v/>
      </c>
      <c r="CR346" s="2" t="s">
        <v>105</v>
      </c>
    </row>
    <row r="347" customFormat="false" ht="15" hidden="false" customHeight="false" outlineLevel="0" collapsed="false">
      <c r="A347" s="2" t="s">
        <v>96</v>
      </c>
      <c r="B347" s="2" t="s">
        <v>110</v>
      </c>
      <c r="C347" s="2" t="s">
        <v>110</v>
      </c>
      <c r="D347" s="2" t="s">
        <v>202</v>
      </c>
      <c r="E347" s="2" t="str">
        <f aca="false">C347&amp;D347</f>
        <v>Sup OesteServiço atendido no prazo* (Eficácia do Plano de Manutenção)</v>
      </c>
      <c r="F347" s="2" t="s">
        <v>100</v>
      </c>
      <c r="G347" s="2" t="s">
        <v>203</v>
      </c>
      <c r="H347" s="2" t="s">
        <v>102</v>
      </c>
      <c r="I347" s="2" t="s">
        <v>103</v>
      </c>
      <c r="J347" s="2" t="n">
        <v>0</v>
      </c>
      <c r="K347" s="2" t="s">
        <v>104</v>
      </c>
      <c r="L347" s="3"/>
      <c r="M347" s="3"/>
      <c r="N347" s="4" t="str">
        <f aca="false">IF(OR(L347="",M347=""),"",IFERROR(IF($K347="%",M347-L347,M347/L347-1),""))</f>
        <v/>
      </c>
      <c r="O347" s="5" t="str">
        <f aca="false">IF(OR(L347="",M347=""),"",IF($F347="Maior Melhor",IF(M347&gt;=L347,"Sim","Não"),IF(M347&lt;=L347,"Sim","Não")))</f>
        <v/>
      </c>
      <c r="P347" s="3"/>
      <c r="Q347" s="3"/>
      <c r="R347" s="4" t="str">
        <f aca="false">IF(OR(P347="",Q347=""),"",IFERROR(IF($K347="%",Q347-P347,Q347/P347-1),""))</f>
        <v/>
      </c>
      <c r="S347" s="5" t="str">
        <f aca="false">IF(OR(P347="",Q347=""),"",IF($F347="Maior Melhor",IF(Q347&gt;=P347,"Sim","Não"),IF(Q347&lt;=P347,"Sim","Não")))</f>
        <v/>
      </c>
      <c r="T347" s="3"/>
      <c r="U347" s="3"/>
      <c r="V347" s="4" t="str">
        <f aca="false">IF(OR(T347="",U347=""),"",IFERROR(IF($K347="%",U347-T347,U347/T347-1),""))</f>
        <v/>
      </c>
      <c r="W347" s="5" t="str">
        <f aca="false">IF(OR(T347="",U347=""),"",IF($F347="Maior Melhor",IF(U347&gt;=T347,"Sim","Não"),IF(U347&lt;=T347,"Sim","Não")))</f>
        <v/>
      </c>
      <c r="X347" s="3"/>
      <c r="Y347" s="3"/>
      <c r="Z347" s="4" t="str">
        <f aca="false">IF(OR(X347="",Y347=""),"",IFERROR(IF($K347="%",Y347-X347,Y347/X347-1),""))</f>
        <v/>
      </c>
      <c r="AA347" s="5" t="str">
        <f aca="false">IF(OR(X347="",Y347=""),"",IF($F347="Maior Melhor",IF(Y347&gt;=X347,"Sim","Não"),IF(Y347&lt;=X347,"Sim","Não")))</f>
        <v/>
      </c>
      <c r="AB347" s="3"/>
      <c r="AC347" s="3"/>
      <c r="AD347" s="4" t="str">
        <f aca="false">IF(OR(AB347="",AC347=""),"",IFERROR(IF($K347="%",AC347-AB347,AC347/AB347-1),""))</f>
        <v/>
      </c>
      <c r="AE347" s="5" t="str">
        <f aca="false">IF(OR(AB347="",AC347=""),"",IF($F347="Maior Melhor",IF(AC347&gt;=AB347,"Sim","Não"),IF(AC347&lt;=AB347,"Sim","Não")))</f>
        <v/>
      </c>
      <c r="AF347" s="3"/>
      <c r="AG347" s="3"/>
      <c r="AH347" s="4" t="str">
        <f aca="false">IF(OR(AF347="",AG347=""),"",IFERROR(IF($K347="%",AG347-AF347,AG347/AF347-1),""))</f>
        <v/>
      </c>
      <c r="AI347" s="5" t="str">
        <f aca="false">IF(OR(AF347="",AG347=""),"",IF($F347="Maior Melhor",IF(AG347&gt;=AF347,"Sim","Não"),IF(AG347&lt;=AF347,"Sim","Não")))</f>
        <v/>
      </c>
      <c r="AJ347" s="3"/>
      <c r="AK347" s="3"/>
      <c r="AL347" s="4" t="str">
        <f aca="false">IF(OR(AJ347="",AK347=""),"",IFERROR(IF($K347="%",AK347-AJ347,AK347/AJ347-1),""))</f>
        <v/>
      </c>
      <c r="AM347" s="5" t="str">
        <f aca="false">IF(OR(AJ347="",AK347=""),"",IF($F347="Maior Melhor",IF(AK347&gt;=AJ347,"Sim","Não"),IF(AK347&lt;=AJ347,"Sim","Não")))</f>
        <v/>
      </c>
      <c r="AN347" s="3"/>
      <c r="AO347" s="3"/>
      <c r="AP347" s="4" t="str">
        <f aca="false">IF(OR(AN347="",AO347=""),"",IFERROR(IF($K347="%",AO347-AN347,AO347/AN347-1),""))</f>
        <v/>
      </c>
      <c r="AQ347" s="5" t="str">
        <f aca="false">IF(OR(AN347="",AO347=""),"",IF($F347="Maior Melhor",IF(AO347&gt;=AN347,"Sim","Não"),IF(AO347&lt;=AN347,"Sim","Não")))</f>
        <v/>
      </c>
      <c r="AR347" s="3"/>
      <c r="AS347" s="3"/>
      <c r="AT347" s="4" t="str">
        <f aca="false">IF(OR(AR347="",AS347=""),"",IFERROR(IF($K347="%",AS347-AR347,AS347/AR347-1),""))</f>
        <v/>
      </c>
      <c r="AU347" s="5" t="str">
        <f aca="false">IF(OR(AR347="",AS347=""),"",IF($F347="Maior Melhor",IF(AS347&gt;=AR347,"Sim","Não"),IF(AS347&lt;=AR347,"Sim","Não")))</f>
        <v/>
      </c>
      <c r="AV347" s="3"/>
      <c r="AW347" s="3"/>
      <c r="AX347" s="4" t="str">
        <f aca="false">IF(OR(AV347="",AW347=""),"",IFERROR(IF($K347="%",AW347-AV347,AW347/AV347-1),""))</f>
        <v/>
      </c>
      <c r="AY347" s="5" t="str">
        <f aca="false">IF(OR(AV347="",AW347=""),"",IF($F347="Maior Melhor",IF(AW347&gt;=AV347,"Sim","Não"),IF(AW347&lt;=AV347,"Sim","Não")))</f>
        <v/>
      </c>
      <c r="AZ347" s="3"/>
      <c r="BA347" s="3"/>
      <c r="BB347" s="4" t="str">
        <f aca="false">IF(OR(AZ347="",BA347=""),"",IFERROR(IF($K347="%",BA347-AZ347,BA347/AZ347-1),""))</f>
        <v/>
      </c>
      <c r="BC347" s="5" t="str">
        <f aca="false">IF(OR(AZ347="",BA347=""),"",IF($F347="Maior Melhor",IF(BA347&gt;=AZ347,"Sim","Não"),IF(BA347&lt;=AZ347,"Sim","Não")))</f>
        <v/>
      </c>
      <c r="BD347" s="3"/>
      <c r="BE347" s="3"/>
      <c r="BF347" s="4" t="str">
        <f aca="false">IF(OR(BD347="",BE347=""),"",IFERROR(IF($K347="%",BE347-BD347,BE347/BD347-1),""))</f>
        <v/>
      </c>
      <c r="BG347" s="5" t="str">
        <f aca="false">IF(OR(BD347="",BE347=""),"",IF($F347="Maior Melhor",IF(BE347&gt;=BD347,"Sim","Não"),IF(BE347&lt;=BD347,"Sim","Não")))</f>
        <v/>
      </c>
      <c r="BH347" s="3"/>
      <c r="BI347" s="3"/>
      <c r="BJ347" s="4" t="str">
        <f aca="false">IF(OR(BH347="",BI347=""),"",IFERROR(IF($K347="%",BI347-BH347,BI347/BH347-1),""))</f>
        <v/>
      </c>
      <c r="BK347" s="5" t="str">
        <f aca="false">IF(OR(BH347="",BI347=""),"",IF($F347="Maior Melhor",IF(BI347&gt;=BH347,"Sim","Não"),IF(BI347&lt;=BH347,"Sim","Não")))</f>
        <v/>
      </c>
      <c r="BL347" s="6"/>
      <c r="BM347" s="6"/>
      <c r="BN347" s="4" t="str">
        <f aca="false">IF(OR(BL347="",BM347=""),"",IFERROR(IF($K347="%",BM347-BL347,BM347/BL347-1),""))</f>
        <v/>
      </c>
      <c r="BO347" s="5" t="str">
        <f aca="false">IF(OR(BL347="",BM347=""),"",IF($F347="Maior Melhor",IF(BM347&gt;=BL347,"Sim","Não"),IF(BM347&lt;=BL347,"Sim","Não")))</f>
        <v/>
      </c>
      <c r="BP347" s="6"/>
      <c r="BQ347" s="6"/>
      <c r="BR347" s="4" t="str">
        <f aca="false">IF(OR(BP347="",BQ347=""),"",IFERROR(IF($K347="%",BQ347-BP347,BQ347/BP347-1),""))</f>
        <v/>
      </c>
      <c r="BS347" s="5" t="str">
        <f aca="false">IF(OR(BP347="",BQ347=""),"",IF($F347="Maior Melhor",IF(BQ347&gt;=BP347,"Sim","Não"),IF(BQ347&lt;=BP347,"Sim","Não")))</f>
        <v/>
      </c>
      <c r="BT347" s="6"/>
      <c r="BU347" s="6"/>
      <c r="BV347" s="4" t="str">
        <f aca="false">IF(OR(BT347="",BU347=""),"",IFERROR(IF($K347="%",BU347-BT347,BU347/BT347-1),""))</f>
        <v/>
      </c>
      <c r="BW347" s="5" t="str">
        <f aca="false">IF(OR(BT347="",BU347=""),"",IF($F347="Maior Melhor",IF(BU347&gt;=BT347,"Sim","Não"),IF(BU347&lt;=BT347,"Sim","Não")))</f>
        <v/>
      </c>
      <c r="BX347" s="6"/>
      <c r="BY347" s="6"/>
      <c r="BZ347" s="4" t="str">
        <f aca="false">IF(OR(BX347="",BY347=""),"",IFERROR(IF($K347="%",BY347-BX347,BY347/BX347-1),""))</f>
        <v/>
      </c>
      <c r="CA347" s="5" t="str">
        <f aca="false">IF(OR(BX347="",BY347=""),"",IF($F347="Maior Melhor",IF(BY347&gt;=BX347,"Sim","Não"),IF(BY347&lt;=BX347,"Sim","Não")))</f>
        <v/>
      </c>
      <c r="CB347" s="6"/>
      <c r="CC347" s="6"/>
      <c r="CD347" s="4" t="str">
        <f aca="false">IF(OR(CB347="",CC347=""),"",IFERROR(IF($K347="%",CC347-CB347,CC347/CB347-1),""))</f>
        <v/>
      </c>
      <c r="CE347" s="5" t="str">
        <f aca="false">IF(OR(CB347="",CC347=""),"",IF($F347="Maior Melhor",IF(CC347&gt;=CB347,"Sim","Não"),IF(CC347&lt;=CB347,"Sim","Não")))</f>
        <v/>
      </c>
      <c r="CF347" s="6"/>
      <c r="CG347" s="6"/>
      <c r="CH347" s="4" t="str">
        <f aca="false">IF(OR(CF347="",CG347=""),"",IFERROR(IF($K347="%",CG347-CF347,CG347/CF347-1),""))</f>
        <v/>
      </c>
      <c r="CI347" s="5" t="str">
        <f aca="false">IF(OR(CF347="",CG347=""),"",IF($F347="Maior Melhor",IF(CG347&gt;=CF347,"Sim","Não"),IF(CG347&lt;=CF347,"Sim","Não")))</f>
        <v/>
      </c>
      <c r="CJ347" s="6"/>
      <c r="CK347" s="6"/>
      <c r="CL347" s="4" t="str">
        <f aca="false">IF(OR(CJ347="",CK347=""),"",IFERROR(IF($K347="%",CK347-CJ347,CK347/CJ347-1),""))</f>
        <v/>
      </c>
      <c r="CM347" s="5" t="str">
        <f aca="false">IF(OR(CJ347="",CK347=""),"",IF($F347="Maior Melhor",IF(CK347&gt;=CJ347,"Sim","Não"),IF(CK347&lt;=CJ347,"Sim","Não")))</f>
        <v/>
      </c>
      <c r="CN347" s="6"/>
      <c r="CO347" s="6"/>
      <c r="CP347" s="4" t="str">
        <f aca="false">IF(OR(CN347="",CO347=""),"",IFERROR(IF($K347="%",CO347-CN347,CO347/CN347-1),""))</f>
        <v/>
      </c>
      <c r="CQ347" s="5" t="str">
        <f aca="false">IF(OR(CN347="",CO347=""),"",IF($F347="Maior Melhor",IF(CO347&gt;=CN347,"Sim","Não"),IF(CO347&lt;=CN347,"Sim","Não")))</f>
        <v/>
      </c>
      <c r="CR347" s="2" t="s">
        <v>105</v>
      </c>
    </row>
    <row r="348" customFormat="false" ht="15" hidden="false" customHeight="false" outlineLevel="0" collapsed="false">
      <c r="A348" s="2" t="s">
        <v>96</v>
      </c>
      <c r="B348" s="2" t="s">
        <v>106</v>
      </c>
      <c r="C348" s="2" t="s">
        <v>111</v>
      </c>
      <c r="D348" s="2" t="s">
        <v>202</v>
      </c>
      <c r="E348" s="2" t="str">
        <f aca="false">C348&amp;D348</f>
        <v>UTD BARREIRASServiço atendido no prazo* (Eficácia do Plano de Manutenção)</v>
      </c>
      <c r="F348" s="2" t="s">
        <v>100</v>
      </c>
      <c r="G348" s="2" t="s">
        <v>203</v>
      </c>
      <c r="H348" s="2" t="s">
        <v>102</v>
      </c>
      <c r="I348" s="2" t="s">
        <v>103</v>
      </c>
      <c r="J348" s="2" t="n">
        <v>0</v>
      </c>
      <c r="K348" s="2" t="s">
        <v>104</v>
      </c>
      <c r="L348" s="3"/>
      <c r="M348" s="3"/>
      <c r="N348" s="4" t="str">
        <f aca="false">IF(OR(L348="",M348=""),"",IFERROR(IF($K348="%",M348-L348,M348/L348-1),""))</f>
        <v/>
      </c>
      <c r="O348" s="5" t="str">
        <f aca="false">IF(OR(L348="",M348=""),"",IF($F348="Maior Melhor",IF(M348&gt;=L348,"Sim","Não"),IF(M348&lt;=L348,"Sim","Não")))</f>
        <v/>
      </c>
      <c r="P348" s="3"/>
      <c r="Q348" s="3"/>
      <c r="R348" s="4" t="str">
        <f aca="false">IF(OR(P348="",Q348=""),"",IFERROR(IF($K348="%",Q348-P348,Q348/P348-1),""))</f>
        <v/>
      </c>
      <c r="S348" s="5" t="str">
        <f aca="false">IF(OR(P348="",Q348=""),"",IF($F348="Maior Melhor",IF(Q348&gt;=P348,"Sim","Não"),IF(Q348&lt;=P348,"Sim","Não")))</f>
        <v/>
      </c>
      <c r="T348" s="3"/>
      <c r="U348" s="3"/>
      <c r="V348" s="4" t="str">
        <f aca="false">IF(OR(T348="",U348=""),"",IFERROR(IF($K348="%",U348-T348,U348/T348-1),""))</f>
        <v/>
      </c>
      <c r="W348" s="5" t="str">
        <f aca="false">IF(OR(T348="",U348=""),"",IF($F348="Maior Melhor",IF(U348&gt;=T348,"Sim","Não"),IF(U348&lt;=T348,"Sim","Não")))</f>
        <v/>
      </c>
      <c r="X348" s="3"/>
      <c r="Y348" s="3"/>
      <c r="Z348" s="4" t="str">
        <f aca="false">IF(OR(X348="",Y348=""),"",IFERROR(IF($K348="%",Y348-X348,Y348/X348-1),""))</f>
        <v/>
      </c>
      <c r="AA348" s="5" t="str">
        <f aca="false">IF(OR(X348="",Y348=""),"",IF($F348="Maior Melhor",IF(Y348&gt;=X348,"Sim","Não"),IF(Y348&lt;=X348,"Sim","Não")))</f>
        <v/>
      </c>
      <c r="AB348" s="3"/>
      <c r="AC348" s="3"/>
      <c r="AD348" s="4" t="str">
        <f aca="false">IF(OR(AB348="",AC348=""),"",IFERROR(IF($K348="%",AC348-AB348,AC348/AB348-1),""))</f>
        <v/>
      </c>
      <c r="AE348" s="5" t="str">
        <f aca="false">IF(OR(AB348="",AC348=""),"",IF($F348="Maior Melhor",IF(AC348&gt;=AB348,"Sim","Não"),IF(AC348&lt;=AB348,"Sim","Não")))</f>
        <v/>
      </c>
      <c r="AF348" s="3"/>
      <c r="AG348" s="3"/>
      <c r="AH348" s="4" t="str">
        <f aca="false">IF(OR(AF348="",AG348=""),"",IFERROR(IF($K348="%",AG348-AF348,AG348/AF348-1),""))</f>
        <v/>
      </c>
      <c r="AI348" s="5" t="str">
        <f aca="false">IF(OR(AF348="",AG348=""),"",IF($F348="Maior Melhor",IF(AG348&gt;=AF348,"Sim","Não"),IF(AG348&lt;=AF348,"Sim","Não")))</f>
        <v/>
      </c>
      <c r="AJ348" s="3"/>
      <c r="AK348" s="3"/>
      <c r="AL348" s="4" t="str">
        <f aca="false">IF(OR(AJ348="",AK348=""),"",IFERROR(IF($K348="%",AK348-AJ348,AK348/AJ348-1),""))</f>
        <v/>
      </c>
      <c r="AM348" s="5" t="str">
        <f aca="false">IF(OR(AJ348="",AK348=""),"",IF($F348="Maior Melhor",IF(AK348&gt;=AJ348,"Sim","Não"),IF(AK348&lt;=AJ348,"Sim","Não")))</f>
        <v/>
      </c>
      <c r="AN348" s="3"/>
      <c r="AO348" s="3"/>
      <c r="AP348" s="4" t="str">
        <f aca="false">IF(OR(AN348="",AO348=""),"",IFERROR(IF($K348="%",AO348-AN348,AO348/AN348-1),""))</f>
        <v/>
      </c>
      <c r="AQ348" s="5" t="str">
        <f aca="false">IF(OR(AN348="",AO348=""),"",IF($F348="Maior Melhor",IF(AO348&gt;=AN348,"Sim","Não"),IF(AO348&lt;=AN348,"Sim","Não")))</f>
        <v/>
      </c>
      <c r="AR348" s="3"/>
      <c r="AS348" s="3"/>
      <c r="AT348" s="4" t="str">
        <f aca="false">IF(OR(AR348="",AS348=""),"",IFERROR(IF($K348="%",AS348-AR348,AS348/AR348-1),""))</f>
        <v/>
      </c>
      <c r="AU348" s="5" t="str">
        <f aca="false">IF(OR(AR348="",AS348=""),"",IF($F348="Maior Melhor",IF(AS348&gt;=AR348,"Sim","Não"),IF(AS348&lt;=AR348,"Sim","Não")))</f>
        <v/>
      </c>
      <c r="AV348" s="3"/>
      <c r="AW348" s="3"/>
      <c r="AX348" s="4" t="str">
        <f aca="false">IF(OR(AV348="",AW348=""),"",IFERROR(IF($K348="%",AW348-AV348,AW348/AV348-1),""))</f>
        <v/>
      </c>
      <c r="AY348" s="5" t="str">
        <f aca="false">IF(OR(AV348="",AW348=""),"",IF($F348="Maior Melhor",IF(AW348&gt;=AV348,"Sim","Não"),IF(AW348&lt;=AV348,"Sim","Não")))</f>
        <v/>
      </c>
      <c r="AZ348" s="3"/>
      <c r="BA348" s="3"/>
      <c r="BB348" s="4" t="str">
        <f aca="false">IF(OR(AZ348="",BA348=""),"",IFERROR(IF($K348="%",BA348-AZ348,BA348/AZ348-1),""))</f>
        <v/>
      </c>
      <c r="BC348" s="5" t="str">
        <f aca="false">IF(OR(AZ348="",BA348=""),"",IF($F348="Maior Melhor",IF(BA348&gt;=AZ348,"Sim","Não"),IF(BA348&lt;=AZ348,"Sim","Não")))</f>
        <v/>
      </c>
      <c r="BD348" s="3"/>
      <c r="BE348" s="3"/>
      <c r="BF348" s="4" t="str">
        <f aca="false">IF(OR(BD348="",BE348=""),"",IFERROR(IF($K348="%",BE348-BD348,BE348/BD348-1),""))</f>
        <v/>
      </c>
      <c r="BG348" s="5" t="str">
        <f aca="false">IF(OR(BD348="",BE348=""),"",IF($F348="Maior Melhor",IF(BE348&gt;=BD348,"Sim","Não"),IF(BE348&lt;=BD348,"Sim","Não")))</f>
        <v/>
      </c>
      <c r="BH348" s="3"/>
      <c r="BI348" s="3"/>
      <c r="BJ348" s="4" t="str">
        <f aca="false">IF(OR(BH348="",BI348=""),"",IFERROR(IF($K348="%",BI348-BH348,BI348/BH348-1),""))</f>
        <v/>
      </c>
      <c r="BK348" s="5" t="str">
        <f aca="false">IF(OR(BH348="",BI348=""),"",IF($F348="Maior Melhor",IF(BI348&gt;=BH348,"Sim","Não"),IF(BI348&lt;=BH348,"Sim","Não")))</f>
        <v/>
      </c>
      <c r="BL348" s="6"/>
      <c r="BM348" s="6"/>
      <c r="BN348" s="4" t="str">
        <f aca="false">IF(OR(BL348="",BM348=""),"",IFERROR(IF($K348="%",BM348-BL348,BM348/BL348-1),""))</f>
        <v/>
      </c>
      <c r="BO348" s="5" t="str">
        <f aca="false">IF(OR(BL348="",BM348=""),"",IF($F348="Maior Melhor",IF(BM348&gt;=BL348,"Sim","Não"),IF(BM348&lt;=BL348,"Sim","Não")))</f>
        <v/>
      </c>
      <c r="BP348" s="6"/>
      <c r="BQ348" s="6"/>
      <c r="BR348" s="4" t="str">
        <f aca="false">IF(OR(BP348="",BQ348=""),"",IFERROR(IF($K348="%",BQ348-BP348,BQ348/BP348-1),""))</f>
        <v/>
      </c>
      <c r="BS348" s="5" t="str">
        <f aca="false">IF(OR(BP348="",BQ348=""),"",IF($F348="Maior Melhor",IF(BQ348&gt;=BP348,"Sim","Não"),IF(BQ348&lt;=BP348,"Sim","Não")))</f>
        <v/>
      </c>
      <c r="BT348" s="6"/>
      <c r="BU348" s="6"/>
      <c r="BV348" s="4" t="str">
        <f aca="false">IF(OR(BT348="",BU348=""),"",IFERROR(IF($K348="%",BU348-BT348,BU348/BT348-1),""))</f>
        <v/>
      </c>
      <c r="BW348" s="5" t="str">
        <f aca="false">IF(OR(BT348="",BU348=""),"",IF($F348="Maior Melhor",IF(BU348&gt;=BT348,"Sim","Não"),IF(BU348&lt;=BT348,"Sim","Não")))</f>
        <v/>
      </c>
      <c r="BX348" s="6"/>
      <c r="BY348" s="6"/>
      <c r="BZ348" s="4" t="str">
        <f aca="false">IF(OR(BX348="",BY348=""),"",IFERROR(IF($K348="%",BY348-BX348,BY348/BX348-1),""))</f>
        <v/>
      </c>
      <c r="CA348" s="5" t="str">
        <f aca="false">IF(OR(BX348="",BY348=""),"",IF($F348="Maior Melhor",IF(BY348&gt;=BX348,"Sim","Não"),IF(BY348&lt;=BX348,"Sim","Não")))</f>
        <v/>
      </c>
      <c r="CB348" s="6"/>
      <c r="CC348" s="6"/>
      <c r="CD348" s="4" t="str">
        <f aca="false">IF(OR(CB348="",CC348=""),"",IFERROR(IF($K348="%",CC348-CB348,CC348/CB348-1),""))</f>
        <v/>
      </c>
      <c r="CE348" s="5" t="str">
        <f aca="false">IF(OR(CB348="",CC348=""),"",IF($F348="Maior Melhor",IF(CC348&gt;=CB348,"Sim","Não"),IF(CC348&lt;=CB348,"Sim","Não")))</f>
        <v/>
      </c>
      <c r="CF348" s="6"/>
      <c r="CG348" s="6"/>
      <c r="CH348" s="4" t="str">
        <f aca="false">IF(OR(CF348="",CG348=""),"",IFERROR(IF($K348="%",CG348-CF348,CG348/CF348-1),""))</f>
        <v/>
      </c>
      <c r="CI348" s="5" t="str">
        <f aca="false">IF(OR(CF348="",CG348=""),"",IF($F348="Maior Melhor",IF(CG348&gt;=CF348,"Sim","Não"),IF(CG348&lt;=CF348,"Sim","Não")))</f>
        <v/>
      </c>
      <c r="CJ348" s="6"/>
      <c r="CK348" s="6"/>
      <c r="CL348" s="4" t="str">
        <f aca="false">IF(OR(CJ348="",CK348=""),"",IFERROR(IF($K348="%",CK348-CJ348,CK348/CJ348-1),""))</f>
        <v/>
      </c>
      <c r="CM348" s="5" t="str">
        <f aca="false">IF(OR(CJ348="",CK348=""),"",IF($F348="Maior Melhor",IF(CK348&gt;=CJ348,"Sim","Não"),IF(CK348&lt;=CJ348,"Sim","Não")))</f>
        <v/>
      </c>
      <c r="CN348" s="6"/>
      <c r="CO348" s="6"/>
      <c r="CP348" s="4" t="str">
        <f aca="false">IF(OR(CN348="",CO348=""),"",IFERROR(IF($K348="%",CO348-CN348,CO348/CN348-1),""))</f>
        <v/>
      </c>
      <c r="CQ348" s="5" t="str">
        <f aca="false">IF(OR(CN348="",CO348=""),"",IF($F348="Maior Melhor",IF(CO348&gt;=CN348,"Sim","Não"),IF(CO348&lt;=CN348,"Sim","Não")))</f>
        <v/>
      </c>
      <c r="CR348" s="2" t="s">
        <v>138</v>
      </c>
    </row>
    <row r="349" customFormat="false" ht="15" hidden="false" customHeight="false" outlineLevel="0" collapsed="false">
      <c r="A349" s="2" t="s">
        <v>96</v>
      </c>
      <c r="B349" s="2" t="s">
        <v>106</v>
      </c>
      <c r="C349" s="2" t="s">
        <v>113</v>
      </c>
      <c r="D349" s="2" t="s">
        <v>202</v>
      </c>
      <c r="E349" s="2" t="str">
        <f aca="false">C349&amp;D349</f>
        <v>UTD BOM JESUS DA LAPAServiço atendido no prazo* (Eficácia do Plano de Manutenção)</v>
      </c>
      <c r="F349" s="2" t="s">
        <v>100</v>
      </c>
      <c r="G349" s="2" t="s">
        <v>203</v>
      </c>
      <c r="H349" s="2" t="s">
        <v>102</v>
      </c>
      <c r="I349" s="2" t="s">
        <v>103</v>
      </c>
      <c r="J349" s="2" t="n">
        <v>0</v>
      </c>
      <c r="K349" s="2" t="s">
        <v>104</v>
      </c>
      <c r="L349" s="3"/>
      <c r="M349" s="3"/>
      <c r="N349" s="4" t="str">
        <f aca="false">IF(OR(L349="",M349=""),"",IFERROR(IF($K349="%",M349-L349,M349/L349-1),""))</f>
        <v/>
      </c>
      <c r="O349" s="5" t="str">
        <f aca="false">IF(OR(L349="",M349=""),"",IF($F349="Maior Melhor",IF(M349&gt;=L349,"Sim","Não"),IF(M349&lt;=L349,"Sim","Não")))</f>
        <v/>
      </c>
      <c r="P349" s="3"/>
      <c r="Q349" s="3"/>
      <c r="R349" s="4" t="str">
        <f aca="false">IF(OR(P349="",Q349=""),"",IFERROR(IF($K349="%",Q349-P349,Q349/P349-1),""))</f>
        <v/>
      </c>
      <c r="S349" s="5" t="str">
        <f aca="false">IF(OR(P349="",Q349=""),"",IF($F349="Maior Melhor",IF(Q349&gt;=P349,"Sim","Não"),IF(Q349&lt;=P349,"Sim","Não")))</f>
        <v/>
      </c>
      <c r="T349" s="3"/>
      <c r="U349" s="3"/>
      <c r="V349" s="4" t="str">
        <f aca="false">IF(OR(T349="",U349=""),"",IFERROR(IF($K349="%",U349-T349,U349/T349-1),""))</f>
        <v/>
      </c>
      <c r="W349" s="5" t="str">
        <f aca="false">IF(OR(T349="",U349=""),"",IF($F349="Maior Melhor",IF(U349&gt;=T349,"Sim","Não"),IF(U349&lt;=T349,"Sim","Não")))</f>
        <v/>
      </c>
      <c r="X349" s="3"/>
      <c r="Y349" s="3"/>
      <c r="Z349" s="4" t="str">
        <f aca="false">IF(OR(X349="",Y349=""),"",IFERROR(IF($K349="%",Y349-X349,Y349/X349-1),""))</f>
        <v/>
      </c>
      <c r="AA349" s="5" t="str">
        <f aca="false">IF(OR(X349="",Y349=""),"",IF($F349="Maior Melhor",IF(Y349&gt;=X349,"Sim","Não"),IF(Y349&lt;=X349,"Sim","Não")))</f>
        <v/>
      </c>
      <c r="AB349" s="3"/>
      <c r="AC349" s="3"/>
      <c r="AD349" s="4" t="str">
        <f aca="false">IF(OR(AB349="",AC349=""),"",IFERROR(IF($K349="%",AC349-AB349,AC349/AB349-1),""))</f>
        <v/>
      </c>
      <c r="AE349" s="5" t="str">
        <f aca="false">IF(OR(AB349="",AC349=""),"",IF($F349="Maior Melhor",IF(AC349&gt;=AB349,"Sim","Não"),IF(AC349&lt;=AB349,"Sim","Não")))</f>
        <v/>
      </c>
      <c r="AF349" s="3"/>
      <c r="AG349" s="3"/>
      <c r="AH349" s="4" t="str">
        <f aca="false">IF(OR(AF349="",AG349=""),"",IFERROR(IF($K349="%",AG349-AF349,AG349/AF349-1),""))</f>
        <v/>
      </c>
      <c r="AI349" s="5" t="str">
        <f aca="false">IF(OR(AF349="",AG349=""),"",IF($F349="Maior Melhor",IF(AG349&gt;=AF349,"Sim","Não"),IF(AG349&lt;=AF349,"Sim","Não")))</f>
        <v/>
      </c>
      <c r="AJ349" s="3"/>
      <c r="AK349" s="3"/>
      <c r="AL349" s="4" t="str">
        <f aca="false">IF(OR(AJ349="",AK349=""),"",IFERROR(IF($K349="%",AK349-AJ349,AK349/AJ349-1),""))</f>
        <v/>
      </c>
      <c r="AM349" s="5" t="str">
        <f aca="false">IF(OR(AJ349="",AK349=""),"",IF($F349="Maior Melhor",IF(AK349&gt;=AJ349,"Sim","Não"),IF(AK349&lt;=AJ349,"Sim","Não")))</f>
        <v/>
      </c>
      <c r="AN349" s="3"/>
      <c r="AO349" s="3"/>
      <c r="AP349" s="4" t="str">
        <f aca="false">IF(OR(AN349="",AO349=""),"",IFERROR(IF($K349="%",AO349-AN349,AO349/AN349-1),""))</f>
        <v/>
      </c>
      <c r="AQ349" s="5" t="str">
        <f aca="false">IF(OR(AN349="",AO349=""),"",IF($F349="Maior Melhor",IF(AO349&gt;=AN349,"Sim","Não"),IF(AO349&lt;=AN349,"Sim","Não")))</f>
        <v/>
      </c>
      <c r="AR349" s="3"/>
      <c r="AS349" s="3"/>
      <c r="AT349" s="4" t="str">
        <f aca="false">IF(OR(AR349="",AS349=""),"",IFERROR(IF($K349="%",AS349-AR349,AS349/AR349-1),""))</f>
        <v/>
      </c>
      <c r="AU349" s="5" t="str">
        <f aca="false">IF(OR(AR349="",AS349=""),"",IF($F349="Maior Melhor",IF(AS349&gt;=AR349,"Sim","Não"),IF(AS349&lt;=AR349,"Sim","Não")))</f>
        <v/>
      </c>
      <c r="AV349" s="3"/>
      <c r="AW349" s="3"/>
      <c r="AX349" s="4" t="str">
        <f aca="false">IF(OR(AV349="",AW349=""),"",IFERROR(IF($K349="%",AW349-AV349,AW349/AV349-1),""))</f>
        <v/>
      </c>
      <c r="AY349" s="5" t="str">
        <f aca="false">IF(OR(AV349="",AW349=""),"",IF($F349="Maior Melhor",IF(AW349&gt;=AV349,"Sim","Não"),IF(AW349&lt;=AV349,"Sim","Não")))</f>
        <v/>
      </c>
      <c r="AZ349" s="3"/>
      <c r="BA349" s="3"/>
      <c r="BB349" s="4" t="str">
        <f aca="false">IF(OR(AZ349="",BA349=""),"",IFERROR(IF($K349="%",BA349-AZ349,BA349/AZ349-1),""))</f>
        <v/>
      </c>
      <c r="BC349" s="5" t="str">
        <f aca="false">IF(OR(AZ349="",BA349=""),"",IF($F349="Maior Melhor",IF(BA349&gt;=AZ349,"Sim","Não"),IF(BA349&lt;=AZ349,"Sim","Não")))</f>
        <v/>
      </c>
      <c r="BD349" s="3"/>
      <c r="BE349" s="3"/>
      <c r="BF349" s="4" t="str">
        <f aca="false">IF(OR(BD349="",BE349=""),"",IFERROR(IF($K349="%",BE349-BD349,BE349/BD349-1),""))</f>
        <v/>
      </c>
      <c r="BG349" s="5" t="str">
        <f aca="false">IF(OR(BD349="",BE349=""),"",IF($F349="Maior Melhor",IF(BE349&gt;=BD349,"Sim","Não"),IF(BE349&lt;=BD349,"Sim","Não")))</f>
        <v/>
      </c>
      <c r="BH349" s="3"/>
      <c r="BI349" s="3"/>
      <c r="BJ349" s="4" t="str">
        <f aca="false">IF(OR(BH349="",BI349=""),"",IFERROR(IF($K349="%",BI349-BH349,BI349/BH349-1),""))</f>
        <v/>
      </c>
      <c r="BK349" s="5" t="str">
        <f aca="false">IF(OR(BH349="",BI349=""),"",IF($F349="Maior Melhor",IF(BI349&gt;=BH349,"Sim","Não"),IF(BI349&lt;=BH349,"Sim","Não")))</f>
        <v/>
      </c>
      <c r="BL349" s="6"/>
      <c r="BM349" s="6"/>
      <c r="BN349" s="4" t="str">
        <f aca="false">IF(OR(BL349="",BM349=""),"",IFERROR(IF($K349="%",BM349-BL349,BM349/BL349-1),""))</f>
        <v/>
      </c>
      <c r="BO349" s="5" t="str">
        <f aca="false">IF(OR(BL349="",BM349=""),"",IF($F349="Maior Melhor",IF(BM349&gt;=BL349,"Sim","Não"),IF(BM349&lt;=BL349,"Sim","Não")))</f>
        <v/>
      </c>
      <c r="BP349" s="6"/>
      <c r="BQ349" s="6"/>
      <c r="BR349" s="4" t="str">
        <f aca="false">IF(OR(BP349="",BQ349=""),"",IFERROR(IF($K349="%",BQ349-BP349,BQ349/BP349-1),""))</f>
        <v/>
      </c>
      <c r="BS349" s="5" t="str">
        <f aca="false">IF(OR(BP349="",BQ349=""),"",IF($F349="Maior Melhor",IF(BQ349&gt;=BP349,"Sim","Não"),IF(BQ349&lt;=BP349,"Sim","Não")))</f>
        <v/>
      </c>
      <c r="BT349" s="6"/>
      <c r="BU349" s="6"/>
      <c r="BV349" s="4" t="str">
        <f aca="false">IF(OR(BT349="",BU349=""),"",IFERROR(IF($K349="%",BU349-BT349,BU349/BT349-1),""))</f>
        <v/>
      </c>
      <c r="BW349" s="5" t="str">
        <f aca="false">IF(OR(BT349="",BU349=""),"",IF($F349="Maior Melhor",IF(BU349&gt;=BT349,"Sim","Não"),IF(BU349&lt;=BT349,"Sim","Não")))</f>
        <v/>
      </c>
      <c r="BX349" s="6"/>
      <c r="BY349" s="6"/>
      <c r="BZ349" s="4" t="str">
        <f aca="false">IF(OR(BX349="",BY349=""),"",IFERROR(IF($K349="%",BY349-BX349,BY349/BX349-1),""))</f>
        <v/>
      </c>
      <c r="CA349" s="5" t="str">
        <f aca="false">IF(OR(BX349="",BY349=""),"",IF($F349="Maior Melhor",IF(BY349&gt;=BX349,"Sim","Não"),IF(BY349&lt;=BX349,"Sim","Não")))</f>
        <v/>
      </c>
      <c r="CB349" s="6"/>
      <c r="CC349" s="6"/>
      <c r="CD349" s="4" t="str">
        <f aca="false">IF(OR(CB349="",CC349=""),"",IFERROR(IF($K349="%",CC349-CB349,CC349/CB349-1),""))</f>
        <v/>
      </c>
      <c r="CE349" s="5" t="str">
        <f aca="false">IF(OR(CB349="",CC349=""),"",IF($F349="Maior Melhor",IF(CC349&gt;=CB349,"Sim","Não"),IF(CC349&lt;=CB349,"Sim","Não")))</f>
        <v/>
      </c>
      <c r="CF349" s="6"/>
      <c r="CG349" s="6"/>
      <c r="CH349" s="4" t="str">
        <f aca="false">IF(OR(CF349="",CG349=""),"",IFERROR(IF($K349="%",CG349-CF349,CG349/CF349-1),""))</f>
        <v/>
      </c>
      <c r="CI349" s="5" t="str">
        <f aca="false">IF(OR(CF349="",CG349=""),"",IF($F349="Maior Melhor",IF(CG349&gt;=CF349,"Sim","Não"),IF(CG349&lt;=CF349,"Sim","Não")))</f>
        <v/>
      </c>
      <c r="CJ349" s="6"/>
      <c r="CK349" s="6"/>
      <c r="CL349" s="4" t="str">
        <f aca="false">IF(OR(CJ349="",CK349=""),"",IFERROR(IF($K349="%",CK349-CJ349,CK349/CJ349-1),""))</f>
        <v/>
      </c>
      <c r="CM349" s="5" t="str">
        <f aca="false">IF(OR(CJ349="",CK349=""),"",IF($F349="Maior Melhor",IF(CK349&gt;=CJ349,"Sim","Não"),IF(CK349&lt;=CJ349,"Sim","Não")))</f>
        <v/>
      </c>
      <c r="CN349" s="6"/>
      <c r="CO349" s="6"/>
      <c r="CP349" s="4" t="str">
        <f aca="false">IF(OR(CN349="",CO349=""),"",IFERROR(IF($K349="%",CO349-CN349,CO349/CN349-1),""))</f>
        <v/>
      </c>
      <c r="CQ349" s="5" t="str">
        <f aca="false">IF(OR(CN349="",CO349=""),"",IF($F349="Maior Melhor",IF(CO349&gt;=CN349,"Sim","Não"),IF(CO349&lt;=CN349,"Sim","Não")))</f>
        <v/>
      </c>
      <c r="CR349" s="2" t="s">
        <v>139</v>
      </c>
    </row>
    <row r="350" customFormat="false" ht="15" hidden="false" customHeight="false" outlineLevel="0" collapsed="false">
      <c r="A350" s="2" t="s">
        <v>96</v>
      </c>
      <c r="B350" s="2" t="s">
        <v>108</v>
      </c>
      <c r="C350" s="2" t="s">
        <v>115</v>
      </c>
      <c r="D350" s="2" t="s">
        <v>202</v>
      </c>
      <c r="E350" s="2" t="str">
        <f aca="false">C350&amp;D350</f>
        <v>UTD BRUMADOServiço atendido no prazo* (Eficácia do Plano de Manutenção)</v>
      </c>
      <c r="F350" s="2" t="s">
        <v>100</v>
      </c>
      <c r="G350" s="2" t="s">
        <v>203</v>
      </c>
      <c r="H350" s="2" t="s">
        <v>102</v>
      </c>
      <c r="I350" s="2" t="s">
        <v>103</v>
      </c>
      <c r="J350" s="2" t="n">
        <v>0</v>
      </c>
      <c r="K350" s="2" t="s">
        <v>104</v>
      </c>
      <c r="L350" s="3"/>
      <c r="M350" s="3"/>
      <c r="N350" s="4" t="str">
        <f aca="false">IF(OR(L350="",M350=""),"",IFERROR(IF($K350="%",M350-L350,M350/L350-1),""))</f>
        <v/>
      </c>
      <c r="O350" s="5" t="str">
        <f aca="false">IF(OR(L350="",M350=""),"",IF($F350="Maior Melhor",IF(M350&gt;=L350,"Sim","Não"),IF(M350&lt;=L350,"Sim","Não")))</f>
        <v/>
      </c>
      <c r="P350" s="3"/>
      <c r="Q350" s="3"/>
      <c r="R350" s="4" t="str">
        <f aca="false">IF(OR(P350="",Q350=""),"",IFERROR(IF($K350="%",Q350-P350,Q350/P350-1),""))</f>
        <v/>
      </c>
      <c r="S350" s="5" t="str">
        <f aca="false">IF(OR(P350="",Q350=""),"",IF($F350="Maior Melhor",IF(Q350&gt;=P350,"Sim","Não"),IF(Q350&lt;=P350,"Sim","Não")))</f>
        <v/>
      </c>
      <c r="T350" s="3"/>
      <c r="U350" s="3"/>
      <c r="V350" s="4" t="str">
        <f aca="false">IF(OR(T350="",U350=""),"",IFERROR(IF($K350="%",U350-T350,U350/T350-1),""))</f>
        <v/>
      </c>
      <c r="W350" s="5" t="str">
        <f aca="false">IF(OR(T350="",U350=""),"",IF($F350="Maior Melhor",IF(U350&gt;=T350,"Sim","Não"),IF(U350&lt;=T350,"Sim","Não")))</f>
        <v/>
      </c>
      <c r="X350" s="3"/>
      <c r="Y350" s="3"/>
      <c r="Z350" s="4" t="str">
        <f aca="false">IF(OR(X350="",Y350=""),"",IFERROR(IF($K350="%",Y350-X350,Y350/X350-1),""))</f>
        <v/>
      </c>
      <c r="AA350" s="5" t="str">
        <f aca="false">IF(OR(X350="",Y350=""),"",IF($F350="Maior Melhor",IF(Y350&gt;=X350,"Sim","Não"),IF(Y350&lt;=X350,"Sim","Não")))</f>
        <v/>
      </c>
      <c r="AB350" s="3"/>
      <c r="AC350" s="3"/>
      <c r="AD350" s="4" t="str">
        <f aca="false">IF(OR(AB350="",AC350=""),"",IFERROR(IF($K350="%",AC350-AB350,AC350/AB350-1),""))</f>
        <v/>
      </c>
      <c r="AE350" s="5" t="str">
        <f aca="false">IF(OR(AB350="",AC350=""),"",IF($F350="Maior Melhor",IF(AC350&gt;=AB350,"Sim","Não"),IF(AC350&lt;=AB350,"Sim","Não")))</f>
        <v/>
      </c>
      <c r="AF350" s="3"/>
      <c r="AG350" s="3"/>
      <c r="AH350" s="4" t="str">
        <f aca="false">IF(OR(AF350="",AG350=""),"",IFERROR(IF($K350="%",AG350-AF350,AG350/AF350-1),""))</f>
        <v/>
      </c>
      <c r="AI350" s="5" t="str">
        <f aca="false">IF(OR(AF350="",AG350=""),"",IF($F350="Maior Melhor",IF(AG350&gt;=AF350,"Sim","Não"),IF(AG350&lt;=AF350,"Sim","Não")))</f>
        <v/>
      </c>
      <c r="AJ350" s="3"/>
      <c r="AK350" s="3"/>
      <c r="AL350" s="4" t="str">
        <f aca="false">IF(OR(AJ350="",AK350=""),"",IFERROR(IF($K350="%",AK350-AJ350,AK350/AJ350-1),""))</f>
        <v/>
      </c>
      <c r="AM350" s="5" t="str">
        <f aca="false">IF(OR(AJ350="",AK350=""),"",IF($F350="Maior Melhor",IF(AK350&gt;=AJ350,"Sim","Não"),IF(AK350&lt;=AJ350,"Sim","Não")))</f>
        <v/>
      </c>
      <c r="AN350" s="3"/>
      <c r="AO350" s="3"/>
      <c r="AP350" s="4" t="str">
        <f aca="false">IF(OR(AN350="",AO350=""),"",IFERROR(IF($K350="%",AO350-AN350,AO350/AN350-1),""))</f>
        <v/>
      </c>
      <c r="AQ350" s="5" t="str">
        <f aca="false">IF(OR(AN350="",AO350=""),"",IF($F350="Maior Melhor",IF(AO350&gt;=AN350,"Sim","Não"),IF(AO350&lt;=AN350,"Sim","Não")))</f>
        <v/>
      </c>
      <c r="AR350" s="3"/>
      <c r="AS350" s="3"/>
      <c r="AT350" s="4" t="str">
        <f aca="false">IF(OR(AR350="",AS350=""),"",IFERROR(IF($K350="%",AS350-AR350,AS350/AR350-1),""))</f>
        <v/>
      </c>
      <c r="AU350" s="5" t="str">
        <f aca="false">IF(OR(AR350="",AS350=""),"",IF($F350="Maior Melhor",IF(AS350&gt;=AR350,"Sim","Não"),IF(AS350&lt;=AR350,"Sim","Não")))</f>
        <v/>
      </c>
      <c r="AV350" s="3"/>
      <c r="AW350" s="3"/>
      <c r="AX350" s="4" t="str">
        <f aca="false">IF(OR(AV350="",AW350=""),"",IFERROR(IF($K350="%",AW350-AV350,AW350/AV350-1),""))</f>
        <v/>
      </c>
      <c r="AY350" s="5" t="str">
        <f aca="false">IF(OR(AV350="",AW350=""),"",IF($F350="Maior Melhor",IF(AW350&gt;=AV350,"Sim","Não"),IF(AW350&lt;=AV350,"Sim","Não")))</f>
        <v/>
      </c>
      <c r="AZ350" s="3"/>
      <c r="BA350" s="3"/>
      <c r="BB350" s="4" t="str">
        <f aca="false">IF(OR(AZ350="",BA350=""),"",IFERROR(IF($K350="%",BA350-AZ350,BA350/AZ350-1),""))</f>
        <v/>
      </c>
      <c r="BC350" s="5" t="str">
        <f aca="false">IF(OR(AZ350="",BA350=""),"",IF($F350="Maior Melhor",IF(BA350&gt;=AZ350,"Sim","Não"),IF(BA350&lt;=AZ350,"Sim","Não")))</f>
        <v/>
      </c>
      <c r="BD350" s="3"/>
      <c r="BE350" s="3"/>
      <c r="BF350" s="4" t="str">
        <f aca="false">IF(OR(BD350="",BE350=""),"",IFERROR(IF($K350="%",BE350-BD350,BE350/BD350-1),""))</f>
        <v/>
      </c>
      <c r="BG350" s="5" t="str">
        <f aca="false">IF(OR(BD350="",BE350=""),"",IF($F350="Maior Melhor",IF(BE350&gt;=BD350,"Sim","Não"),IF(BE350&lt;=BD350,"Sim","Não")))</f>
        <v/>
      </c>
      <c r="BH350" s="3"/>
      <c r="BI350" s="3"/>
      <c r="BJ350" s="4" t="str">
        <f aca="false">IF(OR(BH350="",BI350=""),"",IFERROR(IF($K350="%",BI350-BH350,BI350/BH350-1),""))</f>
        <v/>
      </c>
      <c r="BK350" s="5" t="str">
        <f aca="false">IF(OR(BH350="",BI350=""),"",IF($F350="Maior Melhor",IF(BI350&gt;=BH350,"Sim","Não"),IF(BI350&lt;=BH350,"Sim","Não")))</f>
        <v/>
      </c>
      <c r="BL350" s="6"/>
      <c r="BM350" s="6"/>
      <c r="BN350" s="4" t="str">
        <f aca="false">IF(OR(BL350="",BM350=""),"",IFERROR(IF($K350="%",BM350-BL350,BM350/BL350-1),""))</f>
        <v/>
      </c>
      <c r="BO350" s="5" t="str">
        <f aca="false">IF(OR(BL350="",BM350=""),"",IF($F350="Maior Melhor",IF(BM350&gt;=BL350,"Sim","Não"),IF(BM350&lt;=BL350,"Sim","Não")))</f>
        <v/>
      </c>
      <c r="BP350" s="6"/>
      <c r="BQ350" s="6"/>
      <c r="BR350" s="4" t="str">
        <f aca="false">IF(OR(BP350="",BQ350=""),"",IFERROR(IF($K350="%",BQ350-BP350,BQ350/BP350-1),""))</f>
        <v/>
      </c>
      <c r="BS350" s="5" t="str">
        <f aca="false">IF(OR(BP350="",BQ350=""),"",IF($F350="Maior Melhor",IF(BQ350&gt;=BP350,"Sim","Não"),IF(BQ350&lt;=BP350,"Sim","Não")))</f>
        <v/>
      </c>
      <c r="BT350" s="6"/>
      <c r="BU350" s="6"/>
      <c r="BV350" s="4" t="str">
        <f aca="false">IF(OR(BT350="",BU350=""),"",IFERROR(IF($K350="%",BU350-BT350,BU350/BT350-1),""))</f>
        <v/>
      </c>
      <c r="BW350" s="5" t="str">
        <f aca="false">IF(OR(BT350="",BU350=""),"",IF($F350="Maior Melhor",IF(BU350&gt;=BT350,"Sim","Não"),IF(BU350&lt;=BT350,"Sim","Não")))</f>
        <v/>
      </c>
      <c r="BX350" s="6"/>
      <c r="BY350" s="6"/>
      <c r="BZ350" s="4" t="str">
        <f aca="false">IF(OR(BX350="",BY350=""),"",IFERROR(IF($K350="%",BY350-BX350,BY350/BX350-1),""))</f>
        <v/>
      </c>
      <c r="CA350" s="5" t="str">
        <f aca="false">IF(OR(BX350="",BY350=""),"",IF($F350="Maior Melhor",IF(BY350&gt;=BX350,"Sim","Não"),IF(BY350&lt;=BX350,"Sim","Não")))</f>
        <v/>
      </c>
      <c r="CB350" s="6"/>
      <c r="CC350" s="6"/>
      <c r="CD350" s="4" t="str">
        <f aca="false">IF(OR(CB350="",CC350=""),"",IFERROR(IF($K350="%",CC350-CB350,CC350/CB350-1),""))</f>
        <v/>
      </c>
      <c r="CE350" s="5" t="str">
        <f aca="false">IF(OR(CB350="",CC350=""),"",IF($F350="Maior Melhor",IF(CC350&gt;=CB350,"Sim","Não"),IF(CC350&lt;=CB350,"Sim","Não")))</f>
        <v/>
      </c>
      <c r="CF350" s="6"/>
      <c r="CG350" s="6"/>
      <c r="CH350" s="4" t="str">
        <f aca="false">IF(OR(CF350="",CG350=""),"",IFERROR(IF($K350="%",CG350-CF350,CG350/CF350-1),""))</f>
        <v/>
      </c>
      <c r="CI350" s="5" t="str">
        <f aca="false">IF(OR(CF350="",CG350=""),"",IF($F350="Maior Melhor",IF(CG350&gt;=CF350,"Sim","Não"),IF(CG350&lt;=CF350,"Sim","Não")))</f>
        <v/>
      </c>
      <c r="CJ350" s="6"/>
      <c r="CK350" s="6"/>
      <c r="CL350" s="4" t="str">
        <f aca="false">IF(OR(CJ350="",CK350=""),"",IFERROR(IF($K350="%",CK350-CJ350,CK350/CJ350-1),""))</f>
        <v/>
      </c>
      <c r="CM350" s="5" t="str">
        <f aca="false">IF(OR(CJ350="",CK350=""),"",IF($F350="Maior Melhor",IF(CK350&gt;=CJ350,"Sim","Não"),IF(CK350&lt;=CJ350,"Sim","Não")))</f>
        <v/>
      </c>
      <c r="CN350" s="6"/>
      <c r="CO350" s="6"/>
      <c r="CP350" s="4" t="str">
        <f aca="false">IF(OR(CN350="",CO350=""),"",IFERROR(IF($K350="%",CO350-CN350,CO350/CN350-1),""))</f>
        <v/>
      </c>
      <c r="CQ350" s="5" t="str">
        <f aca="false">IF(OR(CN350="",CO350=""),"",IF($F350="Maior Melhor",IF(CO350&gt;=CN350,"Sim","Não"),IF(CO350&lt;=CN350,"Sim","Não")))</f>
        <v/>
      </c>
      <c r="CR350" s="2" t="s">
        <v>105</v>
      </c>
    </row>
    <row r="351" customFormat="false" ht="15" hidden="false" customHeight="false" outlineLevel="0" collapsed="false">
      <c r="A351" s="2" t="s">
        <v>96</v>
      </c>
      <c r="B351" s="2" t="s">
        <v>108</v>
      </c>
      <c r="C351" s="2" t="s">
        <v>117</v>
      </c>
      <c r="D351" s="2" t="s">
        <v>202</v>
      </c>
      <c r="E351" s="2" t="str">
        <f aca="false">C351&amp;D351</f>
        <v>UTD GUANAMBIServiço atendido no prazo* (Eficácia do Plano de Manutenção)</v>
      </c>
      <c r="F351" s="2" t="s">
        <v>100</v>
      </c>
      <c r="G351" s="2" t="s">
        <v>203</v>
      </c>
      <c r="H351" s="2" t="s">
        <v>102</v>
      </c>
      <c r="I351" s="2" t="s">
        <v>103</v>
      </c>
      <c r="J351" s="2" t="n">
        <v>0</v>
      </c>
      <c r="K351" s="2" t="s">
        <v>104</v>
      </c>
      <c r="L351" s="3"/>
      <c r="M351" s="3"/>
      <c r="N351" s="4" t="str">
        <f aca="false">IF(OR(L351="",M351=""),"",IFERROR(IF($K351="%",M351-L351,M351/L351-1),""))</f>
        <v/>
      </c>
      <c r="O351" s="5" t="str">
        <f aca="false">IF(OR(L351="",M351=""),"",IF($F351="Maior Melhor",IF(M351&gt;=L351,"Sim","Não"),IF(M351&lt;=L351,"Sim","Não")))</f>
        <v/>
      </c>
      <c r="P351" s="3"/>
      <c r="Q351" s="3"/>
      <c r="R351" s="4" t="str">
        <f aca="false">IF(OR(P351="",Q351=""),"",IFERROR(IF($K351="%",Q351-P351,Q351/P351-1),""))</f>
        <v/>
      </c>
      <c r="S351" s="5" t="str">
        <f aca="false">IF(OR(P351="",Q351=""),"",IF($F351="Maior Melhor",IF(Q351&gt;=P351,"Sim","Não"),IF(Q351&lt;=P351,"Sim","Não")))</f>
        <v/>
      </c>
      <c r="T351" s="3"/>
      <c r="U351" s="3"/>
      <c r="V351" s="4" t="str">
        <f aca="false">IF(OR(T351="",U351=""),"",IFERROR(IF($K351="%",U351-T351,U351/T351-1),""))</f>
        <v/>
      </c>
      <c r="W351" s="5" t="str">
        <f aca="false">IF(OR(T351="",U351=""),"",IF($F351="Maior Melhor",IF(U351&gt;=T351,"Sim","Não"),IF(U351&lt;=T351,"Sim","Não")))</f>
        <v/>
      </c>
      <c r="X351" s="3"/>
      <c r="Y351" s="3"/>
      <c r="Z351" s="4" t="str">
        <f aca="false">IF(OR(X351="",Y351=""),"",IFERROR(IF($K351="%",Y351-X351,Y351/X351-1),""))</f>
        <v/>
      </c>
      <c r="AA351" s="5" t="str">
        <f aca="false">IF(OR(X351="",Y351=""),"",IF($F351="Maior Melhor",IF(Y351&gt;=X351,"Sim","Não"),IF(Y351&lt;=X351,"Sim","Não")))</f>
        <v/>
      </c>
      <c r="AB351" s="3"/>
      <c r="AC351" s="3"/>
      <c r="AD351" s="4" t="str">
        <f aca="false">IF(OR(AB351="",AC351=""),"",IFERROR(IF($K351="%",AC351-AB351,AC351/AB351-1),""))</f>
        <v/>
      </c>
      <c r="AE351" s="5" t="str">
        <f aca="false">IF(OR(AB351="",AC351=""),"",IF($F351="Maior Melhor",IF(AC351&gt;=AB351,"Sim","Não"),IF(AC351&lt;=AB351,"Sim","Não")))</f>
        <v/>
      </c>
      <c r="AF351" s="3"/>
      <c r="AG351" s="3"/>
      <c r="AH351" s="4" t="str">
        <f aca="false">IF(OR(AF351="",AG351=""),"",IFERROR(IF($K351="%",AG351-AF351,AG351/AF351-1),""))</f>
        <v/>
      </c>
      <c r="AI351" s="5" t="str">
        <f aca="false">IF(OR(AF351="",AG351=""),"",IF($F351="Maior Melhor",IF(AG351&gt;=AF351,"Sim","Não"),IF(AG351&lt;=AF351,"Sim","Não")))</f>
        <v/>
      </c>
      <c r="AJ351" s="3"/>
      <c r="AK351" s="3"/>
      <c r="AL351" s="4" t="str">
        <f aca="false">IF(OR(AJ351="",AK351=""),"",IFERROR(IF($K351="%",AK351-AJ351,AK351/AJ351-1),""))</f>
        <v/>
      </c>
      <c r="AM351" s="5" t="str">
        <f aca="false">IF(OR(AJ351="",AK351=""),"",IF($F351="Maior Melhor",IF(AK351&gt;=AJ351,"Sim","Não"),IF(AK351&lt;=AJ351,"Sim","Não")))</f>
        <v/>
      </c>
      <c r="AN351" s="3"/>
      <c r="AO351" s="3"/>
      <c r="AP351" s="4" t="str">
        <f aca="false">IF(OR(AN351="",AO351=""),"",IFERROR(IF($K351="%",AO351-AN351,AO351/AN351-1),""))</f>
        <v/>
      </c>
      <c r="AQ351" s="5" t="str">
        <f aca="false">IF(OR(AN351="",AO351=""),"",IF($F351="Maior Melhor",IF(AO351&gt;=AN351,"Sim","Não"),IF(AO351&lt;=AN351,"Sim","Não")))</f>
        <v/>
      </c>
      <c r="AR351" s="3"/>
      <c r="AS351" s="3"/>
      <c r="AT351" s="4" t="str">
        <f aca="false">IF(OR(AR351="",AS351=""),"",IFERROR(IF($K351="%",AS351-AR351,AS351/AR351-1),""))</f>
        <v/>
      </c>
      <c r="AU351" s="5" t="str">
        <f aca="false">IF(OR(AR351="",AS351=""),"",IF($F351="Maior Melhor",IF(AS351&gt;=AR351,"Sim","Não"),IF(AS351&lt;=AR351,"Sim","Não")))</f>
        <v/>
      </c>
      <c r="AV351" s="3"/>
      <c r="AW351" s="3"/>
      <c r="AX351" s="4" t="str">
        <f aca="false">IF(OR(AV351="",AW351=""),"",IFERROR(IF($K351="%",AW351-AV351,AW351/AV351-1),""))</f>
        <v/>
      </c>
      <c r="AY351" s="5" t="str">
        <f aca="false">IF(OR(AV351="",AW351=""),"",IF($F351="Maior Melhor",IF(AW351&gt;=AV351,"Sim","Não"),IF(AW351&lt;=AV351,"Sim","Não")))</f>
        <v/>
      </c>
      <c r="AZ351" s="3"/>
      <c r="BA351" s="3"/>
      <c r="BB351" s="4" t="str">
        <f aca="false">IF(OR(AZ351="",BA351=""),"",IFERROR(IF($K351="%",BA351-AZ351,BA351/AZ351-1),""))</f>
        <v/>
      </c>
      <c r="BC351" s="5" t="str">
        <f aca="false">IF(OR(AZ351="",BA351=""),"",IF($F351="Maior Melhor",IF(BA351&gt;=AZ351,"Sim","Não"),IF(BA351&lt;=AZ351,"Sim","Não")))</f>
        <v/>
      </c>
      <c r="BD351" s="3"/>
      <c r="BE351" s="3"/>
      <c r="BF351" s="4" t="str">
        <f aca="false">IF(OR(BD351="",BE351=""),"",IFERROR(IF($K351="%",BE351-BD351,BE351/BD351-1),""))</f>
        <v/>
      </c>
      <c r="BG351" s="5" t="str">
        <f aca="false">IF(OR(BD351="",BE351=""),"",IF($F351="Maior Melhor",IF(BE351&gt;=BD351,"Sim","Não"),IF(BE351&lt;=BD351,"Sim","Não")))</f>
        <v/>
      </c>
      <c r="BH351" s="3"/>
      <c r="BI351" s="3"/>
      <c r="BJ351" s="4" t="str">
        <f aca="false">IF(OR(BH351="",BI351=""),"",IFERROR(IF($K351="%",BI351-BH351,BI351/BH351-1),""))</f>
        <v/>
      </c>
      <c r="BK351" s="5" t="str">
        <f aca="false">IF(OR(BH351="",BI351=""),"",IF($F351="Maior Melhor",IF(BI351&gt;=BH351,"Sim","Não"),IF(BI351&lt;=BH351,"Sim","Não")))</f>
        <v/>
      </c>
      <c r="BL351" s="6"/>
      <c r="BM351" s="6"/>
      <c r="BN351" s="4" t="str">
        <f aca="false">IF(OR(BL351="",BM351=""),"",IFERROR(IF($K351="%",BM351-BL351,BM351/BL351-1),""))</f>
        <v/>
      </c>
      <c r="BO351" s="5" t="str">
        <f aca="false">IF(OR(BL351="",BM351=""),"",IF($F351="Maior Melhor",IF(BM351&gt;=BL351,"Sim","Não"),IF(BM351&lt;=BL351,"Sim","Não")))</f>
        <v/>
      </c>
      <c r="BP351" s="6"/>
      <c r="BQ351" s="6"/>
      <c r="BR351" s="4" t="str">
        <f aca="false">IF(OR(BP351="",BQ351=""),"",IFERROR(IF($K351="%",BQ351-BP351,BQ351/BP351-1),""))</f>
        <v/>
      </c>
      <c r="BS351" s="5" t="str">
        <f aca="false">IF(OR(BP351="",BQ351=""),"",IF($F351="Maior Melhor",IF(BQ351&gt;=BP351,"Sim","Não"),IF(BQ351&lt;=BP351,"Sim","Não")))</f>
        <v/>
      </c>
      <c r="BT351" s="6"/>
      <c r="BU351" s="6"/>
      <c r="BV351" s="4" t="str">
        <f aca="false">IF(OR(BT351="",BU351=""),"",IFERROR(IF($K351="%",BU351-BT351,BU351/BT351-1),""))</f>
        <v/>
      </c>
      <c r="BW351" s="5" t="str">
        <f aca="false">IF(OR(BT351="",BU351=""),"",IF($F351="Maior Melhor",IF(BU351&gt;=BT351,"Sim","Não"),IF(BU351&lt;=BT351,"Sim","Não")))</f>
        <v/>
      </c>
      <c r="BX351" s="6"/>
      <c r="BY351" s="6"/>
      <c r="BZ351" s="4" t="str">
        <f aca="false">IF(OR(BX351="",BY351=""),"",IFERROR(IF($K351="%",BY351-BX351,BY351/BX351-1),""))</f>
        <v/>
      </c>
      <c r="CA351" s="5" t="str">
        <f aca="false">IF(OR(BX351="",BY351=""),"",IF($F351="Maior Melhor",IF(BY351&gt;=BX351,"Sim","Não"),IF(BY351&lt;=BX351,"Sim","Não")))</f>
        <v/>
      </c>
      <c r="CB351" s="6"/>
      <c r="CC351" s="6"/>
      <c r="CD351" s="4" t="str">
        <f aca="false">IF(OR(CB351="",CC351=""),"",IFERROR(IF($K351="%",CC351-CB351,CC351/CB351-1),""))</f>
        <v/>
      </c>
      <c r="CE351" s="5" t="str">
        <f aca="false">IF(OR(CB351="",CC351=""),"",IF($F351="Maior Melhor",IF(CC351&gt;=CB351,"Sim","Não"),IF(CC351&lt;=CB351,"Sim","Não")))</f>
        <v/>
      </c>
      <c r="CF351" s="6"/>
      <c r="CG351" s="6"/>
      <c r="CH351" s="4" t="str">
        <f aca="false">IF(OR(CF351="",CG351=""),"",IFERROR(IF($K351="%",CG351-CF351,CG351/CF351-1),""))</f>
        <v/>
      </c>
      <c r="CI351" s="5" t="str">
        <f aca="false">IF(OR(CF351="",CG351=""),"",IF($F351="Maior Melhor",IF(CG351&gt;=CF351,"Sim","Não"),IF(CG351&lt;=CF351,"Sim","Não")))</f>
        <v/>
      </c>
      <c r="CJ351" s="6"/>
      <c r="CK351" s="6"/>
      <c r="CL351" s="4" t="str">
        <f aca="false">IF(OR(CJ351="",CK351=""),"",IFERROR(IF($K351="%",CK351-CJ351,CK351/CJ351-1),""))</f>
        <v/>
      </c>
      <c r="CM351" s="5" t="str">
        <f aca="false">IF(OR(CJ351="",CK351=""),"",IF($F351="Maior Melhor",IF(CK351&gt;=CJ351,"Sim","Não"),IF(CK351&lt;=CJ351,"Sim","Não")))</f>
        <v/>
      </c>
      <c r="CN351" s="6"/>
      <c r="CO351" s="6"/>
      <c r="CP351" s="4" t="str">
        <f aca="false">IF(OR(CN351="",CO351=""),"",IFERROR(IF($K351="%",CO351-CN351,CO351/CN351-1),""))</f>
        <v/>
      </c>
      <c r="CQ351" s="5" t="str">
        <f aca="false">IF(OR(CN351="",CO351=""),"",IF($F351="Maior Melhor",IF(CO351&gt;=CN351,"Sim","Não"),IF(CO351&lt;=CN351,"Sim","Não")))</f>
        <v/>
      </c>
      <c r="CR351" s="2" t="s">
        <v>105</v>
      </c>
    </row>
    <row r="352" customFormat="false" ht="15" hidden="false" customHeight="false" outlineLevel="0" collapsed="false">
      <c r="A352" s="2" t="s">
        <v>96</v>
      </c>
      <c r="B352" s="2" t="s">
        <v>106</v>
      </c>
      <c r="C352" s="2" t="s">
        <v>118</v>
      </c>
      <c r="D352" s="2" t="s">
        <v>202</v>
      </c>
      <c r="E352" s="2" t="str">
        <f aca="false">C352&amp;D352</f>
        <v>UTD IBOTIRAMAServiço atendido no prazo* (Eficácia do Plano de Manutenção)</v>
      </c>
      <c r="F352" s="2" t="s">
        <v>100</v>
      </c>
      <c r="G352" s="2" t="s">
        <v>203</v>
      </c>
      <c r="H352" s="2" t="s">
        <v>119</v>
      </c>
      <c r="I352" s="2" t="s">
        <v>103</v>
      </c>
      <c r="J352" s="2" t="n">
        <v>0</v>
      </c>
      <c r="K352" s="2" t="s">
        <v>104</v>
      </c>
      <c r="L352" s="3"/>
      <c r="M352" s="3"/>
      <c r="N352" s="4" t="str">
        <f aca="false">IF(OR(L352="",M352=""),"",IFERROR(IF($K352="%",M352-L352,M352/L352-1),""))</f>
        <v/>
      </c>
      <c r="O352" s="5" t="str">
        <f aca="false">IF(OR(L352="",M352=""),"",IF($F352="Maior Melhor",IF(M352&gt;=L352,"Sim","Não"),IF(M352&lt;=L352,"Sim","Não")))</f>
        <v/>
      </c>
      <c r="P352" s="3"/>
      <c r="Q352" s="3"/>
      <c r="R352" s="4" t="str">
        <f aca="false">IF(OR(P352="",Q352=""),"",IFERROR(IF($K352="%",Q352-P352,Q352/P352-1),""))</f>
        <v/>
      </c>
      <c r="S352" s="5" t="str">
        <f aca="false">IF(OR(P352="",Q352=""),"",IF($F352="Maior Melhor",IF(Q352&gt;=P352,"Sim","Não"),IF(Q352&lt;=P352,"Sim","Não")))</f>
        <v/>
      </c>
      <c r="T352" s="3"/>
      <c r="U352" s="3"/>
      <c r="V352" s="4" t="str">
        <f aca="false">IF(OR(T352="",U352=""),"",IFERROR(IF($K352="%",U352-T352,U352/T352-1),""))</f>
        <v/>
      </c>
      <c r="W352" s="5" t="str">
        <f aca="false">IF(OR(T352="",U352=""),"",IF($F352="Maior Melhor",IF(U352&gt;=T352,"Sim","Não"),IF(U352&lt;=T352,"Sim","Não")))</f>
        <v/>
      </c>
      <c r="X352" s="3"/>
      <c r="Y352" s="3"/>
      <c r="Z352" s="4" t="str">
        <f aca="false">IF(OR(X352="",Y352=""),"",IFERROR(IF($K352="%",Y352-X352,Y352/X352-1),""))</f>
        <v/>
      </c>
      <c r="AA352" s="5" t="str">
        <f aca="false">IF(OR(X352="",Y352=""),"",IF($F352="Maior Melhor",IF(Y352&gt;=X352,"Sim","Não"),IF(Y352&lt;=X352,"Sim","Não")))</f>
        <v/>
      </c>
      <c r="AB352" s="3"/>
      <c r="AC352" s="3"/>
      <c r="AD352" s="4" t="str">
        <f aca="false">IF(OR(AB352="",AC352=""),"",IFERROR(IF($K352="%",AC352-AB352,AC352/AB352-1),""))</f>
        <v/>
      </c>
      <c r="AE352" s="5" t="str">
        <f aca="false">IF(OR(AB352="",AC352=""),"",IF($F352="Maior Melhor",IF(AC352&gt;=AB352,"Sim","Não"),IF(AC352&lt;=AB352,"Sim","Não")))</f>
        <v/>
      </c>
      <c r="AF352" s="3"/>
      <c r="AG352" s="3"/>
      <c r="AH352" s="4" t="str">
        <f aca="false">IF(OR(AF352="",AG352=""),"",IFERROR(IF($K352="%",AG352-AF352,AG352/AF352-1),""))</f>
        <v/>
      </c>
      <c r="AI352" s="5" t="str">
        <f aca="false">IF(OR(AF352="",AG352=""),"",IF($F352="Maior Melhor",IF(AG352&gt;=AF352,"Sim","Não"),IF(AG352&lt;=AF352,"Sim","Não")))</f>
        <v/>
      </c>
      <c r="AJ352" s="3"/>
      <c r="AK352" s="3"/>
      <c r="AL352" s="4" t="str">
        <f aca="false">IF(OR(AJ352="",AK352=""),"",IFERROR(IF($K352="%",AK352-AJ352,AK352/AJ352-1),""))</f>
        <v/>
      </c>
      <c r="AM352" s="5" t="str">
        <f aca="false">IF(OR(AJ352="",AK352=""),"",IF($F352="Maior Melhor",IF(AK352&gt;=AJ352,"Sim","Não"),IF(AK352&lt;=AJ352,"Sim","Não")))</f>
        <v/>
      </c>
      <c r="AN352" s="3"/>
      <c r="AO352" s="3"/>
      <c r="AP352" s="4" t="str">
        <f aca="false">IF(OR(AN352="",AO352=""),"",IFERROR(IF($K352="%",AO352-AN352,AO352/AN352-1),""))</f>
        <v/>
      </c>
      <c r="AQ352" s="5" t="str">
        <f aca="false">IF(OR(AN352="",AO352=""),"",IF($F352="Maior Melhor",IF(AO352&gt;=AN352,"Sim","Não"),IF(AO352&lt;=AN352,"Sim","Não")))</f>
        <v/>
      </c>
      <c r="AR352" s="3"/>
      <c r="AS352" s="3"/>
      <c r="AT352" s="4" t="str">
        <f aca="false">IF(OR(AR352="",AS352=""),"",IFERROR(IF($K352="%",AS352-AR352,AS352/AR352-1),""))</f>
        <v/>
      </c>
      <c r="AU352" s="5" t="str">
        <f aca="false">IF(OR(AR352="",AS352=""),"",IF($F352="Maior Melhor",IF(AS352&gt;=AR352,"Sim","Não"),IF(AS352&lt;=AR352,"Sim","Não")))</f>
        <v/>
      </c>
      <c r="AV352" s="3"/>
      <c r="AW352" s="3"/>
      <c r="AX352" s="4" t="str">
        <f aca="false">IF(OR(AV352="",AW352=""),"",IFERROR(IF($K352="%",AW352-AV352,AW352/AV352-1),""))</f>
        <v/>
      </c>
      <c r="AY352" s="5" t="str">
        <f aca="false">IF(OR(AV352="",AW352=""),"",IF($F352="Maior Melhor",IF(AW352&gt;=AV352,"Sim","Não"),IF(AW352&lt;=AV352,"Sim","Não")))</f>
        <v/>
      </c>
      <c r="AZ352" s="3"/>
      <c r="BA352" s="3"/>
      <c r="BB352" s="4" t="str">
        <f aca="false">IF(OR(AZ352="",BA352=""),"",IFERROR(IF($K352="%",BA352-AZ352,BA352/AZ352-1),""))</f>
        <v/>
      </c>
      <c r="BC352" s="5" t="str">
        <f aca="false">IF(OR(AZ352="",BA352=""),"",IF($F352="Maior Melhor",IF(BA352&gt;=AZ352,"Sim","Não"),IF(BA352&lt;=AZ352,"Sim","Não")))</f>
        <v/>
      </c>
      <c r="BD352" s="3"/>
      <c r="BE352" s="3"/>
      <c r="BF352" s="4" t="str">
        <f aca="false">IF(OR(BD352="",BE352=""),"",IFERROR(IF($K352="%",BE352-BD352,BE352/BD352-1),""))</f>
        <v/>
      </c>
      <c r="BG352" s="5" t="str">
        <f aca="false">IF(OR(BD352="",BE352=""),"",IF($F352="Maior Melhor",IF(BE352&gt;=BD352,"Sim","Não"),IF(BE352&lt;=BD352,"Sim","Não")))</f>
        <v/>
      </c>
      <c r="BH352" s="3"/>
      <c r="BI352" s="3"/>
      <c r="BJ352" s="4" t="str">
        <f aca="false">IF(OR(BH352="",BI352=""),"",IFERROR(IF($K352="%",BI352-BH352,BI352/BH352-1),""))</f>
        <v/>
      </c>
      <c r="BK352" s="5" t="str">
        <f aca="false">IF(OR(BH352="",BI352=""),"",IF($F352="Maior Melhor",IF(BI352&gt;=BH352,"Sim","Não"),IF(BI352&lt;=BH352,"Sim","Não")))</f>
        <v/>
      </c>
      <c r="BL352" s="6"/>
      <c r="BM352" s="6"/>
      <c r="BN352" s="4" t="str">
        <f aca="false">IF(OR(BL352="",BM352=""),"",IFERROR(IF($K352="%",BM352-BL352,BM352/BL352-1),""))</f>
        <v/>
      </c>
      <c r="BO352" s="5" t="str">
        <f aca="false">IF(OR(BL352="",BM352=""),"",IF($F352="Maior Melhor",IF(BM352&gt;=BL352,"Sim","Não"),IF(BM352&lt;=BL352,"Sim","Não")))</f>
        <v/>
      </c>
      <c r="BP352" s="6"/>
      <c r="BQ352" s="6"/>
      <c r="BR352" s="4" t="str">
        <f aca="false">IF(OR(BP352="",BQ352=""),"",IFERROR(IF($K352="%",BQ352-BP352,BQ352/BP352-1),""))</f>
        <v/>
      </c>
      <c r="BS352" s="5" t="str">
        <f aca="false">IF(OR(BP352="",BQ352=""),"",IF($F352="Maior Melhor",IF(BQ352&gt;=BP352,"Sim","Não"),IF(BQ352&lt;=BP352,"Sim","Não")))</f>
        <v/>
      </c>
      <c r="BT352" s="6"/>
      <c r="BU352" s="6"/>
      <c r="BV352" s="4" t="str">
        <f aca="false">IF(OR(BT352="",BU352=""),"",IFERROR(IF($K352="%",BU352-BT352,BU352/BT352-1),""))</f>
        <v/>
      </c>
      <c r="BW352" s="5" t="str">
        <f aca="false">IF(OR(BT352="",BU352=""),"",IF($F352="Maior Melhor",IF(BU352&gt;=BT352,"Sim","Não"),IF(BU352&lt;=BT352,"Sim","Não")))</f>
        <v/>
      </c>
      <c r="BX352" s="6"/>
      <c r="BY352" s="6"/>
      <c r="BZ352" s="4" t="str">
        <f aca="false">IF(OR(BX352="",BY352=""),"",IFERROR(IF($K352="%",BY352-BX352,BY352/BX352-1),""))</f>
        <v/>
      </c>
      <c r="CA352" s="5" t="str">
        <f aca="false">IF(OR(BX352="",BY352=""),"",IF($F352="Maior Melhor",IF(BY352&gt;=BX352,"Sim","Não"),IF(BY352&lt;=BX352,"Sim","Não")))</f>
        <v/>
      </c>
      <c r="CB352" s="6"/>
      <c r="CC352" s="6"/>
      <c r="CD352" s="4" t="str">
        <f aca="false">IF(OR(CB352="",CC352=""),"",IFERROR(IF($K352="%",CC352-CB352,CC352/CB352-1),""))</f>
        <v/>
      </c>
      <c r="CE352" s="5" t="str">
        <f aca="false">IF(OR(CB352="",CC352=""),"",IF($F352="Maior Melhor",IF(CC352&gt;=CB352,"Sim","Não"),IF(CC352&lt;=CB352,"Sim","Não")))</f>
        <v/>
      </c>
      <c r="CF352" s="6"/>
      <c r="CG352" s="6"/>
      <c r="CH352" s="4" t="str">
        <f aca="false">IF(OR(CF352="",CG352=""),"",IFERROR(IF($K352="%",CG352-CF352,CG352/CF352-1),""))</f>
        <v/>
      </c>
      <c r="CI352" s="5" t="str">
        <f aca="false">IF(OR(CF352="",CG352=""),"",IF($F352="Maior Melhor",IF(CG352&gt;=CF352,"Sim","Não"),IF(CG352&lt;=CF352,"Sim","Não")))</f>
        <v/>
      </c>
      <c r="CJ352" s="6"/>
      <c r="CK352" s="6"/>
      <c r="CL352" s="4" t="str">
        <f aca="false">IF(OR(CJ352="",CK352=""),"",IFERROR(IF($K352="%",CK352-CJ352,CK352/CJ352-1),""))</f>
        <v/>
      </c>
      <c r="CM352" s="5" t="str">
        <f aca="false">IF(OR(CJ352="",CK352=""),"",IF($F352="Maior Melhor",IF(CK352&gt;=CJ352,"Sim","Não"),IF(CK352&lt;=CJ352,"Sim","Não")))</f>
        <v/>
      </c>
      <c r="CN352" s="6"/>
      <c r="CO352" s="6"/>
      <c r="CP352" s="4" t="str">
        <f aca="false">IF(OR(CN352="",CO352=""),"",IFERROR(IF($K352="%",CO352-CN352,CO352/CN352-1),""))</f>
        <v/>
      </c>
      <c r="CQ352" s="5" t="str">
        <f aca="false">IF(OR(CN352="",CO352=""),"",IF($F352="Maior Melhor",IF(CO352&gt;=CN352,"Sim","Não"),IF(CO352&lt;=CN352,"Sim","Não")))</f>
        <v/>
      </c>
      <c r="CR352" s="2" t="s">
        <v>134</v>
      </c>
    </row>
    <row r="353" customFormat="false" ht="15" hidden="false" customHeight="false" outlineLevel="0" collapsed="false">
      <c r="A353" s="2" t="s">
        <v>96</v>
      </c>
      <c r="B353" s="2" t="s">
        <v>97</v>
      </c>
      <c r="C353" s="2" t="s">
        <v>121</v>
      </c>
      <c r="D353" s="2" t="s">
        <v>202</v>
      </c>
      <c r="E353" s="2" t="str">
        <f aca="false">C353&amp;D353</f>
        <v>UTD IRECÊServiço atendido no prazo* (Eficácia do Plano de Manutenção)</v>
      </c>
      <c r="F353" s="2" t="s">
        <v>100</v>
      </c>
      <c r="G353" s="2" t="s">
        <v>203</v>
      </c>
      <c r="H353" s="2" t="s">
        <v>102</v>
      </c>
      <c r="I353" s="2" t="s">
        <v>103</v>
      </c>
      <c r="J353" s="2" t="n">
        <v>0</v>
      </c>
      <c r="K353" s="2" t="s">
        <v>104</v>
      </c>
      <c r="L353" s="3"/>
      <c r="M353" s="3"/>
      <c r="N353" s="4" t="str">
        <f aca="false">IF(OR(L353="",M353=""),"",IFERROR(IF($K353="%",M353-L353,M353/L353-1),""))</f>
        <v/>
      </c>
      <c r="O353" s="5" t="str">
        <f aca="false">IF(OR(L353="",M353=""),"",IF($F353="Maior Melhor",IF(M353&gt;=L353,"Sim","Não"),IF(M353&lt;=L353,"Sim","Não")))</f>
        <v/>
      </c>
      <c r="P353" s="3"/>
      <c r="Q353" s="3"/>
      <c r="R353" s="4" t="str">
        <f aca="false">IF(OR(P353="",Q353=""),"",IFERROR(IF($K353="%",Q353-P353,Q353/P353-1),""))</f>
        <v/>
      </c>
      <c r="S353" s="5" t="str">
        <f aca="false">IF(OR(P353="",Q353=""),"",IF($F353="Maior Melhor",IF(Q353&gt;=P353,"Sim","Não"),IF(Q353&lt;=P353,"Sim","Não")))</f>
        <v/>
      </c>
      <c r="T353" s="3"/>
      <c r="U353" s="3"/>
      <c r="V353" s="4" t="str">
        <f aca="false">IF(OR(T353="",U353=""),"",IFERROR(IF($K353="%",U353-T353,U353/T353-1),""))</f>
        <v/>
      </c>
      <c r="W353" s="5" t="str">
        <f aca="false">IF(OR(T353="",U353=""),"",IF($F353="Maior Melhor",IF(U353&gt;=T353,"Sim","Não"),IF(U353&lt;=T353,"Sim","Não")))</f>
        <v/>
      </c>
      <c r="X353" s="3"/>
      <c r="Y353" s="3"/>
      <c r="Z353" s="4" t="str">
        <f aca="false">IF(OR(X353="",Y353=""),"",IFERROR(IF($K353="%",Y353-X353,Y353/X353-1),""))</f>
        <v/>
      </c>
      <c r="AA353" s="5" t="str">
        <f aca="false">IF(OR(X353="",Y353=""),"",IF($F353="Maior Melhor",IF(Y353&gt;=X353,"Sim","Não"),IF(Y353&lt;=X353,"Sim","Não")))</f>
        <v/>
      </c>
      <c r="AB353" s="3"/>
      <c r="AC353" s="3"/>
      <c r="AD353" s="4" t="str">
        <f aca="false">IF(OR(AB353="",AC353=""),"",IFERROR(IF($K353="%",AC353-AB353,AC353/AB353-1),""))</f>
        <v/>
      </c>
      <c r="AE353" s="5" t="str">
        <f aca="false">IF(OR(AB353="",AC353=""),"",IF($F353="Maior Melhor",IF(AC353&gt;=AB353,"Sim","Não"),IF(AC353&lt;=AB353,"Sim","Não")))</f>
        <v/>
      </c>
      <c r="AF353" s="3"/>
      <c r="AG353" s="3"/>
      <c r="AH353" s="4" t="str">
        <f aca="false">IF(OR(AF353="",AG353=""),"",IFERROR(IF($K353="%",AG353-AF353,AG353/AF353-1),""))</f>
        <v/>
      </c>
      <c r="AI353" s="5" t="str">
        <f aca="false">IF(OR(AF353="",AG353=""),"",IF($F353="Maior Melhor",IF(AG353&gt;=AF353,"Sim","Não"),IF(AG353&lt;=AF353,"Sim","Não")))</f>
        <v/>
      </c>
      <c r="AJ353" s="3"/>
      <c r="AK353" s="3"/>
      <c r="AL353" s="4" t="str">
        <f aca="false">IF(OR(AJ353="",AK353=""),"",IFERROR(IF($K353="%",AK353-AJ353,AK353/AJ353-1),""))</f>
        <v/>
      </c>
      <c r="AM353" s="5" t="str">
        <f aca="false">IF(OR(AJ353="",AK353=""),"",IF($F353="Maior Melhor",IF(AK353&gt;=AJ353,"Sim","Não"),IF(AK353&lt;=AJ353,"Sim","Não")))</f>
        <v/>
      </c>
      <c r="AN353" s="3"/>
      <c r="AO353" s="3"/>
      <c r="AP353" s="4" t="str">
        <f aca="false">IF(OR(AN353="",AO353=""),"",IFERROR(IF($K353="%",AO353-AN353,AO353/AN353-1),""))</f>
        <v/>
      </c>
      <c r="AQ353" s="5" t="str">
        <f aca="false">IF(OR(AN353="",AO353=""),"",IF($F353="Maior Melhor",IF(AO353&gt;=AN353,"Sim","Não"),IF(AO353&lt;=AN353,"Sim","Não")))</f>
        <v/>
      </c>
      <c r="AR353" s="3"/>
      <c r="AS353" s="3"/>
      <c r="AT353" s="4" t="str">
        <f aca="false">IF(OR(AR353="",AS353=""),"",IFERROR(IF($K353="%",AS353-AR353,AS353/AR353-1),""))</f>
        <v/>
      </c>
      <c r="AU353" s="5" t="str">
        <f aca="false">IF(OR(AR353="",AS353=""),"",IF($F353="Maior Melhor",IF(AS353&gt;=AR353,"Sim","Não"),IF(AS353&lt;=AR353,"Sim","Não")))</f>
        <v/>
      </c>
      <c r="AV353" s="3"/>
      <c r="AW353" s="3"/>
      <c r="AX353" s="4" t="str">
        <f aca="false">IF(OR(AV353="",AW353=""),"",IFERROR(IF($K353="%",AW353-AV353,AW353/AV353-1),""))</f>
        <v/>
      </c>
      <c r="AY353" s="5" t="str">
        <f aca="false">IF(OR(AV353="",AW353=""),"",IF($F353="Maior Melhor",IF(AW353&gt;=AV353,"Sim","Não"),IF(AW353&lt;=AV353,"Sim","Não")))</f>
        <v/>
      </c>
      <c r="AZ353" s="3"/>
      <c r="BA353" s="3"/>
      <c r="BB353" s="4" t="str">
        <f aca="false">IF(OR(AZ353="",BA353=""),"",IFERROR(IF($K353="%",BA353-AZ353,BA353/AZ353-1),""))</f>
        <v/>
      </c>
      <c r="BC353" s="5" t="str">
        <f aca="false">IF(OR(AZ353="",BA353=""),"",IF($F353="Maior Melhor",IF(BA353&gt;=AZ353,"Sim","Não"),IF(BA353&lt;=AZ353,"Sim","Não")))</f>
        <v/>
      </c>
      <c r="BD353" s="3"/>
      <c r="BE353" s="3"/>
      <c r="BF353" s="4" t="str">
        <f aca="false">IF(OR(BD353="",BE353=""),"",IFERROR(IF($K353="%",BE353-BD353,BE353/BD353-1),""))</f>
        <v/>
      </c>
      <c r="BG353" s="5" t="str">
        <f aca="false">IF(OR(BD353="",BE353=""),"",IF($F353="Maior Melhor",IF(BE353&gt;=BD353,"Sim","Não"),IF(BE353&lt;=BD353,"Sim","Não")))</f>
        <v/>
      </c>
      <c r="BH353" s="3"/>
      <c r="BI353" s="3"/>
      <c r="BJ353" s="4" t="str">
        <f aca="false">IF(OR(BH353="",BI353=""),"",IFERROR(IF($K353="%",BI353-BH353,BI353/BH353-1),""))</f>
        <v/>
      </c>
      <c r="BK353" s="5" t="str">
        <f aca="false">IF(OR(BH353="",BI353=""),"",IF($F353="Maior Melhor",IF(BI353&gt;=BH353,"Sim","Não"),IF(BI353&lt;=BH353,"Sim","Não")))</f>
        <v/>
      </c>
      <c r="BL353" s="6"/>
      <c r="BM353" s="6"/>
      <c r="BN353" s="4" t="str">
        <f aca="false">IF(OR(BL353="",BM353=""),"",IFERROR(IF($K353="%",BM353-BL353,BM353/BL353-1),""))</f>
        <v/>
      </c>
      <c r="BO353" s="5" t="str">
        <f aca="false">IF(OR(BL353="",BM353=""),"",IF($F353="Maior Melhor",IF(BM353&gt;=BL353,"Sim","Não"),IF(BM353&lt;=BL353,"Sim","Não")))</f>
        <v/>
      </c>
      <c r="BP353" s="6"/>
      <c r="BQ353" s="6"/>
      <c r="BR353" s="4" t="str">
        <f aca="false">IF(OR(BP353="",BQ353=""),"",IFERROR(IF($K353="%",BQ353-BP353,BQ353/BP353-1),""))</f>
        <v/>
      </c>
      <c r="BS353" s="5" t="str">
        <f aca="false">IF(OR(BP353="",BQ353=""),"",IF($F353="Maior Melhor",IF(BQ353&gt;=BP353,"Sim","Não"),IF(BQ353&lt;=BP353,"Sim","Não")))</f>
        <v/>
      </c>
      <c r="BT353" s="6"/>
      <c r="BU353" s="6"/>
      <c r="BV353" s="4" t="str">
        <f aca="false">IF(OR(BT353="",BU353=""),"",IFERROR(IF($K353="%",BU353-BT353,BU353/BT353-1),""))</f>
        <v/>
      </c>
      <c r="BW353" s="5" t="str">
        <f aca="false">IF(OR(BT353="",BU353=""),"",IF($F353="Maior Melhor",IF(BU353&gt;=BT353,"Sim","Não"),IF(BU353&lt;=BT353,"Sim","Não")))</f>
        <v/>
      </c>
      <c r="BX353" s="6"/>
      <c r="BY353" s="6"/>
      <c r="BZ353" s="4" t="str">
        <f aca="false">IF(OR(BX353="",BY353=""),"",IFERROR(IF($K353="%",BY353-BX353,BY353/BX353-1),""))</f>
        <v/>
      </c>
      <c r="CA353" s="5" t="str">
        <f aca="false">IF(OR(BX353="",BY353=""),"",IF($F353="Maior Melhor",IF(BY353&gt;=BX353,"Sim","Não"),IF(BY353&lt;=BX353,"Sim","Não")))</f>
        <v/>
      </c>
      <c r="CB353" s="6"/>
      <c r="CC353" s="6"/>
      <c r="CD353" s="4" t="str">
        <f aca="false">IF(OR(CB353="",CC353=""),"",IFERROR(IF($K353="%",CC353-CB353,CC353/CB353-1),""))</f>
        <v/>
      </c>
      <c r="CE353" s="5" t="str">
        <f aca="false">IF(OR(CB353="",CC353=""),"",IF($F353="Maior Melhor",IF(CC353&gt;=CB353,"Sim","Não"),IF(CC353&lt;=CB353,"Sim","Não")))</f>
        <v/>
      </c>
      <c r="CF353" s="6"/>
      <c r="CG353" s="6"/>
      <c r="CH353" s="4" t="str">
        <f aca="false">IF(OR(CF353="",CG353=""),"",IFERROR(IF($K353="%",CG353-CF353,CG353/CF353-1),""))</f>
        <v/>
      </c>
      <c r="CI353" s="5" t="str">
        <f aca="false">IF(OR(CF353="",CG353=""),"",IF($F353="Maior Melhor",IF(CG353&gt;=CF353,"Sim","Não"),IF(CG353&lt;=CF353,"Sim","Não")))</f>
        <v/>
      </c>
      <c r="CJ353" s="6"/>
      <c r="CK353" s="6"/>
      <c r="CL353" s="4" t="str">
        <f aca="false">IF(OR(CJ353="",CK353=""),"",IFERROR(IF($K353="%",CK353-CJ353,CK353/CJ353-1),""))</f>
        <v/>
      </c>
      <c r="CM353" s="5" t="str">
        <f aca="false">IF(OR(CJ353="",CK353=""),"",IF($F353="Maior Melhor",IF(CK353&gt;=CJ353,"Sim","Não"),IF(CK353&lt;=CJ353,"Sim","Não")))</f>
        <v/>
      </c>
      <c r="CN353" s="6"/>
      <c r="CO353" s="6"/>
      <c r="CP353" s="4" t="str">
        <f aca="false">IF(OR(CN353="",CO353=""),"",IFERROR(IF($K353="%",CO353-CN353,CO353/CN353-1),""))</f>
        <v/>
      </c>
      <c r="CQ353" s="5" t="str">
        <f aca="false">IF(OR(CN353="",CO353=""),"",IF($F353="Maior Melhor",IF(CO353&gt;=CN353,"Sim","Não"),IF(CO353&lt;=CN353,"Sim","Não")))</f>
        <v/>
      </c>
      <c r="CR353" s="2" t="s">
        <v>105</v>
      </c>
    </row>
    <row r="354" customFormat="false" ht="15" hidden="false" customHeight="false" outlineLevel="0" collapsed="false">
      <c r="A354" s="2" t="s">
        <v>96</v>
      </c>
      <c r="B354" s="2" t="s">
        <v>97</v>
      </c>
      <c r="C354" s="2" t="s">
        <v>122</v>
      </c>
      <c r="D354" s="2" t="s">
        <v>202</v>
      </c>
      <c r="E354" s="2" t="str">
        <f aca="false">C354&amp;D354</f>
        <v>UTD ITABERABAServiço atendido no prazo* (Eficácia do Plano de Manutenção)</v>
      </c>
      <c r="F354" s="2" t="s">
        <v>100</v>
      </c>
      <c r="G354" s="2" t="s">
        <v>203</v>
      </c>
      <c r="H354" s="2" t="s">
        <v>102</v>
      </c>
      <c r="I354" s="2" t="s">
        <v>103</v>
      </c>
      <c r="J354" s="2" t="n">
        <v>0</v>
      </c>
      <c r="K354" s="2" t="s">
        <v>104</v>
      </c>
      <c r="L354" s="3"/>
      <c r="M354" s="3"/>
      <c r="N354" s="4" t="str">
        <f aca="false">IF(OR(L354="",M354=""),"",IFERROR(IF($K354="%",M354-L354,M354/L354-1),""))</f>
        <v/>
      </c>
      <c r="O354" s="5" t="str">
        <f aca="false">IF(OR(L354="",M354=""),"",IF($F354="Maior Melhor",IF(M354&gt;=L354,"Sim","Não"),IF(M354&lt;=L354,"Sim","Não")))</f>
        <v/>
      </c>
      <c r="P354" s="3"/>
      <c r="Q354" s="3"/>
      <c r="R354" s="4" t="str">
        <f aca="false">IF(OR(P354="",Q354=""),"",IFERROR(IF($K354="%",Q354-P354,Q354/P354-1),""))</f>
        <v/>
      </c>
      <c r="S354" s="5" t="str">
        <f aca="false">IF(OR(P354="",Q354=""),"",IF($F354="Maior Melhor",IF(Q354&gt;=P354,"Sim","Não"),IF(Q354&lt;=P354,"Sim","Não")))</f>
        <v/>
      </c>
      <c r="T354" s="3"/>
      <c r="U354" s="3"/>
      <c r="V354" s="4" t="str">
        <f aca="false">IF(OR(T354="",U354=""),"",IFERROR(IF($K354="%",U354-T354,U354/T354-1),""))</f>
        <v/>
      </c>
      <c r="W354" s="5" t="str">
        <f aca="false">IF(OR(T354="",U354=""),"",IF($F354="Maior Melhor",IF(U354&gt;=T354,"Sim","Não"),IF(U354&lt;=T354,"Sim","Não")))</f>
        <v/>
      </c>
      <c r="X354" s="3"/>
      <c r="Y354" s="3"/>
      <c r="Z354" s="4" t="str">
        <f aca="false">IF(OR(X354="",Y354=""),"",IFERROR(IF($K354="%",Y354-X354,Y354/X354-1),""))</f>
        <v/>
      </c>
      <c r="AA354" s="5" t="str">
        <f aca="false">IF(OR(X354="",Y354=""),"",IF($F354="Maior Melhor",IF(Y354&gt;=X354,"Sim","Não"),IF(Y354&lt;=X354,"Sim","Não")))</f>
        <v/>
      </c>
      <c r="AB354" s="3"/>
      <c r="AC354" s="3"/>
      <c r="AD354" s="4" t="str">
        <f aca="false">IF(OR(AB354="",AC354=""),"",IFERROR(IF($K354="%",AC354-AB354,AC354/AB354-1),""))</f>
        <v/>
      </c>
      <c r="AE354" s="5" t="str">
        <f aca="false">IF(OR(AB354="",AC354=""),"",IF($F354="Maior Melhor",IF(AC354&gt;=AB354,"Sim","Não"),IF(AC354&lt;=AB354,"Sim","Não")))</f>
        <v/>
      </c>
      <c r="AF354" s="3"/>
      <c r="AG354" s="3"/>
      <c r="AH354" s="4" t="str">
        <f aca="false">IF(OR(AF354="",AG354=""),"",IFERROR(IF($K354="%",AG354-AF354,AG354/AF354-1),""))</f>
        <v/>
      </c>
      <c r="AI354" s="5" t="str">
        <f aca="false">IF(OR(AF354="",AG354=""),"",IF($F354="Maior Melhor",IF(AG354&gt;=AF354,"Sim","Não"),IF(AG354&lt;=AF354,"Sim","Não")))</f>
        <v/>
      </c>
      <c r="AJ354" s="3"/>
      <c r="AK354" s="3"/>
      <c r="AL354" s="4" t="str">
        <f aca="false">IF(OR(AJ354="",AK354=""),"",IFERROR(IF($K354="%",AK354-AJ354,AK354/AJ354-1),""))</f>
        <v/>
      </c>
      <c r="AM354" s="5" t="str">
        <f aca="false">IF(OR(AJ354="",AK354=""),"",IF($F354="Maior Melhor",IF(AK354&gt;=AJ354,"Sim","Não"),IF(AK354&lt;=AJ354,"Sim","Não")))</f>
        <v/>
      </c>
      <c r="AN354" s="3"/>
      <c r="AO354" s="3"/>
      <c r="AP354" s="4" t="str">
        <f aca="false">IF(OR(AN354="",AO354=""),"",IFERROR(IF($K354="%",AO354-AN354,AO354/AN354-1),""))</f>
        <v/>
      </c>
      <c r="AQ354" s="5" t="str">
        <f aca="false">IF(OR(AN354="",AO354=""),"",IF($F354="Maior Melhor",IF(AO354&gt;=AN354,"Sim","Não"),IF(AO354&lt;=AN354,"Sim","Não")))</f>
        <v/>
      </c>
      <c r="AR354" s="3"/>
      <c r="AS354" s="3"/>
      <c r="AT354" s="4" t="str">
        <f aca="false">IF(OR(AR354="",AS354=""),"",IFERROR(IF($K354="%",AS354-AR354,AS354/AR354-1),""))</f>
        <v/>
      </c>
      <c r="AU354" s="5" t="str">
        <f aca="false">IF(OR(AR354="",AS354=""),"",IF($F354="Maior Melhor",IF(AS354&gt;=AR354,"Sim","Não"),IF(AS354&lt;=AR354,"Sim","Não")))</f>
        <v/>
      </c>
      <c r="AV354" s="3"/>
      <c r="AW354" s="3"/>
      <c r="AX354" s="4" t="str">
        <f aca="false">IF(OR(AV354="",AW354=""),"",IFERROR(IF($K354="%",AW354-AV354,AW354/AV354-1),""))</f>
        <v/>
      </c>
      <c r="AY354" s="5" t="str">
        <f aca="false">IF(OR(AV354="",AW354=""),"",IF($F354="Maior Melhor",IF(AW354&gt;=AV354,"Sim","Não"),IF(AW354&lt;=AV354,"Sim","Não")))</f>
        <v/>
      </c>
      <c r="AZ354" s="3"/>
      <c r="BA354" s="3"/>
      <c r="BB354" s="4" t="str">
        <f aca="false">IF(OR(AZ354="",BA354=""),"",IFERROR(IF($K354="%",BA354-AZ354,BA354/AZ354-1),""))</f>
        <v/>
      </c>
      <c r="BC354" s="5" t="str">
        <f aca="false">IF(OR(AZ354="",BA354=""),"",IF($F354="Maior Melhor",IF(BA354&gt;=AZ354,"Sim","Não"),IF(BA354&lt;=AZ354,"Sim","Não")))</f>
        <v/>
      </c>
      <c r="BD354" s="3"/>
      <c r="BE354" s="3"/>
      <c r="BF354" s="4" t="str">
        <f aca="false">IF(OR(BD354="",BE354=""),"",IFERROR(IF($K354="%",BE354-BD354,BE354/BD354-1),""))</f>
        <v/>
      </c>
      <c r="BG354" s="5" t="str">
        <f aca="false">IF(OR(BD354="",BE354=""),"",IF($F354="Maior Melhor",IF(BE354&gt;=BD354,"Sim","Não"),IF(BE354&lt;=BD354,"Sim","Não")))</f>
        <v/>
      </c>
      <c r="BH354" s="3"/>
      <c r="BI354" s="3"/>
      <c r="BJ354" s="4" t="str">
        <f aca="false">IF(OR(BH354="",BI354=""),"",IFERROR(IF($K354="%",BI354-BH354,BI354/BH354-1),""))</f>
        <v/>
      </c>
      <c r="BK354" s="5" t="str">
        <f aca="false">IF(OR(BH354="",BI354=""),"",IF($F354="Maior Melhor",IF(BI354&gt;=BH354,"Sim","Não"),IF(BI354&lt;=BH354,"Sim","Não")))</f>
        <v/>
      </c>
      <c r="BL354" s="6"/>
      <c r="BM354" s="6"/>
      <c r="BN354" s="4" t="str">
        <f aca="false">IF(OR(BL354="",BM354=""),"",IFERROR(IF($K354="%",BM354-BL354,BM354/BL354-1),""))</f>
        <v/>
      </c>
      <c r="BO354" s="5" t="str">
        <f aca="false">IF(OR(BL354="",BM354=""),"",IF($F354="Maior Melhor",IF(BM354&gt;=BL354,"Sim","Não"),IF(BM354&lt;=BL354,"Sim","Não")))</f>
        <v/>
      </c>
      <c r="BP354" s="6"/>
      <c r="BQ354" s="6"/>
      <c r="BR354" s="4" t="str">
        <f aca="false">IF(OR(BP354="",BQ354=""),"",IFERROR(IF($K354="%",BQ354-BP354,BQ354/BP354-1),""))</f>
        <v/>
      </c>
      <c r="BS354" s="5" t="str">
        <f aca="false">IF(OR(BP354="",BQ354=""),"",IF($F354="Maior Melhor",IF(BQ354&gt;=BP354,"Sim","Não"),IF(BQ354&lt;=BP354,"Sim","Não")))</f>
        <v/>
      </c>
      <c r="BT354" s="6"/>
      <c r="BU354" s="6"/>
      <c r="BV354" s="4" t="str">
        <f aca="false">IF(OR(BT354="",BU354=""),"",IFERROR(IF($K354="%",BU354-BT354,BU354/BT354-1),""))</f>
        <v/>
      </c>
      <c r="BW354" s="5" t="str">
        <f aca="false">IF(OR(BT354="",BU354=""),"",IF($F354="Maior Melhor",IF(BU354&gt;=BT354,"Sim","Não"),IF(BU354&lt;=BT354,"Sim","Não")))</f>
        <v/>
      </c>
      <c r="BX354" s="6"/>
      <c r="BY354" s="6"/>
      <c r="BZ354" s="4" t="str">
        <f aca="false">IF(OR(BX354="",BY354=""),"",IFERROR(IF($K354="%",BY354-BX354,BY354/BX354-1),""))</f>
        <v/>
      </c>
      <c r="CA354" s="5" t="str">
        <f aca="false">IF(OR(BX354="",BY354=""),"",IF($F354="Maior Melhor",IF(BY354&gt;=BX354,"Sim","Não"),IF(BY354&lt;=BX354,"Sim","Não")))</f>
        <v/>
      </c>
      <c r="CB354" s="6"/>
      <c r="CC354" s="6"/>
      <c r="CD354" s="4" t="str">
        <f aca="false">IF(OR(CB354="",CC354=""),"",IFERROR(IF($K354="%",CC354-CB354,CC354/CB354-1),""))</f>
        <v/>
      </c>
      <c r="CE354" s="5" t="str">
        <f aca="false">IF(OR(CB354="",CC354=""),"",IF($F354="Maior Melhor",IF(CC354&gt;=CB354,"Sim","Não"),IF(CC354&lt;=CB354,"Sim","Não")))</f>
        <v/>
      </c>
      <c r="CF354" s="6"/>
      <c r="CG354" s="6"/>
      <c r="CH354" s="4" t="str">
        <f aca="false">IF(OR(CF354="",CG354=""),"",IFERROR(IF($K354="%",CG354-CF354,CG354/CF354-1),""))</f>
        <v/>
      </c>
      <c r="CI354" s="5" t="str">
        <f aca="false">IF(OR(CF354="",CG354=""),"",IF($F354="Maior Melhor",IF(CG354&gt;=CF354,"Sim","Não"),IF(CG354&lt;=CF354,"Sim","Não")))</f>
        <v/>
      </c>
      <c r="CJ354" s="6"/>
      <c r="CK354" s="6"/>
      <c r="CL354" s="4" t="str">
        <f aca="false">IF(OR(CJ354="",CK354=""),"",IFERROR(IF($K354="%",CK354-CJ354,CK354/CJ354-1),""))</f>
        <v/>
      </c>
      <c r="CM354" s="5" t="str">
        <f aca="false">IF(OR(CJ354="",CK354=""),"",IF($F354="Maior Melhor",IF(CK354&gt;=CJ354,"Sim","Não"),IF(CK354&lt;=CJ354,"Sim","Não")))</f>
        <v/>
      </c>
      <c r="CN354" s="6"/>
      <c r="CO354" s="6"/>
      <c r="CP354" s="4" t="str">
        <f aca="false">IF(OR(CN354="",CO354=""),"",IFERROR(IF($K354="%",CO354-CN354,CO354/CN354-1),""))</f>
        <v/>
      </c>
      <c r="CQ354" s="5" t="str">
        <f aca="false">IF(OR(CN354="",CO354=""),"",IF($F354="Maior Melhor",IF(CO354&gt;=CN354,"Sim","Não"),IF(CO354&lt;=CN354,"Sim","Não")))</f>
        <v/>
      </c>
      <c r="CR354" s="2" t="s">
        <v>123</v>
      </c>
    </row>
    <row r="355" customFormat="false" ht="15" hidden="false" customHeight="false" outlineLevel="0" collapsed="false">
      <c r="A355" s="2" t="s">
        <v>96</v>
      </c>
      <c r="B355" s="2" t="s">
        <v>108</v>
      </c>
      <c r="C355" s="2" t="s">
        <v>124</v>
      </c>
      <c r="D355" s="2" t="s">
        <v>202</v>
      </c>
      <c r="E355" s="2" t="str">
        <f aca="false">C355&amp;D355</f>
        <v>UTD ITAPETINGAServiço atendido no prazo* (Eficácia do Plano de Manutenção)</v>
      </c>
      <c r="F355" s="2" t="s">
        <v>100</v>
      </c>
      <c r="G355" s="2" t="s">
        <v>203</v>
      </c>
      <c r="H355" s="2" t="s">
        <v>102</v>
      </c>
      <c r="I355" s="2" t="s">
        <v>103</v>
      </c>
      <c r="J355" s="2" t="n">
        <v>0</v>
      </c>
      <c r="K355" s="2" t="s">
        <v>104</v>
      </c>
      <c r="L355" s="3"/>
      <c r="M355" s="3"/>
      <c r="N355" s="4" t="str">
        <f aca="false">IF(OR(L355="",M355=""),"",IFERROR(IF($K355="%",M355-L355,M355/L355-1),""))</f>
        <v/>
      </c>
      <c r="O355" s="5" t="str">
        <f aca="false">IF(OR(L355="",M355=""),"",IF($F355="Maior Melhor",IF(M355&gt;=L355,"Sim","Não"),IF(M355&lt;=L355,"Sim","Não")))</f>
        <v/>
      </c>
      <c r="P355" s="3"/>
      <c r="Q355" s="3"/>
      <c r="R355" s="4" t="str">
        <f aca="false">IF(OR(P355="",Q355=""),"",IFERROR(IF($K355="%",Q355-P355,Q355/P355-1),""))</f>
        <v/>
      </c>
      <c r="S355" s="5" t="str">
        <f aca="false">IF(OR(P355="",Q355=""),"",IF($F355="Maior Melhor",IF(Q355&gt;=P355,"Sim","Não"),IF(Q355&lt;=P355,"Sim","Não")))</f>
        <v/>
      </c>
      <c r="T355" s="3"/>
      <c r="U355" s="3"/>
      <c r="V355" s="4" t="str">
        <f aca="false">IF(OR(T355="",U355=""),"",IFERROR(IF($K355="%",U355-T355,U355/T355-1),""))</f>
        <v/>
      </c>
      <c r="W355" s="5" t="str">
        <f aca="false">IF(OR(T355="",U355=""),"",IF($F355="Maior Melhor",IF(U355&gt;=T355,"Sim","Não"),IF(U355&lt;=T355,"Sim","Não")))</f>
        <v/>
      </c>
      <c r="X355" s="3"/>
      <c r="Y355" s="3"/>
      <c r="Z355" s="4" t="str">
        <f aca="false">IF(OR(X355="",Y355=""),"",IFERROR(IF($K355="%",Y355-X355,Y355/X355-1),""))</f>
        <v/>
      </c>
      <c r="AA355" s="5" t="str">
        <f aca="false">IF(OR(X355="",Y355=""),"",IF($F355="Maior Melhor",IF(Y355&gt;=X355,"Sim","Não"),IF(Y355&lt;=X355,"Sim","Não")))</f>
        <v/>
      </c>
      <c r="AB355" s="3"/>
      <c r="AC355" s="3"/>
      <c r="AD355" s="4" t="str">
        <f aca="false">IF(OR(AB355="",AC355=""),"",IFERROR(IF($K355="%",AC355-AB355,AC355/AB355-1),""))</f>
        <v/>
      </c>
      <c r="AE355" s="5" t="str">
        <f aca="false">IF(OR(AB355="",AC355=""),"",IF($F355="Maior Melhor",IF(AC355&gt;=AB355,"Sim","Não"),IF(AC355&lt;=AB355,"Sim","Não")))</f>
        <v/>
      </c>
      <c r="AF355" s="3"/>
      <c r="AG355" s="3"/>
      <c r="AH355" s="4" t="str">
        <f aca="false">IF(OR(AF355="",AG355=""),"",IFERROR(IF($K355="%",AG355-AF355,AG355/AF355-1),""))</f>
        <v/>
      </c>
      <c r="AI355" s="5" t="str">
        <f aca="false">IF(OR(AF355="",AG355=""),"",IF($F355="Maior Melhor",IF(AG355&gt;=AF355,"Sim","Não"),IF(AG355&lt;=AF355,"Sim","Não")))</f>
        <v/>
      </c>
      <c r="AJ355" s="3"/>
      <c r="AK355" s="3"/>
      <c r="AL355" s="4" t="str">
        <f aca="false">IF(OR(AJ355="",AK355=""),"",IFERROR(IF($K355="%",AK355-AJ355,AK355/AJ355-1),""))</f>
        <v/>
      </c>
      <c r="AM355" s="5" t="str">
        <f aca="false">IF(OR(AJ355="",AK355=""),"",IF($F355="Maior Melhor",IF(AK355&gt;=AJ355,"Sim","Não"),IF(AK355&lt;=AJ355,"Sim","Não")))</f>
        <v/>
      </c>
      <c r="AN355" s="3"/>
      <c r="AO355" s="3"/>
      <c r="AP355" s="4" t="str">
        <f aca="false">IF(OR(AN355="",AO355=""),"",IFERROR(IF($K355="%",AO355-AN355,AO355/AN355-1),""))</f>
        <v/>
      </c>
      <c r="AQ355" s="5" t="str">
        <f aca="false">IF(OR(AN355="",AO355=""),"",IF($F355="Maior Melhor",IF(AO355&gt;=AN355,"Sim","Não"),IF(AO355&lt;=AN355,"Sim","Não")))</f>
        <v/>
      </c>
      <c r="AR355" s="3"/>
      <c r="AS355" s="3"/>
      <c r="AT355" s="4" t="str">
        <f aca="false">IF(OR(AR355="",AS355=""),"",IFERROR(IF($K355="%",AS355-AR355,AS355/AR355-1),""))</f>
        <v/>
      </c>
      <c r="AU355" s="5" t="str">
        <f aca="false">IF(OR(AR355="",AS355=""),"",IF($F355="Maior Melhor",IF(AS355&gt;=AR355,"Sim","Não"),IF(AS355&lt;=AR355,"Sim","Não")))</f>
        <v/>
      </c>
      <c r="AV355" s="3"/>
      <c r="AW355" s="3"/>
      <c r="AX355" s="4" t="str">
        <f aca="false">IF(OR(AV355="",AW355=""),"",IFERROR(IF($K355="%",AW355-AV355,AW355/AV355-1),""))</f>
        <v/>
      </c>
      <c r="AY355" s="5" t="str">
        <f aca="false">IF(OR(AV355="",AW355=""),"",IF($F355="Maior Melhor",IF(AW355&gt;=AV355,"Sim","Não"),IF(AW355&lt;=AV355,"Sim","Não")))</f>
        <v/>
      </c>
      <c r="AZ355" s="3"/>
      <c r="BA355" s="3"/>
      <c r="BB355" s="4" t="str">
        <f aca="false">IF(OR(AZ355="",BA355=""),"",IFERROR(IF($K355="%",BA355-AZ355,BA355/AZ355-1),""))</f>
        <v/>
      </c>
      <c r="BC355" s="5" t="str">
        <f aca="false">IF(OR(AZ355="",BA355=""),"",IF($F355="Maior Melhor",IF(BA355&gt;=AZ355,"Sim","Não"),IF(BA355&lt;=AZ355,"Sim","Não")))</f>
        <v/>
      </c>
      <c r="BD355" s="3"/>
      <c r="BE355" s="3"/>
      <c r="BF355" s="4" t="str">
        <f aca="false">IF(OR(BD355="",BE355=""),"",IFERROR(IF($K355="%",BE355-BD355,BE355/BD355-1),""))</f>
        <v/>
      </c>
      <c r="BG355" s="5" t="str">
        <f aca="false">IF(OR(BD355="",BE355=""),"",IF($F355="Maior Melhor",IF(BE355&gt;=BD355,"Sim","Não"),IF(BE355&lt;=BD355,"Sim","Não")))</f>
        <v/>
      </c>
      <c r="BH355" s="3"/>
      <c r="BI355" s="3"/>
      <c r="BJ355" s="4" t="str">
        <f aca="false">IF(OR(BH355="",BI355=""),"",IFERROR(IF($K355="%",BI355-BH355,BI355/BH355-1),""))</f>
        <v/>
      </c>
      <c r="BK355" s="5" t="str">
        <f aca="false">IF(OR(BH355="",BI355=""),"",IF($F355="Maior Melhor",IF(BI355&gt;=BH355,"Sim","Não"),IF(BI355&lt;=BH355,"Sim","Não")))</f>
        <v/>
      </c>
      <c r="BL355" s="6"/>
      <c r="BM355" s="6"/>
      <c r="BN355" s="4" t="str">
        <f aca="false">IF(OR(BL355="",BM355=""),"",IFERROR(IF($K355="%",BM355-BL355,BM355/BL355-1),""))</f>
        <v/>
      </c>
      <c r="BO355" s="5" t="str">
        <f aca="false">IF(OR(BL355="",BM355=""),"",IF($F355="Maior Melhor",IF(BM355&gt;=BL355,"Sim","Não"),IF(BM355&lt;=BL355,"Sim","Não")))</f>
        <v/>
      </c>
      <c r="BP355" s="6"/>
      <c r="BQ355" s="6"/>
      <c r="BR355" s="4" t="str">
        <f aca="false">IF(OR(BP355="",BQ355=""),"",IFERROR(IF($K355="%",BQ355-BP355,BQ355/BP355-1),""))</f>
        <v/>
      </c>
      <c r="BS355" s="5" t="str">
        <f aca="false">IF(OR(BP355="",BQ355=""),"",IF($F355="Maior Melhor",IF(BQ355&gt;=BP355,"Sim","Não"),IF(BQ355&lt;=BP355,"Sim","Não")))</f>
        <v/>
      </c>
      <c r="BT355" s="6"/>
      <c r="BU355" s="6"/>
      <c r="BV355" s="4" t="str">
        <f aca="false">IF(OR(BT355="",BU355=""),"",IFERROR(IF($K355="%",BU355-BT355,BU355/BT355-1),""))</f>
        <v/>
      </c>
      <c r="BW355" s="5" t="str">
        <f aca="false">IF(OR(BT355="",BU355=""),"",IF($F355="Maior Melhor",IF(BU355&gt;=BT355,"Sim","Não"),IF(BU355&lt;=BT355,"Sim","Não")))</f>
        <v/>
      </c>
      <c r="BX355" s="6"/>
      <c r="BY355" s="6"/>
      <c r="BZ355" s="4" t="str">
        <f aca="false">IF(OR(BX355="",BY355=""),"",IFERROR(IF($K355="%",BY355-BX355,BY355/BX355-1),""))</f>
        <v/>
      </c>
      <c r="CA355" s="5" t="str">
        <f aca="false">IF(OR(BX355="",BY355=""),"",IF($F355="Maior Melhor",IF(BY355&gt;=BX355,"Sim","Não"),IF(BY355&lt;=BX355,"Sim","Não")))</f>
        <v/>
      </c>
      <c r="CB355" s="6"/>
      <c r="CC355" s="6"/>
      <c r="CD355" s="4" t="str">
        <f aca="false">IF(OR(CB355="",CC355=""),"",IFERROR(IF($K355="%",CC355-CB355,CC355/CB355-1),""))</f>
        <v/>
      </c>
      <c r="CE355" s="5" t="str">
        <f aca="false">IF(OR(CB355="",CC355=""),"",IF($F355="Maior Melhor",IF(CC355&gt;=CB355,"Sim","Não"),IF(CC355&lt;=CB355,"Sim","Não")))</f>
        <v/>
      </c>
      <c r="CF355" s="6"/>
      <c r="CG355" s="6"/>
      <c r="CH355" s="4" t="str">
        <f aca="false">IF(OR(CF355="",CG355=""),"",IFERROR(IF($K355="%",CG355-CF355,CG355/CF355-1),""))</f>
        <v/>
      </c>
      <c r="CI355" s="5" t="str">
        <f aca="false">IF(OR(CF355="",CG355=""),"",IF($F355="Maior Melhor",IF(CG355&gt;=CF355,"Sim","Não"),IF(CG355&lt;=CF355,"Sim","Não")))</f>
        <v/>
      </c>
      <c r="CJ355" s="6"/>
      <c r="CK355" s="6"/>
      <c r="CL355" s="4" t="str">
        <f aca="false">IF(OR(CJ355="",CK355=""),"",IFERROR(IF($K355="%",CK355-CJ355,CK355/CJ355-1),""))</f>
        <v/>
      </c>
      <c r="CM355" s="5" t="str">
        <f aca="false">IF(OR(CJ355="",CK355=""),"",IF($F355="Maior Melhor",IF(CK355&gt;=CJ355,"Sim","Não"),IF(CK355&lt;=CJ355,"Sim","Não")))</f>
        <v/>
      </c>
      <c r="CN355" s="6"/>
      <c r="CO355" s="6"/>
      <c r="CP355" s="4" t="str">
        <f aca="false">IF(OR(CN355="",CO355=""),"",IFERROR(IF($K355="%",CO355-CN355,CO355/CN355-1),""))</f>
        <v/>
      </c>
      <c r="CQ355" s="5" t="str">
        <f aca="false">IF(OR(CN355="",CO355=""),"",IF($F355="Maior Melhor",IF(CO355&gt;=CN355,"Sim","Não"),IF(CO355&lt;=CN355,"Sim","Não")))</f>
        <v/>
      </c>
      <c r="CR355" s="2" t="s">
        <v>105</v>
      </c>
    </row>
    <row r="356" customFormat="false" ht="15" hidden="false" customHeight="false" outlineLevel="0" collapsed="false">
      <c r="A356" s="2" t="s">
        <v>96</v>
      </c>
      <c r="B356" s="2" t="s">
        <v>97</v>
      </c>
      <c r="C356" s="2" t="s">
        <v>125</v>
      </c>
      <c r="D356" s="2" t="s">
        <v>202</v>
      </c>
      <c r="E356" s="2" t="str">
        <f aca="false">C356&amp;D356</f>
        <v>UTD JEQUIÉServiço atendido no prazo* (Eficácia do Plano de Manutenção)</v>
      </c>
      <c r="F356" s="2" t="s">
        <v>100</v>
      </c>
      <c r="G356" s="2" t="s">
        <v>203</v>
      </c>
      <c r="H356" s="2" t="s">
        <v>102</v>
      </c>
      <c r="I356" s="2" t="s">
        <v>103</v>
      </c>
      <c r="J356" s="2" t="n">
        <v>0</v>
      </c>
      <c r="K356" s="2" t="s">
        <v>104</v>
      </c>
      <c r="L356" s="3"/>
      <c r="M356" s="3"/>
      <c r="N356" s="4" t="str">
        <f aca="false">IF(OR(L356="",M356=""),"",IFERROR(IF($K356="%",M356-L356,M356/L356-1),""))</f>
        <v/>
      </c>
      <c r="O356" s="5" t="str">
        <f aca="false">IF(OR(L356="",M356=""),"",IF($F356="Maior Melhor",IF(M356&gt;=L356,"Sim","Não"),IF(M356&lt;=L356,"Sim","Não")))</f>
        <v/>
      </c>
      <c r="P356" s="3"/>
      <c r="Q356" s="3"/>
      <c r="R356" s="4" t="str">
        <f aca="false">IF(OR(P356="",Q356=""),"",IFERROR(IF($K356="%",Q356-P356,Q356/P356-1),""))</f>
        <v/>
      </c>
      <c r="S356" s="5" t="str">
        <f aca="false">IF(OR(P356="",Q356=""),"",IF($F356="Maior Melhor",IF(Q356&gt;=P356,"Sim","Não"),IF(Q356&lt;=P356,"Sim","Não")))</f>
        <v/>
      </c>
      <c r="T356" s="3"/>
      <c r="U356" s="3"/>
      <c r="V356" s="4" t="str">
        <f aca="false">IF(OR(T356="",U356=""),"",IFERROR(IF($K356="%",U356-T356,U356/T356-1),""))</f>
        <v/>
      </c>
      <c r="W356" s="5" t="str">
        <f aca="false">IF(OR(T356="",U356=""),"",IF($F356="Maior Melhor",IF(U356&gt;=T356,"Sim","Não"),IF(U356&lt;=T356,"Sim","Não")))</f>
        <v/>
      </c>
      <c r="X356" s="3"/>
      <c r="Y356" s="3"/>
      <c r="Z356" s="4" t="str">
        <f aca="false">IF(OR(X356="",Y356=""),"",IFERROR(IF($K356="%",Y356-X356,Y356/X356-1),""))</f>
        <v/>
      </c>
      <c r="AA356" s="5" t="str">
        <f aca="false">IF(OR(X356="",Y356=""),"",IF($F356="Maior Melhor",IF(Y356&gt;=X356,"Sim","Não"),IF(Y356&lt;=X356,"Sim","Não")))</f>
        <v/>
      </c>
      <c r="AB356" s="3"/>
      <c r="AC356" s="3"/>
      <c r="AD356" s="4" t="str">
        <f aca="false">IF(OR(AB356="",AC356=""),"",IFERROR(IF($K356="%",AC356-AB356,AC356/AB356-1),""))</f>
        <v/>
      </c>
      <c r="AE356" s="5" t="str">
        <f aca="false">IF(OR(AB356="",AC356=""),"",IF($F356="Maior Melhor",IF(AC356&gt;=AB356,"Sim","Não"),IF(AC356&lt;=AB356,"Sim","Não")))</f>
        <v/>
      </c>
      <c r="AF356" s="3"/>
      <c r="AG356" s="3"/>
      <c r="AH356" s="4" t="str">
        <f aca="false">IF(OR(AF356="",AG356=""),"",IFERROR(IF($K356="%",AG356-AF356,AG356/AF356-1),""))</f>
        <v/>
      </c>
      <c r="AI356" s="5" t="str">
        <f aca="false">IF(OR(AF356="",AG356=""),"",IF($F356="Maior Melhor",IF(AG356&gt;=AF356,"Sim","Não"),IF(AG356&lt;=AF356,"Sim","Não")))</f>
        <v/>
      </c>
      <c r="AJ356" s="3"/>
      <c r="AK356" s="3"/>
      <c r="AL356" s="4" t="str">
        <f aca="false">IF(OR(AJ356="",AK356=""),"",IFERROR(IF($K356="%",AK356-AJ356,AK356/AJ356-1),""))</f>
        <v/>
      </c>
      <c r="AM356" s="5" t="str">
        <f aca="false">IF(OR(AJ356="",AK356=""),"",IF($F356="Maior Melhor",IF(AK356&gt;=AJ356,"Sim","Não"),IF(AK356&lt;=AJ356,"Sim","Não")))</f>
        <v/>
      </c>
      <c r="AN356" s="3"/>
      <c r="AO356" s="3"/>
      <c r="AP356" s="4" t="str">
        <f aca="false">IF(OR(AN356="",AO356=""),"",IFERROR(IF($K356="%",AO356-AN356,AO356/AN356-1),""))</f>
        <v/>
      </c>
      <c r="AQ356" s="5" t="str">
        <f aca="false">IF(OR(AN356="",AO356=""),"",IF($F356="Maior Melhor",IF(AO356&gt;=AN356,"Sim","Não"),IF(AO356&lt;=AN356,"Sim","Não")))</f>
        <v/>
      </c>
      <c r="AR356" s="3"/>
      <c r="AS356" s="3"/>
      <c r="AT356" s="4" t="str">
        <f aca="false">IF(OR(AR356="",AS356=""),"",IFERROR(IF($K356="%",AS356-AR356,AS356/AR356-1),""))</f>
        <v/>
      </c>
      <c r="AU356" s="5" t="str">
        <f aca="false">IF(OR(AR356="",AS356=""),"",IF($F356="Maior Melhor",IF(AS356&gt;=AR356,"Sim","Não"),IF(AS356&lt;=AR356,"Sim","Não")))</f>
        <v/>
      </c>
      <c r="AV356" s="3"/>
      <c r="AW356" s="3"/>
      <c r="AX356" s="4" t="str">
        <f aca="false">IF(OR(AV356="",AW356=""),"",IFERROR(IF($K356="%",AW356-AV356,AW356/AV356-1),""))</f>
        <v/>
      </c>
      <c r="AY356" s="5" t="str">
        <f aca="false">IF(OR(AV356="",AW356=""),"",IF($F356="Maior Melhor",IF(AW356&gt;=AV356,"Sim","Não"),IF(AW356&lt;=AV356,"Sim","Não")))</f>
        <v/>
      </c>
      <c r="AZ356" s="3"/>
      <c r="BA356" s="3"/>
      <c r="BB356" s="4" t="str">
        <f aca="false">IF(OR(AZ356="",BA356=""),"",IFERROR(IF($K356="%",BA356-AZ356,BA356/AZ356-1),""))</f>
        <v/>
      </c>
      <c r="BC356" s="5" t="str">
        <f aca="false">IF(OR(AZ356="",BA356=""),"",IF($F356="Maior Melhor",IF(BA356&gt;=AZ356,"Sim","Não"),IF(BA356&lt;=AZ356,"Sim","Não")))</f>
        <v/>
      </c>
      <c r="BD356" s="3"/>
      <c r="BE356" s="3"/>
      <c r="BF356" s="4" t="str">
        <f aca="false">IF(OR(BD356="",BE356=""),"",IFERROR(IF($K356="%",BE356-BD356,BE356/BD356-1),""))</f>
        <v/>
      </c>
      <c r="BG356" s="5" t="str">
        <f aca="false">IF(OR(BD356="",BE356=""),"",IF($F356="Maior Melhor",IF(BE356&gt;=BD356,"Sim","Não"),IF(BE356&lt;=BD356,"Sim","Não")))</f>
        <v/>
      </c>
      <c r="BH356" s="3"/>
      <c r="BI356" s="3"/>
      <c r="BJ356" s="4" t="str">
        <f aca="false">IF(OR(BH356="",BI356=""),"",IFERROR(IF($K356="%",BI356-BH356,BI356/BH356-1),""))</f>
        <v/>
      </c>
      <c r="BK356" s="5" t="str">
        <f aca="false">IF(OR(BH356="",BI356=""),"",IF($F356="Maior Melhor",IF(BI356&gt;=BH356,"Sim","Não"),IF(BI356&lt;=BH356,"Sim","Não")))</f>
        <v/>
      </c>
      <c r="BL356" s="6"/>
      <c r="BM356" s="6"/>
      <c r="BN356" s="4" t="str">
        <f aca="false">IF(OR(BL356="",BM356=""),"",IFERROR(IF($K356="%",BM356-BL356,BM356/BL356-1),""))</f>
        <v/>
      </c>
      <c r="BO356" s="5" t="str">
        <f aca="false">IF(OR(BL356="",BM356=""),"",IF($F356="Maior Melhor",IF(BM356&gt;=BL356,"Sim","Não"),IF(BM356&lt;=BL356,"Sim","Não")))</f>
        <v/>
      </c>
      <c r="BP356" s="6"/>
      <c r="BQ356" s="6"/>
      <c r="BR356" s="4" t="str">
        <f aca="false">IF(OR(BP356="",BQ356=""),"",IFERROR(IF($K356="%",BQ356-BP356,BQ356/BP356-1),""))</f>
        <v/>
      </c>
      <c r="BS356" s="5" t="str">
        <f aca="false">IF(OR(BP356="",BQ356=""),"",IF($F356="Maior Melhor",IF(BQ356&gt;=BP356,"Sim","Não"),IF(BQ356&lt;=BP356,"Sim","Não")))</f>
        <v/>
      </c>
      <c r="BT356" s="6"/>
      <c r="BU356" s="6"/>
      <c r="BV356" s="4" t="str">
        <f aca="false">IF(OR(BT356="",BU356=""),"",IFERROR(IF($K356="%",BU356-BT356,BU356/BT356-1),""))</f>
        <v/>
      </c>
      <c r="BW356" s="5" t="str">
        <f aca="false">IF(OR(BT356="",BU356=""),"",IF($F356="Maior Melhor",IF(BU356&gt;=BT356,"Sim","Não"),IF(BU356&lt;=BT356,"Sim","Não")))</f>
        <v/>
      </c>
      <c r="BX356" s="6"/>
      <c r="BY356" s="6"/>
      <c r="BZ356" s="4" t="str">
        <f aca="false">IF(OR(BX356="",BY356=""),"",IFERROR(IF($K356="%",BY356-BX356,BY356/BX356-1),""))</f>
        <v/>
      </c>
      <c r="CA356" s="5" t="str">
        <f aca="false">IF(OR(BX356="",BY356=""),"",IF($F356="Maior Melhor",IF(BY356&gt;=BX356,"Sim","Não"),IF(BY356&lt;=BX356,"Sim","Não")))</f>
        <v/>
      </c>
      <c r="CB356" s="6"/>
      <c r="CC356" s="6"/>
      <c r="CD356" s="4" t="str">
        <f aca="false">IF(OR(CB356="",CC356=""),"",IFERROR(IF($K356="%",CC356-CB356,CC356/CB356-1),""))</f>
        <v/>
      </c>
      <c r="CE356" s="5" t="str">
        <f aca="false">IF(OR(CB356="",CC356=""),"",IF($F356="Maior Melhor",IF(CC356&gt;=CB356,"Sim","Não"),IF(CC356&lt;=CB356,"Sim","Não")))</f>
        <v/>
      </c>
      <c r="CF356" s="6"/>
      <c r="CG356" s="6"/>
      <c r="CH356" s="4" t="str">
        <f aca="false">IF(OR(CF356="",CG356=""),"",IFERROR(IF($K356="%",CG356-CF356,CG356/CF356-1),""))</f>
        <v/>
      </c>
      <c r="CI356" s="5" t="str">
        <f aca="false">IF(OR(CF356="",CG356=""),"",IF($F356="Maior Melhor",IF(CG356&gt;=CF356,"Sim","Não"),IF(CG356&lt;=CF356,"Sim","Não")))</f>
        <v/>
      </c>
      <c r="CJ356" s="6"/>
      <c r="CK356" s="6"/>
      <c r="CL356" s="4" t="str">
        <f aca="false">IF(OR(CJ356="",CK356=""),"",IFERROR(IF($K356="%",CK356-CJ356,CK356/CJ356-1),""))</f>
        <v/>
      </c>
      <c r="CM356" s="5" t="str">
        <f aca="false">IF(OR(CJ356="",CK356=""),"",IF($F356="Maior Melhor",IF(CK356&gt;=CJ356,"Sim","Não"),IF(CK356&lt;=CJ356,"Sim","Não")))</f>
        <v/>
      </c>
      <c r="CN356" s="6"/>
      <c r="CO356" s="6"/>
      <c r="CP356" s="4" t="str">
        <f aca="false">IF(OR(CN356="",CO356=""),"",IFERROR(IF($K356="%",CO356-CN356,CO356/CN356-1),""))</f>
        <v/>
      </c>
      <c r="CQ356" s="5" t="str">
        <f aca="false">IF(OR(CN356="",CO356=""),"",IF($F356="Maior Melhor",IF(CO356&gt;=CN356,"Sim","Não"),IF(CO356&lt;=CN356,"Sim","Não")))</f>
        <v/>
      </c>
      <c r="CR356" s="2" t="s">
        <v>105</v>
      </c>
    </row>
    <row r="357" customFormat="false" ht="15" hidden="false" customHeight="false" outlineLevel="0" collapsed="false">
      <c r="A357" s="2" t="s">
        <v>96</v>
      </c>
      <c r="B357" s="2" t="s">
        <v>97</v>
      </c>
      <c r="C357" s="2" t="s">
        <v>126</v>
      </c>
      <c r="D357" s="2" t="s">
        <v>202</v>
      </c>
      <c r="E357" s="2" t="str">
        <f aca="false">C357&amp;D357</f>
        <v>UTD LIVRAMENTO DE NOSSA SENHORAServiço atendido no prazo* (Eficácia do Plano de Manutenção)</v>
      </c>
      <c r="F357" s="2" t="s">
        <v>100</v>
      </c>
      <c r="G357" s="2" t="s">
        <v>203</v>
      </c>
      <c r="H357" s="2" t="s">
        <v>102</v>
      </c>
      <c r="I357" s="2" t="s">
        <v>103</v>
      </c>
      <c r="J357" s="2" t="n">
        <v>0</v>
      </c>
      <c r="K357" s="2" t="s">
        <v>104</v>
      </c>
      <c r="L357" s="3"/>
      <c r="M357" s="3"/>
      <c r="N357" s="4" t="str">
        <f aca="false">IF(OR(L357="",M357=""),"",IFERROR(IF($K357="%",M357-L357,M357/L357-1),""))</f>
        <v/>
      </c>
      <c r="O357" s="5" t="str">
        <f aca="false">IF(OR(L357="",M357=""),"",IF($F357="Maior Melhor",IF(M357&gt;=L357,"Sim","Não"),IF(M357&lt;=L357,"Sim","Não")))</f>
        <v/>
      </c>
      <c r="P357" s="3"/>
      <c r="Q357" s="3"/>
      <c r="R357" s="4" t="str">
        <f aca="false">IF(OR(P357="",Q357=""),"",IFERROR(IF($K357="%",Q357-P357,Q357/P357-1),""))</f>
        <v/>
      </c>
      <c r="S357" s="5" t="str">
        <f aca="false">IF(OR(P357="",Q357=""),"",IF($F357="Maior Melhor",IF(Q357&gt;=P357,"Sim","Não"),IF(Q357&lt;=P357,"Sim","Não")))</f>
        <v/>
      </c>
      <c r="T357" s="3"/>
      <c r="U357" s="3"/>
      <c r="V357" s="4" t="str">
        <f aca="false">IF(OR(T357="",U357=""),"",IFERROR(IF($K357="%",U357-T357,U357/T357-1),""))</f>
        <v/>
      </c>
      <c r="W357" s="5" t="str">
        <f aca="false">IF(OR(T357="",U357=""),"",IF($F357="Maior Melhor",IF(U357&gt;=T357,"Sim","Não"),IF(U357&lt;=T357,"Sim","Não")))</f>
        <v/>
      </c>
      <c r="X357" s="3"/>
      <c r="Y357" s="3"/>
      <c r="Z357" s="4" t="str">
        <f aca="false">IF(OR(X357="",Y357=""),"",IFERROR(IF($K357="%",Y357-X357,Y357/X357-1),""))</f>
        <v/>
      </c>
      <c r="AA357" s="5" t="str">
        <f aca="false">IF(OR(X357="",Y357=""),"",IF($F357="Maior Melhor",IF(Y357&gt;=X357,"Sim","Não"),IF(Y357&lt;=X357,"Sim","Não")))</f>
        <v/>
      </c>
      <c r="AB357" s="3"/>
      <c r="AC357" s="3"/>
      <c r="AD357" s="4" t="str">
        <f aca="false">IF(OR(AB357="",AC357=""),"",IFERROR(IF($K357="%",AC357-AB357,AC357/AB357-1),""))</f>
        <v/>
      </c>
      <c r="AE357" s="5" t="str">
        <f aca="false">IF(OR(AB357="",AC357=""),"",IF($F357="Maior Melhor",IF(AC357&gt;=AB357,"Sim","Não"),IF(AC357&lt;=AB357,"Sim","Não")))</f>
        <v/>
      </c>
      <c r="AF357" s="3"/>
      <c r="AG357" s="3"/>
      <c r="AH357" s="4" t="str">
        <f aca="false">IF(OR(AF357="",AG357=""),"",IFERROR(IF($K357="%",AG357-AF357,AG357/AF357-1),""))</f>
        <v/>
      </c>
      <c r="AI357" s="5" t="str">
        <f aca="false">IF(OR(AF357="",AG357=""),"",IF($F357="Maior Melhor",IF(AG357&gt;=AF357,"Sim","Não"),IF(AG357&lt;=AF357,"Sim","Não")))</f>
        <v/>
      </c>
      <c r="AJ357" s="3"/>
      <c r="AK357" s="3"/>
      <c r="AL357" s="4" t="str">
        <f aca="false">IF(OR(AJ357="",AK357=""),"",IFERROR(IF($K357="%",AK357-AJ357,AK357/AJ357-1),""))</f>
        <v/>
      </c>
      <c r="AM357" s="5" t="str">
        <f aca="false">IF(OR(AJ357="",AK357=""),"",IF($F357="Maior Melhor",IF(AK357&gt;=AJ357,"Sim","Não"),IF(AK357&lt;=AJ357,"Sim","Não")))</f>
        <v/>
      </c>
      <c r="AN357" s="3"/>
      <c r="AO357" s="3"/>
      <c r="AP357" s="4" t="str">
        <f aca="false">IF(OR(AN357="",AO357=""),"",IFERROR(IF($K357="%",AO357-AN357,AO357/AN357-1),""))</f>
        <v/>
      </c>
      <c r="AQ357" s="5" t="str">
        <f aca="false">IF(OR(AN357="",AO357=""),"",IF($F357="Maior Melhor",IF(AO357&gt;=AN357,"Sim","Não"),IF(AO357&lt;=AN357,"Sim","Não")))</f>
        <v/>
      </c>
      <c r="AR357" s="3"/>
      <c r="AS357" s="3"/>
      <c r="AT357" s="4" t="str">
        <f aca="false">IF(OR(AR357="",AS357=""),"",IFERROR(IF($K357="%",AS357-AR357,AS357/AR357-1),""))</f>
        <v/>
      </c>
      <c r="AU357" s="5" t="str">
        <f aca="false">IF(OR(AR357="",AS357=""),"",IF($F357="Maior Melhor",IF(AS357&gt;=AR357,"Sim","Não"),IF(AS357&lt;=AR357,"Sim","Não")))</f>
        <v/>
      </c>
      <c r="AV357" s="3"/>
      <c r="AW357" s="3"/>
      <c r="AX357" s="4" t="str">
        <f aca="false">IF(OR(AV357="",AW357=""),"",IFERROR(IF($K357="%",AW357-AV357,AW357/AV357-1),""))</f>
        <v/>
      </c>
      <c r="AY357" s="5" t="str">
        <f aca="false">IF(OR(AV357="",AW357=""),"",IF($F357="Maior Melhor",IF(AW357&gt;=AV357,"Sim","Não"),IF(AW357&lt;=AV357,"Sim","Não")))</f>
        <v/>
      </c>
      <c r="AZ357" s="3"/>
      <c r="BA357" s="3"/>
      <c r="BB357" s="4" t="str">
        <f aca="false">IF(OR(AZ357="",BA357=""),"",IFERROR(IF($K357="%",BA357-AZ357,BA357/AZ357-1),""))</f>
        <v/>
      </c>
      <c r="BC357" s="5" t="str">
        <f aca="false">IF(OR(AZ357="",BA357=""),"",IF($F357="Maior Melhor",IF(BA357&gt;=AZ357,"Sim","Não"),IF(BA357&lt;=AZ357,"Sim","Não")))</f>
        <v/>
      </c>
      <c r="BD357" s="3"/>
      <c r="BE357" s="3"/>
      <c r="BF357" s="4" t="str">
        <f aca="false">IF(OR(BD357="",BE357=""),"",IFERROR(IF($K357="%",BE357-BD357,BE357/BD357-1),""))</f>
        <v/>
      </c>
      <c r="BG357" s="5" t="str">
        <f aca="false">IF(OR(BD357="",BE357=""),"",IF($F357="Maior Melhor",IF(BE357&gt;=BD357,"Sim","Não"),IF(BE357&lt;=BD357,"Sim","Não")))</f>
        <v/>
      </c>
      <c r="BH357" s="3"/>
      <c r="BI357" s="3"/>
      <c r="BJ357" s="4" t="str">
        <f aca="false">IF(OR(BH357="",BI357=""),"",IFERROR(IF($K357="%",BI357-BH357,BI357/BH357-1),""))</f>
        <v/>
      </c>
      <c r="BK357" s="5" t="str">
        <f aca="false">IF(OR(BH357="",BI357=""),"",IF($F357="Maior Melhor",IF(BI357&gt;=BH357,"Sim","Não"),IF(BI357&lt;=BH357,"Sim","Não")))</f>
        <v/>
      </c>
      <c r="BL357" s="6"/>
      <c r="BM357" s="6"/>
      <c r="BN357" s="4" t="str">
        <f aca="false">IF(OR(BL357="",BM357=""),"",IFERROR(IF($K357="%",BM357-BL357,BM357/BL357-1),""))</f>
        <v/>
      </c>
      <c r="BO357" s="5" t="str">
        <f aca="false">IF(OR(BL357="",BM357=""),"",IF($F357="Maior Melhor",IF(BM357&gt;=BL357,"Sim","Não"),IF(BM357&lt;=BL357,"Sim","Não")))</f>
        <v/>
      </c>
      <c r="BP357" s="6"/>
      <c r="BQ357" s="6"/>
      <c r="BR357" s="4" t="str">
        <f aca="false">IF(OR(BP357="",BQ357=""),"",IFERROR(IF($K357="%",BQ357-BP357,BQ357/BP357-1),""))</f>
        <v/>
      </c>
      <c r="BS357" s="5" t="str">
        <f aca="false">IF(OR(BP357="",BQ357=""),"",IF($F357="Maior Melhor",IF(BQ357&gt;=BP357,"Sim","Não"),IF(BQ357&lt;=BP357,"Sim","Não")))</f>
        <v/>
      </c>
      <c r="BT357" s="6"/>
      <c r="BU357" s="6"/>
      <c r="BV357" s="4" t="str">
        <f aca="false">IF(OR(BT357="",BU357=""),"",IFERROR(IF($K357="%",BU357-BT357,BU357/BT357-1),""))</f>
        <v/>
      </c>
      <c r="BW357" s="5" t="str">
        <f aca="false">IF(OR(BT357="",BU357=""),"",IF($F357="Maior Melhor",IF(BU357&gt;=BT357,"Sim","Não"),IF(BU357&lt;=BT357,"Sim","Não")))</f>
        <v/>
      </c>
      <c r="BX357" s="6"/>
      <c r="BY357" s="6"/>
      <c r="BZ357" s="4" t="str">
        <f aca="false">IF(OR(BX357="",BY357=""),"",IFERROR(IF($K357="%",BY357-BX357,BY357/BX357-1),""))</f>
        <v/>
      </c>
      <c r="CA357" s="5" t="str">
        <f aca="false">IF(OR(BX357="",BY357=""),"",IF($F357="Maior Melhor",IF(BY357&gt;=BX357,"Sim","Não"),IF(BY357&lt;=BX357,"Sim","Não")))</f>
        <v/>
      </c>
      <c r="CB357" s="6"/>
      <c r="CC357" s="6"/>
      <c r="CD357" s="4" t="str">
        <f aca="false">IF(OR(CB357="",CC357=""),"",IFERROR(IF($K357="%",CC357-CB357,CC357/CB357-1),""))</f>
        <v/>
      </c>
      <c r="CE357" s="5" t="str">
        <f aca="false">IF(OR(CB357="",CC357=""),"",IF($F357="Maior Melhor",IF(CC357&gt;=CB357,"Sim","Não"),IF(CC357&lt;=CB357,"Sim","Não")))</f>
        <v/>
      </c>
      <c r="CF357" s="6"/>
      <c r="CG357" s="6"/>
      <c r="CH357" s="4" t="str">
        <f aca="false">IF(OR(CF357="",CG357=""),"",IFERROR(IF($K357="%",CG357-CF357,CG357/CF357-1),""))</f>
        <v/>
      </c>
      <c r="CI357" s="5" t="str">
        <f aca="false">IF(OR(CF357="",CG357=""),"",IF($F357="Maior Melhor",IF(CG357&gt;=CF357,"Sim","Não"),IF(CG357&lt;=CF357,"Sim","Não")))</f>
        <v/>
      </c>
      <c r="CJ357" s="6"/>
      <c r="CK357" s="6"/>
      <c r="CL357" s="4" t="str">
        <f aca="false">IF(OR(CJ357="",CK357=""),"",IFERROR(IF($K357="%",CK357-CJ357,CK357/CJ357-1),""))</f>
        <v/>
      </c>
      <c r="CM357" s="5" t="str">
        <f aca="false">IF(OR(CJ357="",CK357=""),"",IF($F357="Maior Melhor",IF(CK357&gt;=CJ357,"Sim","Não"),IF(CK357&lt;=CJ357,"Sim","Não")))</f>
        <v/>
      </c>
      <c r="CN357" s="6"/>
      <c r="CO357" s="6"/>
      <c r="CP357" s="4" t="str">
        <f aca="false">IF(OR(CN357="",CO357=""),"",IFERROR(IF($K357="%",CO357-CN357,CO357/CN357-1),""))</f>
        <v/>
      </c>
      <c r="CQ357" s="5" t="str">
        <f aca="false">IF(OR(CN357="",CO357=""),"",IF($F357="Maior Melhor",IF(CO357&gt;=CN357,"Sim","Não"),IF(CO357&lt;=CN357,"Sim","Não")))</f>
        <v/>
      </c>
      <c r="CR357" s="2" t="s">
        <v>105</v>
      </c>
    </row>
    <row r="358" customFormat="false" ht="15" hidden="false" customHeight="false" outlineLevel="0" collapsed="false">
      <c r="A358" s="2" t="s">
        <v>96</v>
      </c>
      <c r="B358" s="2" t="s">
        <v>106</v>
      </c>
      <c r="C358" s="2" t="s">
        <v>127</v>
      </c>
      <c r="D358" s="2" t="s">
        <v>202</v>
      </c>
      <c r="E358" s="2" t="str">
        <f aca="false">C358&amp;D358</f>
        <v>UTD LUIS EDUARDO MAGALHAESServiço atendido no prazo* (Eficácia do Plano de Manutenção)</v>
      </c>
      <c r="F358" s="2" t="s">
        <v>100</v>
      </c>
      <c r="G358" s="2" t="s">
        <v>203</v>
      </c>
      <c r="H358" s="2" t="s">
        <v>102</v>
      </c>
      <c r="I358" s="2" t="s">
        <v>103</v>
      </c>
      <c r="J358" s="2" t="n">
        <v>0</v>
      </c>
      <c r="K358" s="2" t="s">
        <v>104</v>
      </c>
      <c r="L358" s="3"/>
      <c r="M358" s="3"/>
      <c r="N358" s="4" t="str">
        <f aca="false">IF(OR(L358="",M358=""),"",IFERROR(IF($K358="%",M358-L358,M358/L358-1),""))</f>
        <v/>
      </c>
      <c r="O358" s="5" t="str">
        <f aca="false">IF(OR(L358="",M358=""),"",IF($F358="Maior Melhor",IF(M358&gt;=L358,"Sim","Não"),IF(M358&lt;=L358,"Sim","Não")))</f>
        <v/>
      </c>
      <c r="P358" s="3"/>
      <c r="Q358" s="3"/>
      <c r="R358" s="4" t="str">
        <f aca="false">IF(OR(P358="",Q358=""),"",IFERROR(IF($K358="%",Q358-P358,Q358/P358-1),""))</f>
        <v/>
      </c>
      <c r="S358" s="5" t="str">
        <f aca="false">IF(OR(P358="",Q358=""),"",IF($F358="Maior Melhor",IF(Q358&gt;=P358,"Sim","Não"),IF(Q358&lt;=P358,"Sim","Não")))</f>
        <v/>
      </c>
      <c r="T358" s="3"/>
      <c r="U358" s="3"/>
      <c r="V358" s="4" t="str">
        <f aca="false">IF(OR(T358="",U358=""),"",IFERROR(IF($K358="%",U358-T358,U358/T358-1),""))</f>
        <v/>
      </c>
      <c r="W358" s="5" t="str">
        <f aca="false">IF(OR(T358="",U358=""),"",IF($F358="Maior Melhor",IF(U358&gt;=T358,"Sim","Não"),IF(U358&lt;=T358,"Sim","Não")))</f>
        <v/>
      </c>
      <c r="X358" s="3"/>
      <c r="Y358" s="3"/>
      <c r="Z358" s="4" t="str">
        <f aca="false">IF(OR(X358="",Y358=""),"",IFERROR(IF($K358="%",Y358-X358,Y358/X358-1),""))</f>
        <v/>
      </c>
      <c r="AA358" s="5" t="str">
        <f aca="false">IF(OR(X358="",Y358=""),"",IF($F358="Maior Melhor",IF(Y358&gt;=X358,"Sim","Não"),IF(Y358&lt;=X358,"Sim","Não")))</f>
        <v/>
      </c>
      <c r="AB358" s="3"/>
      <c r="AC358" s="3"/>
      <c r="AD358" s="4" t="str">
        <f aca="false">IF(OR(AB358="",AC358=""),"",IFERROR(IF($K358="%",AC358-AB358,AC358/AB358-1),""))</f>
        <v/>
      </c>
      <c r="AE358" s="5" t="str">
        <f aca="false">IF(OR(AB358="",AC358=""),"",IF($F358="Maior Melhor",IF(AC358&gt;=AB358,"Sim","Não"),IF(AC358&lt;=AB358,"Sim","Não")))</f>
        <v/>
      </c>
      <c r="AF358" s="3"/>
      <c r="AG358" s="3"/>
      <c r="AH358" s="4" t="str">
        <f aca="false">IF(OR(AF358="",AG358=""),"",IFERROR(IF($K358="%",AG358-AF358,AG358/AF358-1),""))</f>
        <v/>
      </c>
      <c r="AI358" s="5" t="str">
        <f aca="false">IF(OR(AF358="",AG358=""),"",IF($F358="Maior Melhor",IF(AG358&gt;=AF358,"Sim","Não"),IF(AG358&lt;=AF358,"Sim","Não")))</f>
        <v/>
      </c>
      <c r="AJ358" s="3"/>
      <c r="AK358" s="3"/>
      <c r="AL358" s="4" t="str">
        <f aca="false">IF(OR(AJ358="",AK358=""),"",IFERROR(IF($K358="%",AK358-AJ358,AK358/AJ358-1),""))</f>
        <v/>
      </c>
      <c r="AM358" s="5" t="str">
        <f aca="false">IF(OR(AJ358="",AK358=""),"",IF($F358="Maior Melhor",IF(AK358&gt;=AJ358,"Sim","Não"),IF(AK358&lt;=AJ358,"Sim","Não")))</f>
        <v/>
      </c>
      <c r="AN358" s="3"/>
      <c r="AO358" s="3"/>
      <c r="AP358" s="4" t="str">
        <f aca="false">IF(OR(AN358="",AO358=""),"",IFERROR(IF($K358="%",AO358-AN358,AO358/AN358-1),""))</f>
        <v/>
      </c>
      <c r="AQ358" s="5" t="str">
        <f aca="false">IF(OR(AN358="",AO358=""),"",IF($F358="Maior Melhor",IF(AO358&gt;=AN358,"Sim","Não"),IF(AO358&lt;=AN358,"Sim","Não")))</f>
        <v/>
      </c>
      <c r="AR358" s="3"/>
      <c r="AS358" s="3"/>
      <c r="AT358" s="4" t="str">
        <f aca="false">IF(OR(AR358="",AS358=""),"",IFERROR(IF($K358="%",AS358-AR358,AS358/AR358-1),""))</f>
        <v/>
      </c>
      <c r="AU358" s="5" t="str">
        <f aca="false">IF(OR(AR358="",AS358=""),"",IF($F358="Maior Melhor",IF(AS358&gt;=AR358,"Sim","Não"),IF(AS358&lt;=AR358,"Sim","Não")))</f>
        <v/>
      </c>
      <c r="AV358" s="3"/>
      <c r="AW358" s="3"/>
      <c r="AX358" s="4" t="str">
        <f aca="false">IF(OR(AV358="",AW358=""),"",IFERROR(IF($K358="%",AW358-AV358,AW358/AV358-1),""))</f>
        <v/>
      </c>
      <c r="AY358" s="5" t="str">
        <f aca="false">IF(OR(AV358="",AW358=""),"",IF($F358="Maior Melhor",IF(AW358&gt;=AV358,"Sim","Não"),IF(AW358&lt;=AV358,"Sim","Não")))</f>
        <v/>
      </c>
      <c r="AZ358" s="3"/>
      <c r="BA358" s="3"/>
      <c r="BB358" s="4" t="str">
        <f aca="false">IF(OR(AZ358="",BA358=""),"",IFERROR(IF($K358="%",BA358-AZ358,BA358/AZ358-1),""))</f>
        <v/>
      </c>
      <c r="BC358" s="5" t="str">
        <f aca="false">IF(OR(AZ358="",BA358=""),"",IF($F358="Maior Melhor",IF(BA358&gt;=AZ358,"Sim","Não"),IF(BA358&lt;=AZ358,"Sim","Não")))</f>
        <v/>
      </c>
      <c r="BD358" s="3"/>
      <c r="BE358" s="3"/>
      <c r="BF358" s="4" t="str">
        <f aca="false">IF(OR(BD358="",BE358=""),"",IFERROR(IF($K358="%",BE358-BD358,BE358/BD358-1),""))</f>
        <v/>
      </c>
      <c r="BG358" s="5" t="str">
        <f aca="false">IF(OR(BD358="",BE358=""),"",IF($F358="Maior Melhor",IF(BE358&gt;=BD358,"Sim","Não"),IF(BE358&lt;=BD358,"Sim","Não")))</f>
        <v/>
      </c>
      <c r="BH358" s="3"/>
      <c r="BI358" s="3"/>
      <c r="BJ358" s="4" t="str">
        <f aca="false">IF(OR(BH358="",BI358=""),"",IFERROR(IF($K358="%",BI358-BH358,BI358/BH358-1),""))</f>
        <v/>
      </c>
      <c r="BK358" s="5" t="str">
        <f aca="false">IF(OR(BH358="",BI358=""),"",IF($F358="Maior Melhor",IF(BI358&gt;=BH358,"Sim","Não"),IF(BI358&lt;=BH358,"Sim","Não")))</f>
        <v/>
      </c>
      <c r="BL358" s="6"/>
      <c r="BM358" s="6"/>
      <c r="BN358" s="4" t="str">
        <f aca="false">IF(OR(BL358="",BM358=""),"",IFERROR(IF($K358="%",BM358-BL358,BM358/BL358-1),""))</f>
        <v/>
      </c>
      <c r="BO358" s="5" t="str">
        <f aca="false">IF(OR(BL358="",BM358=""),"",IF($F358="Maior Melhor",IF(BM358&gt;=BL358,"Sim","Não"),IF(BM358&lt;=BL358,"Sim","Não")))</f>
        <v/>
      </c>
      <c r="BP358" s="6"/>
      <c r="BQ358" s="6"/>
      <c r="BR358" s="4" t="str">
        <f aca="false">IF(OR(BP358="",BQ358=""),"",IFERROR(IF($K358="%",BQ358-BP358,BQ358/BP358-1),""))</f>
        <v/>
      </c>
      <c r="BS358" s="5" t="str">
        <f aca="false">IF(OR(BP358="",BQ358=""),"",IF($F358="Maior Melhor",IF(BQ358&gt;=BP358,"Sim","Não"),IF(BQ358&lt;=BP358,"Sim","Não")))</f>
        <v/>
      </c>
      <c r="BT358" s="6"/>
      <c r="BU358" s="6"/>
      <c r="BV358" s="4" t="str">
        <f aca="false">IF(OR(BT358="",BU358=""),"",IFERROR(IF($K358="%",BU358-BT358,BU358/BT358-1),""))</f>
        <v/>
      </c>
      <c r="BW358" s="5" t="str">
        <f aca="false">IF(OR(BT358="",BU358=""),"",IF($F358="Maior Melhor",IF(BU358&gt;=BT358,"Sim","Não"),IF(BU358&lt;=BT358,"Sim","Não")))</f>
        <v/>
      </c>
      <c r="BX358" s="6"/>
      <c r="BY358" s="6"/>
      <c r="BZ358" s="4" t="str">
        <f aca="false">IF(OR(BX358="",BY358=""),"",IFERROR(IF($K358="%",BY358-BX358,BY358/BX358-1),""))</f>
        <v/>
      </c>
      <c r="CA358" s="5" t="str">
        <f aca="false">IF(OR(BX358="",BY358=""),"",IF($F358="Maior Melhor",IF(BY358&gt;=BX358,"Sim","Não"),IF(BY358&lt;=BX358,"Sim","Não")))</f>
        <v/>
      </c>
      <c r="CB358" s="6"/>
      <c r="CC358" s="6"/>
      <c r="CD358" s="4" t="str">
        <f aca="false">IF(OR(CB358="",CC358=""),"",IFERROR(IF($K358="%",CC358-CB358,CC358/CB358-1),""))</f>
        <v/>
      </c>
      <c r="CE358" s="5" t="str">
        <f aca="false">IF(OR(CB358="",CC358=""),"",IF($F358="Maior Melhor",IF(CC358&gt;=CB358,"Sim","Não"),IF(CC358&lt;=CB358,"Sim","Não")))</f>
        <v/>
      </c>
      <c r="CF358" s="6"/>
      <c r="CG358" s="6"/>
      <c r="CH358" s="4" t="str">
        <f aca="false">IF(OR(CF358="",CG358=""),"",IFERROR(IF($K358="%",CG358-CF358,CG358/CF358-1),""))</f>
        <v/>
      </c>
      <c r="CI358" s="5" t="str">
        <f aca="false">IF(OR(CF358="",CG358=""),"",IF($F358="Maior Melhor",IF(CG358&gt;=CF358,"Sim","Não"),IF(CG358&lt;=CF358,"Sim","Não")))</f>
        <v/>
      </c>
      <c r="CJ358" s="6"/>
      <c r="CK358" s="6"/>
      <c r="CL358" s="4" t="str">
        <f aca="false">IF(OR(CJ358="",CK358=""),"",IFERROR(IF($K358="%",CK358-CJ358,CK358/CJ358-1),""))</f>
        <v/>
      </c>
      <c r="CM358" s="5" t="str">
        <f aca="false">IF(OR(CJ358="",CK358=""),"",IF($F358="Maior Melhor",IF(CK358&gt;=CJ358,"Sim","Não"),IF(CK358&lt;=CJ358,"Sim","Não")))</f>
        <v/>
      </c>
      <c r="CN358" s="6"/>
      <c r="CO358" s="6"/>
      <c r="CP358" s="4" t="str">
        <f aca="false">IF(OR(CN358="",CO358=""),"",IFERROR(IF($K358="%",CO358-CN358,CO358/CN358-1),""))</f>
        <v/>
      </c>
      <c r="CQ358" s="5" t="str">
        <f aca="false">IF(OR(CN358="",CO358=""),"",IF($F358="Maior Melhor",IF(CO358&gt;=CN358,"Sim","Não"),IF(CO358&lt;=CN358,"Sim","Não")))</f>
        <v/>
      </c>
      <c r="CR358" s="2" t="s">
        <v>105</v>
      </c>
    </row>
    <row r="359" customFormat="false" ht="15" hidden="false" customHeight="false" outlineLevel="0" collapsed="false">
      <c r="A359" s="2" t="s">
        <v>96</v>
      </c>
      <c r="B359" s="2" t="s">
        <v>106</v>
      </c>
      <c r="C359" s="2" t="s">
        <v>128</v>
      </c>
      <c r="D359" s="2" t="s">
        <v>202</v>
      </c>
      <c r="E359" s="2" t="str">
        <f aca="false">C359&amp;D359</f>
        <v>UTD SANTA MARIA DA VITORIAServiço atendido no prazo* (Eficácia do Plano de Manutenção)</v>
      </c>
      <c r="F359" s="2" t="s">
        <v>100</v>
      </c>
      <c r="G359" s="2" t="s">
        <v>203</v>
      </c>
      <c r="H359" s="2" t="s">
        <v>102</v>
      </c>
      <c r="I359" s="2" t="s">
        <v>103</v>
      </c>
      <c r="J359" s="2" t="n">
        <v>0</v>
      </c>
      <c r="K359" s="2" t="s">
        <v>104</v>
      </c>
      <c r="L359" s="3"/>
      <c r="M359" s="3"/>
      <c r="N359" s="4" t="str">
        <f aca="false">IF(OR(L359="",M359=""),"",IFERROR(IF($K359="%",M359-L359,M359/L359-1),""))</f>
        <v/>
      </c>
      <c r="O359" s="5" t="str">
        <f aca="false">IF(OR(L359="",M359=""),"",IF($F359="Maior Melhor",IF(M359&gt;=L359,"Sim","Não"),IF(M359&lt;=L359,"Sim","Não")))</f>
        <v/>
      </c>
      <c r="P359" s="3"/>
      <c r="Q359" s="3"/>
      <c r="R359" s="4" t="str">
        <f aca="false">IF(OR(P359="",Q359=""),"",IFERROR(IF($K359="%",Q359-P359,Q359/P359-1),""))</f>
        <v/>
      </c>
      <c r="S359" s="5" t="str">
        <f aca="false">IF(OR(P359="",Q359=""),"",IF($F359="Maior Melhor",IF(Q359&gt;=P359,"Sim","Não"),IF(Q359&lt;=P359,"Sim","Não")))</f>
        <v/>
      </c>
      <c r="T359" s="3"/>
      <c r="U359" s="3"/>
      <c r="V359" s="4" t="str">
        <f aca="false">IF(OR(T359="",U359=""),"",IFERROR(IF($K359="%",U359-T359,U359/T359-1),""))</f>
        <v/>
      </c>
      <c r="W359" s="5" t="str">
        <f aca="false">IF(OR(T359="",U359=""),"",IF($F359="Maior Melhor",IF(U359&gt;=T359,"Sim","Não"),IF(U359&lt;=T359,"Sim","Não")))</f>
        <v/>
      </c>
      <c r="X359" s="3"/>
      <c r="Y359" s="3"/>
      <c r="Z359" s="4" t="str">
        <f aca="false">IF(OR(X359="",Y359=""),"",IFERROR(IF($K359="%",Y359-X359,Y359/X359-1),""))</f>
        <v/>
      </c>
      <c r="AA359" s="5" t="str">
        <f aca="false">IF(OR(X359="",Y359=""),"",IF($F359="Maior Melhor",IF(Y359&gt;=X359,"Sim","Não"),IF(Y359&lt;=X359,"Sim","Não")))</f>
        <v/>
      </c>
      <c r="AB359" s="3"/>
      <c r="AC359" s="3"/>
      <c r="AD359" s="4" t="str">
        <f aca="false">IF(OR(AB359="",AC359=""),"",IFERROR(IF($K359="%",AC359-AB359,AC359/AB359-1),""))</f>
        <v/>
      </c>
      <c r="AE359" s="5" t="str">
        <f aca="false">IF(OR(AB359="",AC359=""),"",IF($F359="Maior Melhor",IF(AC359&gt;=AB359,"Sim","Não"),IF(AC359&lt;=AB359,"Sim","Não")))</f>
        <v/>
      </c>
      <c r="AF359" s="3"/>
      <c r="AG359" s="3"/>
      <c r="AH359" s="4" t="str">
        <f aca="false">IF(OR(AF359="",AG359=""),"",IFERROR(IF($K359="%",AG359-AF359,AG359/AF359-1),""))</f>
        <v/>
      </c>
      <c r="AI359" s="5" t="str">
        <f aca="false">IF(OR(AF359="",AG359=""),"",IF($F359="Maior Melhor",IF(AG359&gt;=AF359,"Sim","Não"),IF(AG359&lt;=AF359,"Sim","Não")))</f>
        <v/>
      </c>
      <c r="AJ359" s="3"/>
      <c r="AK359" s="3"/>
      <c r="AL359" s="4" t="str">
        <f aca="false">IF(OR(AJ359="",AK359=""),"",IFERROR(IF($K359="%",AK359-AJ359,AK359/AJ359-1),""))</f>
        <v/>
      </c>
      <c r="AM359" s="5" t="str">
        <f aca="false">IF(OR(AJ359="",AK359=""),"",IF($F359="Maior Melhor",IF(AK359&gt;=AJ359,"Sim","Não"),IF(AK359&lt;=AJ359,"Sim","Não")))</f>
        <v/>
      </c>
      <c r="AN359" s="3"/>
      <c r="AO359" s="3"/>
      <c r="AP359" s="4" t="str">
        <f aca="false">IF(OR(AN359="",AO359=""),"",IFERROR(IF($K359="%",AO359-AN359,AO359/AN359-1),""))</f>
        <v/>
      </c>
      <c r="AQ359" s="5" t="str">
        <f aca="false">IF(OR(AN359="",AO359=""),"",IF($F359="Maior Melhor",IF(AO359&gt;=AN359,"Sim","Não"),IF(AO359&lt;=AN359,"Sim","Não")))</f>
        <v/>
      </c>
      <c r="AR359" s="3"/>
      <c r="AS359" s="3"/>
      <c r="AT359" s="4" t="str">
        <f aca="false">IF(OR(AR359="",AS359=""),"",IFERROR(IF($K359="%",AS359-AR359,AS359/AR359-1),""))</f>
        <v/>
      </c>
      <c r="AU359" s="5" t="str">
        <f aca="false">IF(OR(AR359="",AS359=""),"",IF($F359="Maior Melhor",IF(AS359&gt;=AR359,"Sim","Não"),IF(AS359&lt;=AR359,"Sim","Não")))</f>
        <v/>
      </c>
      <c r="AV359" s="3"/>
      <c r="AW359" s="3"/>
      <c r="AX359" s="4" t="str">
        <f aca="false">IF(OR(AV359="",AW359=""),"",IFERROR(IF($K359="%",AW359-AV359,AW359/AV359-1),""))</f>
        <v/>
      </c>
      <c r="AY359" s="5" t="str">
        <f aca="false">IF(OR(AV359="",AW359=""),"",IF($F359="Maior Melhor",IF(AW359&gt;=AV359,"Sim","Não"),IF(AW359&lt;=AV359,"Sim","Não")))</f>
        <v/>
      </c>
      <c r="AZ359" s="3"/>
      <c r="BA359" s="3"/>
      <c r="BB359" s="4" t="str">
        <f aca="false">IF(OR(AZ359="",BA359=""),"",IFERROR(IF($K359="%",BA359-AZ359,BA359/AZ359-1),""))</f>
        <v/>
      </c>
      <c r="BC359" s="5" t="str">
        <f aca="false">IF(OR(AZ359="",BA359=""),"",IF($F359="Maior Melhor",IF(BA359&gt;=AZ359,"Sim","Não"),IF(BA359&lt;=AZ359,"Sim","Não")))</f>
        <v/>
      </c>
      <c r="BD359" s="3"/>
      <c r="BE359" s="3"/>
      <c r="BF359" s="4" t="str">
        <f aca="false">IF(OR(BD359="",BE359=""),"",IFERROR(IF($K359="%",BE359-BD359,BE359/BD359-1),""))</f>
        <v/>
      </c>
      <c r="BG359" s="5" t="str">
        <f aca="false">IF(OR(BD359="",BE359=""),"",IF($F359="Maior Melhor",IF(BE359&gt;=BD359,"Sim","Não"),IF(BE359&lt;=BD359,"Sim","Não")))</f>
        <v/>
      </c>
      <c r="BH359" s="3"/>
      <c r="BI359" s="3"/>
      <c r="BJ359" s="4" t="str">
        <f aca="false">IF(OR(BH359="",BI359=""),"",IFERROR(IF($K359="%",BI359-BH359,BI359/BH359-1),""))</f>
        <v/>
      </c>
      <c r="BK359" s="5" t="str">
        <f aca="false">IF(OR(BH359="",BI359=""),"",IF($F359="Maior Melhor",IF(BI359&gt;=BH359,"Sim","Não"),IF(BI359&lt;=BH359,"Sim","Não")))</f>
        <v/>
      </c>
      <c r="BL359" s="6"/>
      <c r="BM359" s="6"/>
      <c r="BN359" s="4" t="str">
        <f aca="false">IF(OR(BL359="",BM359=""),"",IFERROR(IF($K359="%",BM359-BL359,BM359/BL359-1),""))</f>
        <v/>
      </c>
      <c r="BO359" s="5" t="str">
        <f aca="false">IF(OR(BL359="",BM359=""),"",IF($F359="Maior Melhor",IF(BM359&gt;=BL359,"Sim","Não"),IF(BM359&lt;=BL359,"Sim","Não")))</f>
        <v/>
      </c>
      <c r="BP359" s="6"/>
      <c r="BQ359" s="6"/>
      <c r="BR359" s="4" t="str">
        <f aca="false">IF(OR(BP359="",BQ359=""),"",IFERROR(IF($K359="%",BQ359-BP359,BQ359/BP359-1),""))</f>
        <v/>
      </c>
      <c r="BS359" s="5" t="str">
        <f aca="false">IF(OR(BP359="",BQ359=""),"",IF($F359="Maior Melhor",IF(BQ359&gt;=BP359,"Sim","Não"),IF(BQ359&lt;=BP359,"Sim","Não")))</f>
        <v/>
      </c>
      <c r="BT359" s="6"/>
      <c r="BU359" s="6"/>
      <c r="BV359" s="4" t="str">
        <f aca="false">IF(OR(BT359="",BU359=""),"",IFERROR(IF($K359="%",BU359-BT359,BU359/BT359-1),""))</f>
        <v/>
      </c>
      <c r="BW359" s="5" t="str">
        <f aca="false">IF(OR(BT359="",BU359=""),"",IF($F359="Maior Melhor",IF(BU359&gt;=BT359,"Sim","Não"),IF(BU359&lt;=BT359,"Sim","Não")))</f>
        <v/>
      </c>
      <c r="BX359" s="6"/>
      <c r="BY359" s="6"/>
      <c r="BZ359" s="4" t="str">
        <f aca="false">IF(OR(BX359="",BY359=""),"",IFERROR(IF($K359="%",BY359-BX359,BY359/BX359-1),""))</f>
        <v/>
      </c>
      <c r="CA359" s="5" t="str">
        <f aca="false">IF(OR(BX359="",BY359=""),"",IF($F359="Maior Melhor",IF(BY359&gt;=BX359,"Sim","Não"),IF(BY359&lt;=BX359,"Sim","Não")))</f>
        <v/>
      </c>
      <c r="CB359" s="6"/>
      <c r="CC359" s="6"/>
      <c r="CD359" s="4" t="str">
        <f aca="false">IF(OR(CB359="",CC359=""),"",IFERROR(IF($K359="%",CC359-CB359,CC359/CB359-1),""))</f>
        <v/>
      </c>
      <c r="CE359" s="5" t="str">
        <f aca="false">IF(OR(CB359="",CC359=""),"",IF($F359="Maior Melhor",IF(CC359&gt;=CB359,"Sim","Não"),IF(CC359&lt;=CB359,"Sim","Não")))</f>
        <v/>
      </c>
      <c r="CF359" s="6"/>
      <c r="CG359" s="6"/>
      <c r="CH359" s="4" t="str">
        <f aca="false">IF(OR(CF359="",CG359=""),"",IFERROR(IF($K359="%",CG359-CF359,CG359/CF359-1),""))</f>
        <v/>
      </c>
      <c r="CI359" s="5" t="str">
        <f aca="false">IF(OR(CF359="",CG359=""),"",IF($F359="Maior Melhor",IF(CG359&gt;=CF359,"Sim","Não"),IF(CG359&lt;=CF359,"Sim","Não")))</f>
        <v/>
      </c>
      <c r="CJ359" s="6"/>
      <c r="CK359" s="6"/>
      <c r="CL359" s="4" t="str">
        <f aca="false">IF(OR(CJ359="",CK359=""),"",IFERROR(IF($K359="%",CK359-CJ359,CK359/CJ359-1),""))</f>
        <v/>
      </c>
      <c r="CM359" s="5" t="str">
        <f aca="false">IF(OR(CJ359="",CK359=""),"",IF($F359="Maior Melhor",IF(CK359&gt;=CJ359,"Sim","Não"),IF(CK359&lt;=CJ359,"Sim","Não")))</f>
        <v/>
      </c>
      <c r="CN359" s="6"/>
      <c r="CO359" s="6"/>
      <c r="CP359" s="4" t="str">
        <f aca="false">IF(OR(CN359="",CO359=""),"",IFERROR(IF($K359="%",CO359-CN359,CO359/CN359-1),""))</f>
        <v/>
      </c>
      <c r="CQ359" s="5" t="str">
        <f aca="false">IF(OR(CN359="",CO359=""),"",IF($F359="Maior Melhor",IF(CO359&gt;=CN359,"Sim","Não"),IF(CO359&lt;=CN359,"Sim","Não")))</f>
        <v/>
      </c>
      <c r="CR359" s="2" t="s">
        <v>143</v>
      </c>
    </row>
    <row r="360" customFormat="false" ht="15" hidden="false" customHeight="false" outlineLevel="0" collapsed="false">
      <c r="A360" s="2" t="s">
        <v>96</v>
      </c>
      <c r="B360" s="2" t="s">
        <v>97</v>
      </c>
      <c r="C360" s="2" t="s">
        <v>130</v>
      </c>
      <c r="D360" s="2" t="s">
        <v>202</v>
      </c>
      <c r="E360" s="2" t="str">
        <f aca="false">C360&amp;D360</f>
        <v>UTD SEABRAServiço atendido no prazo* (Eficácia do Plano de Manutenção)</v>
      </c>
      <c r="F360" s="2" t="s">
        <v>100</v>
      </c>
      <c r="G360" s="2" t="s">
        <v>203</v>
      </c>
      <c r="H360" s="2" t="s">
        <v>102</v>
      </c>
      <c r="I360" s="2" t="s">
        <v>103</v>
      </c>
      <c r="J360" s="2" t="n">
        <v>0</v>
      </c>
      <c r="K360" s="2" t="s">
        <v>104</v>
      </c>
      <c r="L360" s="3"/>
      <c r="M360" s="3"/>
      <c r="N360" s="4" t="str">
        <f aca="false">IF(OR(L360="",M360=""),"",IFERROR(IF($K360="%",M360-L360,M360/L360-1),""))</f>
        <v/>
      </c>
      <c r="O360" s="5" t="str">
        <f aca="false">IF(OR(L360="",M360=""),"",IF($F360="Maior Melhor",IF(M360&gt;=L360,"Sim","Não"),IF(M360&lt;=L360,"Sim","Não")))</f>
        <v/>
      </c>
      <c r="P360" s="3"/>
      <c r="Q360" s="3"/>
      <c r="R360" s="4" t="str">
        <f aca="false">IF(OR(P360="",Q360=""),"",IFERROR(IF($K360="%",Q360-P360,Q360/P360-1),""))</f>
        <v/>
      </c>
      <c r="S360" s="5" t="str">
        <f aca="false">IF(OR(P360="",Q360=""),"",IF($F360="Maior Melhor",IF(Q360&gt;=P360,"Sim","Não"),IF(Q360&lt;=P360,"Sim","Não")))</f>
        <v/>
      </c>
      <c r="T360" s="3"/>
      <c r="U360" s="3"/>
      <c r="V360" s="4" t="str">
        <f aca="false">IF(OR(T360="",U360=""),"",IFERROR(IF($K360="%",U360-T360,U360/T360-1),""))</f>
        <v/>
      </c>
      <c r="W360" s="5" t="str">
        <f aca="false">IF(OR(T360="",U360=""),"",IF($F360="Maior Melhor",IF(U360&gt;=T360,"Sim","Não"),IF(U360&lt;=T360,"Sim","Não")))</f>
        <v/>
      </c>
      <c r="X360" s="3"/>
      <c r="Y360" s="3"/>
      <c r="Z360" s="4" t="str">
        <f aca="false">IF(OR(X360="",Y360=""),"",IFERROR(IF($K360="%",Y360-X360,Y360/X360-1),""))</f>
        <v/>
      </c>
      <c r="AA360" s="5" t="str">
        <f aca="false">IF(OR(X360="",Y360=""),"",IF($F360="Maior Melhor",IF(Y360&gt;=X360,"Sim","Não"),IF(Y360&lt;=X360,"Sim","Não")))</f>
        <v/>
      </c>
      <c r="AB360" s="3"/>
      <c r="AC360" s="3"/>
      <c r="AD360" s="4" t="str">
        <f aca="false">IF(OR(AB360="",AC360=""),"",IFERROR(IF($K360="%",AC360-AB360,AC360/AB360-1),""))</f>
        <v/>
      </c>
      <c r="AE360" s="5" t="str">
        <f aca="false">IF(OR(AB360="",AC360=""),"",IF($F360="Maior Melhor",IF(AC360&gt;=AB360,"Sim","Não"),IF(AC360&lt;=AB360,"Sim","Não")))</f>
        <v/>
      </c>
      <c r="AF360" s="3"/>
      <c r="AG360" s="3"/>
      <c r="AH360" s="4" t="str">
        <f aca="false">IF(OR(AF360="",AG360=""),"",IFERROR(IF($K360="%",AG360-AF360,AG360/AF360-1),""))</f>
        <v/>
      </c>
      <c r="AI360" s="5" t="str">
        <f aca="false">IF(OR(AF360="",AG360=""),"",IF($F360="Maior Melhor",IF(AG360&gt;=AF360,"Sim","Não"),IF(AG360&lt;=AF360,"Sim","Não")))</f>
        <v/>
      </c>
      <c r="AJ360" s="3"/>
      <c r="AK360" s="3"/>
      <c r="AL360" s="4" t="str">
        <f aca="false">IF(OR(AJ360="",AK360=""),"",IFERROR(IF($K360="%",AK360-AJ360,AK360/AJ360-1),""))</f>
        <v/>
      </c>
      <c r="AM360" s="5" t="str">
        <f aca="false">IF(OR(AJ360="",AK360=""),"",IF($F360="Maior Melhor",IF(AK360&gt;=AJ360,"Sim","Não"),IF(AK360&lt;=AJ360,"Sim","Não")))</f>
        <v/>
      </c>
      <c r="AN360" s="3"/>
      <c r="AO360" s="3"/>
      <c r="AP360" s="4" t="str">
        <f aca="false">IF(OR(AN360="",AO360=""),"",IFERROR(IF($K360="%",AO360-AN360,AO360/AN360-1),""))</f>
        <v/>
      </c>
      <c r="AQ360" s="5" t="str">
        <f aca="false">IF(OR(AN360="",AO360=""),"",IF($F360="Maior Melhor",IF(AO360&gt;=AN360,"Sim","Não"),IF(AO360&lt;=AN360,"Sim","Não")))</f>
        <v/>
      </c>
      <c r="AR360" s="3"/>
      <c r="AS360" s="3"/>
      <c r="AT360" s="4" t="str">
        <f aca="false">IF(OR(AR360="",AS360=""),"",IFERROR(IF($K360="%",AS360-AR360,AS360/AR360-1),""))</f>
        <v/>
      </c>
      <c r="AU360" s="5" t="str">
        <f aca="false">IF(OR(AR360="",AS360=""),"",IF($F360="Maior Melhor",IF(AS360&gt;=AR360,"Sim","Não"),IF(AS360&lt;=AR360,"Sim","Não")))</f>
        <v/>
      </c>
      <c r="AV360" s="3"/>
      <c r="AW360" s="3"/>
      <c r="AX360" s="4" t="str">
        <f aca="false">IF(OR(AV360="",AW360=""),"",IFERROR(IF($K360="%",AW360-AV360,AW360/AV360-1),""))</f>
        <v/>
      </c>
      <c r="AY360" s="5" t="str">
        <f aca="false">IF(OR(AV360="",AW360=""),"",IF($F360="Maior Melhor",IF(AW360&gt;=AV360,"Sim","Não"),IF(AW360&lt;=AV360,"Sim","Não")))</f>
        <v/>
      </c>
      <c r="AZ360" s="3"/>
      <c r="BA360" s="3"/>
      <c r="BB360" s="4" t="str">
        <f aca="false">IF(OR(AZ360="",BA360=""),"",IFERROR(IF($K360="%",BA360-AZ360,BA360/AZ360-1),""))</f>
        <v/>
      </c>
      <c r="BC360" s="5" t="str">
        <f aca="false">IF(OR(AZ360="",BA360=""),"",IF($F360="Maior Melhor",IF(BA360&gt;=AZ360,"Sim","Não"),IF(BA360&lt;=AZ360,"Sim","Não")))</f>
        <v/>
      </c>
      <c r="BD360" s="3"/>
      <c r="BE360" s="3"/>
      <c r="BF360" s="4" t="str">
        <f aca="false">IF(OR(BD360="",BE360=""),"",IFERROR(IF($K360="%",BE360-BD360,BE360/BD360-1),""))</f>
        <v/>
      </c>
      <c r="BG360" s="5" t="str">
        <f aca="false">IF(OR(BD360="",BE360=""),"",IF($F360="Maior Melhor",IF(BE360&gt;=BD360,"Sim","Não"),IF(BE360&lt;=BD360,"Sim","Não")))</f>
        <v/>
      </c>
      <c r="BH360" s="3"/>
      <c r="BI360" s="3"/>
      <c r="BJ360" s="4" t="str">
        <f aca="false">IF(OR(BH360="",BI360=""),"",IFERROR(IF($K360="%",BI360-BH360,BI360/BH360-1),""))</f>
        <v/>
      </c>
      <c r="BK360" s="5" t="str">
        <f aca="false">IF(OR(BH360="",BI360=""),"",IF($F360="Maior Melhor",IF(BI360&gt;=BH360,"Sim","Não"),IF(BI360&lt;=BH360,"Sim","Não")))</f>
        <v/>
      </c>
      <c r="BL360" s="6"/>
      <c r="BM360" s="6"/>
      <c r="BN360" s="4" t="str">
        <f aca="false">IF(OR(BL360="",BM360=""),"",IFERROR(IF($K360="%",BM360-BL360,BM360/BL360-1),""))</f>
        <v/>
      </c>
      <c r="BO360" s="5" t="str">
        <f aca="false">IF(OR(BL360="",BM360=""),"",IF($F360="Maior Melhor",IF(BM360&gt;=BL360,"Sim","Não"),IF(BM360&lt;=BL360,"Sim","Não")))</f>
        <v/>
      </c>
      <c r="BP360" s="6"/>
      <c r="BQ360" s="6"/>
      <c r="BR360" s="4" t="str">
        <f aca="false">IF(OR(BP360="",BQ360=""),"",IFERROR(IF($K360="%",BQ360-BP360,BQ360/BP360-1),""))</f>
        <v/>
      </c>
      <c r="BS360" s="5" t="str">
        <f aca="false">IF(OR(BP360="",BQ360=""),"",IF($F360="Maior Melhor",IF(BQ360&gt;=BP360,"Sim","Não"),IF(BQ360&lt;=BP360,"Sim","Não")))</f>
        <v/>
      </c>
      <c r="BT360" s="6"/>
      <c r="BU360" s="6"/>
      <c r="BV360" s="4" t="str">
        <f aca="false">IF(OR(BT360="",BU360=""),"",IFERROR(IF($K360="%",BU360-BT360,BU360/BT360-1),""))</f>
        <v/>
      </c>
      <c r="BW360" s="5" t="str">
        <f aca="false">IF(OR(BT360="",BU360=""),"",IF($F360="Maior Melhor",IF(BU360&gt;=BT360,"Sim","Não"),IF(BU360&lt;=BT360,"Sim","Não")))</f>
        <v/>
      </c>
      <c r="BX360" s="6"/>
      <c r="BY360" s="6"/>
      <c r="BZ360" s="4" t="str">
        <f aca="false">IF(OR(BX360="",BY360=""),"",IFERROR(IF($K360="%",BY360-BX360,BY360/BX360-1),""))</f>
        <v/>
      </c>
      <c r="CA360" s="5" t="str">
        <f aca="false">IF(OR(BX360="",BY360=""),"",IF($F360="Maior Melhor",IF(BY360&gt;=BX360,"Sim","Não"),IF(BY360&lt;=BX360,"Sim","Não")))</f>
        <v/>
      </c>
      <c r="CB360" s="6"/>
      <c r="CC360" s="6"/>
      <c r="CD360" s="4" t="str">
        <f aca="false">IF(OR(CB360="",CC360=""),"",IFERROR(IF($K360="%",CC360-CB360,CC360/CB360-1),""))</f>
        <v/>
      </c>
      <c r="CE360" s="5" t="str">
        <f aca="false">IF(OR(CB360="",CC360=""),"",IF($F360="Maior Melhor",IF(CC360&gt;=CB360,"Sim","Não"),IF(CC360&lt;=CB360,"Sim","Não")))</f>
        <v/>
      </c>
      <c r="CF360" s="6"/>
      <c r="CG360" s="6"/>
      <c r="CH360" s="4" t="str">
        <f aca="false">IF(OR(CF360="",CG360=""),"",IFERROR(IF($K360="%",CG360-CF360,CG360/CF360-1),""))</f>
        <v/>
      </c>
      <c r="CI360" s="5" t="str">
        <f aca="false">IF(OR(CF360="",CG360=""),"",IF($F360="Maior Melhor",IF(CG360&gt;=CF360,"Sim","Não"),IF(CG360&lt;=CF360,"Sim","Não")))</f>
        <v/>
      </c>
      <c r="CJ360" s="6"/>
      <c r="CK360" s="6"/>
      <c r="CL360" s="4" t="str">
        <f aca="false">IF(OR(CJ360="",CK360=""),"",IFERROR(IF($K360="%",CK360-CJ360,CK360/CJ360-1),""))</f>
        <v/>
      </c>
      <c r="CM360" s="5" t="str">
        <f aca="false">IF(OR(CJ360="",CK360=""),"",IF($F360="Maior Melhor",IF(CK360&gt;=CJ360,"Sim","Não"),IF(CK360&lt;=CJ360,"Sim","Não")))</f>
        <v/>
      </c>
      <c r="CN360" s="6"/>
      <c r="CO360" s="6"/>
      <c r="CP360" s="4" t="str">
        <f aca="false">IF(OR(CN360="",CO360=""),"",IFERROR(IF($K360="%",CO360-CN360,CO360/CN360-1),""))</f>
        <v/>
      </c>
      <c r="CQ360" s="5" t="str">
        <f aca="false">IF(OR(CN360="",CO360=""),"",IF($F360="Maior Melhor",IF(CO360&gt;=CN360,"Sim","Não"),IF(CO360&lt;=CN360,"Sim","Não")))</f>
        <v/>
      </c>
      <c r="CR360" s="2" t="s">
        <v>105</v>
      </c>
    </row>
    <row r="361" customFormat="false" ht="15" hidden="false" customHeight="false" outlineLevel="0" collapsed="false">
      <c r="A361" s="2" t="s">
        <v>96</v>
      </c>
      <c r="B361" s="2" t="s">
        <v>108</v>
      </c>
      <c r="C361" s="2" t="s">
        <v>131</v>
      </c>
      <c r="D361" s="2" t="s">
        <v>202</v>
      </c>
      <c r="E361" s="2" t="str">
        <f aca="false">C361&amp;D361</f>
        <v>UTD VITORIA DA CONQUISTAServiço atendido no prazo* (Eficácia do Plano de Manutenção)</v>
      </c>
      <c r="F361" s="2" t="s">
        <v>100</v>
      </c>
      <c r="G361" s="2" t="s">
        <v>203</v>
      </c>
      <c r="H361" s="2" t="s">
        <v>102</v>
      </c>
      <c r="I361" s="2" t="s">
        <v>103</v>
      </c>
      <c r="J361" s="2" t="n">
        <v>0</v>
      </c>
      <c r="K361" s="2" t="s">
        <v>104</v>
      </c>
      <c r="L361" s="3"/>
      <c r="M361" s="3"/>
      <c r="N361" s="4" t="str">
        <f aca="false">IF(OR(L361="",M361=""),"",IFERROR(IF($K361="%",M361-L361,M361/L361-1),""))</f>
        <v/>
      </c>
      <c r="O361" s="5" t="str">
        <f aca="false">IF(OR(L361="",M361=""),"",IF($F361="Maior Melhor",IF(M361&gt;=L361,"Sim","Não"),IF(M361&lt;=L361,"Sim","Não")))</f>
        <v/>
      </c>
      <c r="P361" s="3"/>
      <c r="Q361" s="3"/>
      <c r="R361" s="4" t="str">
        <f aca="false">IF(OR(P361="",Q361=""),"",IFERROR(IF($K361="%",Q361-P361,Q361/P361-1),""))</f>
        <v/>
      </c>
      <c r="S361" s="5" t="str">
        <f aca="false">IF(OR(P361="",Q361=""),"",IF($F361="Maior Melhor",IF(Q361&gt;=P361,"Sim","Não"),IF(Q361&lt;=P361,"Sim","Não")))</f>
        <v/>
      </c>
      <c r="T361" s="3"/>
      <c r="U361" s="3"/>
      <c r="V361" s="4" t="str">
        <f aca="false">IF(OR(T361="",U361=""),"",IFERROR(IF($K361="%",U361-T361,U361/T361-1),""))</f>
        <v/>
      </c>
      <c r="W361" s="5" t="str">
        <f aca="false">IF(OR(T361="",U361=""),"",IF($F361="Maior Melhor",IF(U361&gt;=T361,"Sim","Não"),IF(U361&lt;=T361,"Sim","Não")))</f>
        <v/>
      </c>
      <c r="X361" s="3"/>
      <c r="Y361" s="3"/>
      <c r="Z361" s="4" t="str">
        <f aca="false">IF(OR(X361="",Y361=""),"",IFERROR(IF($K361="%",Y361-X361,Y361/X361-1),""))</f>
        <v/>
      </c>
      <c r="AA361" s="5" t="str">
        <f aca="false">IF(OR(X361="",Y361=""),"",IF($F361="Maior Melhor",IF(Y361&gt;=X361,"Sim","Não"),IF(Y361&lt;=X361,"Sim","Não")))</f>
        <v/>
      </c>
      <c r="AB361" s="3"/>
      <c r="AC361" s="3"/>
      <c r="AD361" s="4" t="str">
        <f aca="false">IF(OR(AB361="",AC361=""),"",IFERROR(IF($K361="%",AC361-AB361,AC361/AB361-1),""))</f>
        <v/>
      </c>
      <c r="AE361" s="5" t="str">
        <f aca="false">IF(OR(AB361="",AC361=""),"",IF($F361="Maior Melhor",IF(AC361&gt;=AB361,"Sim","Não"),IF(AC361&lt;=AB361,"Sim","Não")))</f>
        <v/>
      </c>
      <c r="AF361" s="3"/>
      <c r="AG361" s="3"/>
      <c r="AH361" s="4" t="str">
        <f aca="false">IF(OR(AF361="",AG361=""),"",IFERROR(IF($K361="%",AG361-AF361,AG361/AF361-1),""))</f>
        <v/>
      </c>
      <c r="AI361" s="5" t="str">
        <f aca="false">IF(OR(AF361="",AG361=""),"",IF($F361="Maior Melhor",IF(AG361&gt;=AF361,"Sim","Não"),IF(AG361&lt;=AF361,"Sim","Não")))</f>
        <v/>
      </c>
      <c r="AJ361" s="3"/>
      <c r="AK361" s="3"/>
      <c r="AL361" s="4" t="str">
        <f aca="false">IF(OR(AJ361="",AK361=""),"",IFERROR(IF($K361="%",AK361-AJ361,AK361/AJ361-1),""))</f>
        <v/>
      </c>
      <c r="AM361" s="5" t="str">
        <f aca="false">IF(OR(AJ361="",AK361=""),"",IF($F361="Maior Melhor",IF(AK361&gt;=AJ361,"Sim","Não"),IF(AK361&lt;=AJ361,"Sim","Não")))</f>
        <v/>
      </c>
      <c r="AN361" s="3"/>
      <c r="AO361" s="3"/>
      <c r="AP361" s="4" t="str">
        <f aca="false">IF(OR(AN361="",AO361=""),"",IFERROR(IF($K361="%",AO361-AN361,AO361/AN361-1),""))</f>
        <v/>
      </c>
      <c r="AQ361" s="5" t="str">
        <f aca="false">IF(OR(AN361="",AO361=""),"",IF($F361="Maior Melhor",IF(AO361&gt;=AN361,"Sim","Não"),IF(AO361&lt;=AN361,"Sim","Não")))</f>
        <v/>
      </c>
      <c r="AR361" s="3"/>
      <c r="AS361" s="3"/>
      <c r="AT361" s="4" t="str">
        <f aca="false">IF(OR(AR361="",AS361=""),"",IFERROR(IF($K361="%",AS361-AR361,AS361/AR361-1),""))</f>
        <v/>
      </c>
      <c r="AU361" s="5" t="str">
        <f aca="false">IF(OR(AR361="",AS361=""),"",IF($F361="Maior Melhor",IF(AS361&gt;=AR361,"Sim","Não"),IF(AS361&lt;=AR361,"Sim","Não")))</f>
        <v/>
      </c>
      <c r="AV361" s="3"/>
      <c r="AW361" s="3"/>
      <c r="AX361" s="4" t="str">
        <f aca="false">IF(OR(AV361="",AW361=""),"",IFERROR(IF($K361="%",AW361-AV361,AW361/AV361-1),""))</f>
        <v/>
      </c>
      <c r="AY361" s="5" t="str">
        <f aca="false">IF(OR(AV361="",AW361=""),"",IF($F361="Maior Melhor",IF(AW361&gt;=AV361,"Sim","Não"),IF(AW361&lt;=AV361,"Sim","Não")))</f>
        <v/>
      </c>
      <c r="AZ361" s="3"/>
      <c r="BA361" s="3"/>
      <c r="BB361" s="4" t="str">
        <f aca="false">IF(OR(AZ361="",BA361=""),"",IFERROR(IF($K361="%",BA361-AZ361,BA361/AZ361-1),""))</f>
        <v/>
      </c>
      <c r="BC361" s="5" t="str">
        <f aca="false">IF(OR(AZ361="",BA361=""),"",IF($F361="Maior Melhor",IF(BA361&gt;=AZ361,"Sim","Não"),IF(BA361&lt;=AZ361,"Sim","Não")))</f>
        <v/>
      </c>
      <c r="BD361" s="3"/>
      <c r="BE361" s="3"/>
      <c r="BF361" s="4" t="str">
        <f aca="false">IF(OR(BD361="",BE361=""),"",IFERROR(IF($K361="%",BE361-BD361,BE361/BD361-1),""))</f>
        <v/>
      </c>
      <c r="BG361" s="5" t="str">
        <f aca="false">IF(OR(BD361="",BE361=""),"",IF($F361="Maior Melhor",IF(BE361&gt;=BD361,"Sim","Não"),IF(BE361&lt;=BD361,"Sim","Não")))</f>
        <v/>
      </c>
      <c r="BH361" s="3"/>
      <c r="BI361" s="3"/>
      <c r="BJ361" s="4" t="str">
        <f aca="false">IF(OR(BH361="",BI361=""),"",IFERROR(IF($K361="%",BI361-BH361,BI361/BH361-1),""))</f>
        <v/>
      </c>
      <c r="BK361" s="5" t="str">
        <f aca="false">IF(OR(BH361="",BI361=""),"",IF($F361="Maior Melhor",IF(BI361&gt;=BH361,"Sim","Não"),IF(BI361&lt;=BH361,"Sim","Não")))</f>
        <v/>
      </c>
      <c r="BL361" s="6"/>
      <c r="BM361" s="6"/>
      <c r="BN361" s="4" t="str">
        <f aca="false">IF(OR(BL361="",BM361=""),"",IFERROR(IF($K361="%",BM361-BL361,BM361/BL361-1),""))</f>
        <v/>
      </c>
      <c r="BO361" s="5" t="str">
        <f aca="false">IF(OR(BL361="",BM361=""),"",IF($F361="Maior Melhor",IF(BM361&gt;=BL361,"Sim","Não"),IF(BM361&lt;=BL361,"Sim","Não")))</f>
        <v/>
      </c>
      <c r="BP361" s="6"/>
      <c r="BQ361" s="6"/>
      <c r="BR361" s="4" t="str">
        <f aca="false">IF(OR(BP361="",BQ361=""),"",IFERROR(IF($K361="%",BQ361-BP361,BQ361/BP361-1),""))</f>
        <v/>
      </c>
      <c r="BS361" s="5" t="str">
        <f aca="false">IF(OR(BP361="",BQ361=""),"",IF($F361="Maior Melhor",IF(BQ361&gt;=BP361,"Sim","Não"),IF(BQ361&lt;=BP361,"Sim","Não")))</f>
        <v/>
      </c>
      <c r="BT361" s="6"/>
      <c r="BU361" s="6"/>
      <c r="BV361" s="4" t="str">
        <f aca="false">IF(OR(BT361="",BU361=""),"",IFERROR(IF($K361="%",BU361-BT361,BU361/BT361-1),""))</f>
        <v/>
      </c>
      <c r="BW361" s="5" t="str">
        <f aca="false">IF(OR(BT361="",BU361=""),"",IF($F361="Maior Melhor",IF(BU361&gt;=BT361,"Sim","Não"),IF(BU361&lt;=BT361,"Sim","Não")))</f>
        <v/>
      </c>
      <c r="BX361" s="6"/>
      <c r="BY361" s="6"/>
      <c r="BZ361" s="4" t="str">
        <f aca="false">IF(OR(BX361="",BY361=""),"",IFERROR(IF($K361="%",BY361-BX361,BY361/BX361-1),""))</f>
        <v/>
      </c>
      <c r="CA361" s="5" t="str">
        <f aca="false">IF(OR(BX361="",BY361=""),"",IF($F361="Maior Melhor",IF(BY361&gt;=BX361,"Sim","Não"),IF(BY361&lt;=BX361,"Sim","Não")))</f>
        <v/>
      </c>
      <c r="CB361" s="6"/>
      <c r="CC361" s="6"/>
      <c r="CD361" s="4" t="str">
        <f aca="false">IF(OR(CB361="",CC361=""),"",IFERROR(IF($K361="%",CC361-CB361,CC361/CB361-1),""))</f>
        <v/>
      </c>
      <c r="CE361" s="5" t="str">
        <f aca="false">IF(OR(CB361="",CC361=""),"",IF($F361="Maior Melhor",IF(CC361&gt;=CB361,"Sim","Não"),IF(CC361&lt;=CB361,"Sim","Não")))</f>
        <v/>
      </c>
      <c r="CF361" s="6"/>
      <c r="CG361" s="6"/>
      <c r="CH361" s="4" t="str">
        <f aca="false">IF(OR(CF361="",CG361=""),"",IFERROR(IF($K361="%",CG361-CF361,CG361/CF361-1),""))</f>
        <v/>
      </c>
      <c r="CI361" s="5" t="str">
        <f aca="false">IF(OR(CF361="",CG361=""),"",IF($F361="Maior Melhor",IF(CG361&gt;=CF361,"Sim","Não"),IF(CG361&lt;=CF361,"Sim","Não")))</f>
        <v/>
      </c>
      <c r="CJ361" s="6"/>
      <c r="CK361" s="6"/>
      <c r="CL361" s="4" t="str">
        <f aca="false">IF(OR(CJ361="",CK361=""),"",IFERROR(IF($K361="%",CK361-CJ361,CK361/CJ361-1),""))</f>
        <v/>
      </c>
      <c r="CM361" s="5" t="str">
        <f aca="false">IF(OR(CJ361="",CK361=""),"",IF($F361="Maior Melhor",IF(CK361&gt;=CJ361,"Sim","Não"),IF(CK361&lt;=CJ361,"Sim","Não")))</f>
        <v/>
      </c>
      <c r="CN361" s="6"/>
      <c r="CO361" s="6"/>
      <c r="CP361" s="4" t="str">
        <f aca="false">IF(OR(CN361="",CO361=""),"",IFERROR(IF($K361="%",CO361-CN361,CO361/CN361-1),""))</f>
        <v/>
      </c>
      <c r="CQ361" s="5" t="str">
        <f aca="false">IF(OR(CN361="",CO361=""),"",IF($F361="Maior Melhor",IF(CO361&gt;=CN361,"Sim","Não"),IF(CO361&lt;=CN361,"Sim","Não")))</f>
        <v/>
      </c>
      <c r="CR361" s="2" t="s">
        <v>105</v>
      </c>
    </row>
    <row r="362" customFormat="false" ht="15" hidden="false" customHeight="false" outlineLevel="0" collapsed="false">
      <c r="A362" s="2" t="s">
        <v>144</v>
      </c>
      <c r="B362" s="2" t="s">
        <v>97</v>
      </c>
      <c r="C362" s="2" t="s">
        <v>98</v>
      </c>
      <c r="D362" s="2" t="s">
        <v>204</v>
      </c>
      <c r="E362" s="2" t="str">
        <f aca="false">C362&amp;D362</f>
        <v>Gerência Centro OesteTaxa de Contato PP</v>
      </c>
      <c r="F362" s="2" t="s">
        <v>100</v>
      </c>
      <c r="G362" s="2" t="s">
        <v>205</v>
      </c>
      <c r="H362" s="2" t="s">
        <v>102</v>
      </c>
      <c r="I362" s="2" t="s">
        <v>103</v>
      </c>
      <c r="J362" s="2" t="n">
        <v>3</v>
      </c>
      <c r="K362" s="2" t="s">
        <v>104</v>
      </c>
      <c r="L362" s="3" t="n">
        <v>1</v>
      </c>
      <c r="M362" s="3" t="n">
        <v>0.88</v>
      </c>
      <c r="N362" s="4" t="n">
        <f aca="false">IF(OR(L362="",M362=""),"",IFERROR(IF($K362="%",M362-L362,M362/L362-1),""))</f>
        <v>-0.12</v>
      </c>
      <c r="O362" s="5" t="str">
        <f aca="false">IF(OR(L362="",M362=""),"",IF($F362="Maior Melhor",IF(M362&gt;=L362,"Sim","Não"),IF(M362&lt;=L362,"Sim","Não")))</f>
        <v>Não</v>
      </c>
      <c r="P362" s="3" t="n">
        <v>1</v>
      </c>
      <c r="Q362" s="3" t="n">
        <v>0.98</v>
      </c>
      <c r="R362" s="4" t="n">
        <f aca="false">IF(OR(P362="",Q362=""),"",IFERROR(IF($K362="%",Q362-P362,Q362/P362-1),""))</f>
        <v>-0.02</v>
      </c>
      <c r="S362" s="5" t="str">
        <f aca="false">IF(OR(P362="",Q362=""),"",IF($F362="Maior Melhor",IF(Q362&gt;=P362,"Sim","Não"),IF(Q362&lt;=P362,"Sim","Não")))</f>
        <v>Não</v>
      </c>
      <c r="T362" s="3" t="n">
        <v>1</v>
      </c>
      <c r="U362" s="3" t="n">
        <v>1</v>
      </c>
      <c r="V362" s="4" t="n">
        <f aca="false">IF(OR(T362="",U362=""),"",IFERROR(IF($K362="%",U362-T362,U362/T362-1),""))</f>
        <v>0</v>
      </c>
      <c r="W362" s="5" t="str">
        <f aca="false">IF(OR(T362="",U362=""),"",IF($F362="Maior Melhor",IF(U362&gt;=T362,"Sim","Não"),IF(U362&lt;=T362,"Sim","Não")))</f>
        <v>Sim</v>
      </c>
      <c r="X362" s="3" t="n">
        <v>1</v>
      </c>
      <c r="Y362" s="3" t="n">
        <v>1</v>
      </c>
      <c r="Z362" s="4" t="n">
        <f aca="false">IF(OR(X362="",Y362=""),"",IFERROR(IF($K362="%",Y362-X362,Y362/X362-1),""))</f>
        <v>0</v>
      </c>
      <c r="AA362" s="5" t="str">
        <f aca="false">IF(OR(X362="",Y362=""),"",IF($F362="Maior Melhor",IF(Y362&gt;=X362,"Sim","Não"),IF(Y362&lt;=X362,"Sim","Não")))</f>
        <v>Sim</v>
      </c>
      <c r="AB362" s="3" t="n">
        <v>1</v>
      </c>
      <c r="AC362" s="3" t="n">
        <v>1</v>
      </c>
      <c r="AD362" s="4" t="n">
        <f aca="false">IF(OR(AB362="",AC362=""),"",IFERROR(IF($K362="%",AC362-AB362,AC362/AB362-1),""))</f>
        <v>0</v>
      </c>
      <c r="AE362" s="5" t="str">
        <f aca="false">IF(OR(AB362="",AC362=""),"",IF($F362="Maior Melhor",IF(AC362&gt;=AB362,"Sim","Não"),IF(AC362&lt;=AB362,"Sim","Não")))</f>
        <v>Sim</v>
      </c>
      <c r="AF362" s="3" t="n">
        <v>1</v>
      </c>
      <c r="AG362" s="3" t="n">
        <v>1</v>
      </c>
      <c r="AH362" s="4" t="n">
        <f aca="false">IF(OR(AF362="",AG362=""),"",IFERROR(IF($K362="%",AG362-AF362,AG362/AF362-1),""))</f>
        <v>0</v>
      </c>
      <c r="AI362" s="5" t="str">
        <f aca="false">IF(OR(AF362="",AG362=""),"",IF($F362="Maior Melhor",IF(AG362&gt;=AF362,"Sim","Não"),IF(AG362&lt;=AF362,"Sim","Não")))</f>
        <v>Sim</v>
      </c>
      <c r="AJ362" s="3" t="n">
        <v>1</v>
      </c>
      <c r="AK362" s="3" t="n">
        <v>1</v>
      </c>
      <c r="AL362" s="4" t="n">
        <f aca="false">IF(OR(AJ362="",AK362=""),"",IFERROR(IF($K362="%",AK362-AJ362,AK362/AJ362-1),""))</f>
        <v>0</v>
      </c>
      <c r="AM362" s="5" t="str">
        <f aca="false">IF(OR(AJ362="",AK362=""),"",IF($F362="Maior Melhor",IF(AK362&gt;=AJ362,"Sim","Não"),IF(AK362&lt;=AJ362,"Sim","Não")))</f>
        <v>Sim</v>
      </c>
      <c r="AN362" s="3" t="n">
        <v>1</v>
      </c>
      <c r="AO362" s="3" t="n">
        <v>1</v>
      </c>
      <c r="AP362" s="4" t="n">
        <f aca="false">IF(OR(AN362="",AO362=""),"",IFERROR(IF($K362="%",AO362-AN362,AO362/AN362-1),""))</f>
        <v>0</v>
      </c>
      <c r="AQ362" s="5" t="str">
        <f aca="false">IF(OR(AN362="",AO362=""),"",IF($F362="Maior Melhor",IF(AO362&gt;=AN362,"Sim","Não"),IF(AO362&lt;=AN362,"Sim","Não")))</f>
        <v>Sim</v>
      </c>
      <c r="AR362" s="3" t="n">
        <v>1</v>
      </c>
      <c r="AS362" s="3" t="n">
        <v>1</v>
      </c>
      <c r="AT362" s="4" t="n">
        <f aca="false">IF(OR(AR362="",AS362=""),"",IFERROR(IF($K362="%",AS362-AR362,AS362/AR362-1),""))</f>
        <v>0</v>
      </c>
      <c r="AU362" s="5" t="str">
        <f aca="false">IF(OR(AR362="",AS362=""),"",IF($F362="Maior Melhor",IF(AS362&gt;=AR362,"Sim","Não"),IF(AS362&lt;=AR362,"Sim","Não")))</f>
        <v>Sim</v>
      </c>
      <c r="AV362" s="3" t="n">
        <v>1</v>
      </c>
      <c r="AW362" s="3" t="n">
        <v>1</v>
      </c>
      <c r="AX362" s="4" t="n">
        <f aca="false">IF(OR(AV362="",AW362=""),"",IFERROR(IF($K362="%",AW362-AV362,AW362/AV362-1),""))</f>
        <v>0</v>
      </c>
      <c r="AY362" s="5" t="str">
        <f aca="false">IF(OR(AV362="",AW362=""),"",IF($F362="Maior Melhor",IF(AW362&gt;=AV362,"Sim","Não"),IF(AW362&lt;=AV362,"Sim","Não")))</f>
        <v>Sim</v>
      </c>
      <c r="AZ362" s="3" t="n">
        <v>1</v>
      </c>
      <c r="BA362" s="3" t="n">
        <v>1</v>
      </c>
      <c r="BB362" s="4" t="n">
        <f aca="false">IF(OR(AZ362="",BA362=""),"",IFERROR(IF($K362="%",BA362-AZ362,BA362/AZ362-1),""))</f>
        <v>0</v>
      </c>
      <c r="BC362" s="5" t="str">
        <f aca="false">IF(OR(AZ362="",BA362=""),"",IF($F362="Maior Melhor",IF(BA362&gt;=AZ362,"Sim","Não"),IF(BA362&lt;=AZ362,"Sim","Não")))</f>
        <v>Sim</v>
      </c>
      <c r="BD362" s="3" t="n">
        <v>1</v>
      </c>
      <c r="BE362" s="3" t="n">
        <v>1</v>
      </c>
      <c r="BF362" s="4" t="n">
        <f aca="false">IF(OR(BD362="",BE362=""),"",IFERROR(IF($K362="%",BE362-BD362,BE362/BD362-1),""))</f>
        <v>0</v>
      </c>
      <c r="BG362" s="5" t="str">
        <f aca="false">IF(OR(BD362="",BE362=""),"",IF($F362="Maior Melhor",IF(BE362&gt;=BD362,"Sim","Não"),IF(BE362&lt;=BD362,"Sim","Não")))</f>
        <v>Sim</v>
      </c>
      <c r="BH362" s="3" t="n">
        <v>1</v>
      </c>
      <c r="BI362" s="3" t="n">
        <v>1</v>
      </c>
      <c r="BJ362" s="4" t="n">
        <f aca="false">IF(OR(BH362="",BI362=""),"",IFERROR(IF($K362="%",BI362-BH362,BI362/BH362-1),""))</f>
        <v>0</v>
      </c>
      <c r="BK362" s="5" t="str">
        <f aca="false">IF(OR(BH362="",BI362=""),"",IF($F362="Maior Melhor",IF(BI362&gt;=BH362,"Sim","Não"),IF(BI362&lt;=BH362,"Sim","Não")))</f>
        <v>Sim</v>
      </c>
      <c r="BL362" s="6"/>
      <c r="BM362" s="6"/>
      <c r="BN362" s="4" t="str">
        <f aca="false">IF(OR(BL362="",BM362=""),"",IFERROR(IF($K362="%",BM362-BL362,BM362/BL362-1),""))</f>
        <v/>
      </c>
      <c r="BO362" s="5" t="str">
        <f aca="false">IF(OR(BL362="",BM362=""),"",IF($F362="Maior Melhor",IF(BM362&gt;=BL362,"Sim","Não"),IF(BM362&lt;=BL362,"Sim","Não")))</f>
        <v/>
      </c>
      <c r="BP362" s="6"/>
      <c r="BQ362" s="6"/>
      <c r="BR362" s="4" t="str">
        <f aca="false">IF(OR(BP362="",BQ362=""),"",IFERROR(IF($K362="%",BQ362-BP362,BQ362/BP362-1),""))</f>
        <v/>
      </c>
      <c r="BS362" s="5" t="str">
        <f aca="false">IF(OR(BP362="",BQ362=""),"",IF($F362="Maior Melhor",IF(BQ362&gt;=BP362,"Sim","Não"),IF(BQ362&lt;=BP362,"Sim","Não")))</f>
        <v/>
      </c>
      <c r="BT362" s="6"/>
      <c r="BU362" s="6"/>
      <c r="BV362" s="4" t="str">
        <f aca="false">IF(OR(BT362="",BU362=""),"",IFERROR(IF($K362="%",BU362-BT362,BU362/BT362-1),""))</f>
        <v/>
      </c>
      <c r="BW362" s="5" t="str">
        <f aca="false">IF(OR(BT362="",BU362=""),"",IF($F362="Maior Melhor",IF(BU362&gt;=BT362,"Sim","Não"),IF(BU362&lt;=BT362,"Sim","Não")))</f>
        <v/>
      </c>
      <c r="BX362" s="6"/>
      <c r="BY362" s="6"/>
      <c r="BZ362" s="4" t="str">
        <f aca="false">IF(OR(BX362="",BY362=""),"",IFERROR(IF($K362="%",BY362-BX362,BY362/BX362-1),""))</f>
        <v/>
      </c>
      <c r="CA362" s="5" t="str">
        <f aca="false">IF(OR(BX362="",BY362=""),"",IF($F362="Maior Melhor",IF(BY362&gt;=BX362,"Sim","Não"),IF(BY362&lt;=BX362,"Sim","Não")))</f>
        <v/>
      </c>
      <c r="CB362" s="6"/>
      <c r="CC362" s="6"/>
      <c r="CD362" s="4" t="str">
        <f aca="false">IF(OR(CB362="",CC362=""),"",IFERROR(IF($K362="%",CC362-CB362,CC362/CB362-1),""))</f>
        <v/>
      </c>
      <c r="CE362" s="5" t="str">
        <f aca="false">IF(OR(CB362="",CC362=""),"",IF($F362="Maior Melhor",IF(CC362&gt;=CB362,"Sim","Não"),IF(CC362&lt;=CB362,"Sim","Não")))</f>
        <v/>
      </c>
      <c r="CF362" s="6"/>
      <c r="CG362" s="6"/>
      <c r="CH362" s="4" t="str">
        <f aca="false">IF(OR(CF362="",CG362=""),"",IFERROR(IF($K362="%",CG362-CF362,CG362/CF362-1),""))</f>
        <v/>
      </c>
      <c r="CI362" s="5" t="str">
        <f aca="false">IF(OR(CF362="",CG362=""),"",IF($F362="Maior Melhor",IF(CG362&gt;=CF362,"Sim","Não"),IF(CG362&lt;=CF362,"Sim","Não")))</f>
        <v/>
      </c>
      <c r="CJ362" s="6"/>
      <c r="CK362" s="6"/>
      <c r="CL362" s="4" t="str">
        <f aca="false">IF(OR(CJ362="",CK362=""),"",IFERROR(IF($K362="%",CK362-CJ362,CK362/CJ362-1),""))</f>
        <v/>
      </c>
      <c r="CM362" s="5" t="str">
        <f aca="false">IF(OR(CJ362="",CK362=""),"",IF($F362="Maior Melhor",IF(CK362&gt;=CJ362,"Sim","Não"),IF(CK362&lt;=CJ362,"Sim","Não")))</f>
        <v/>
      </c>
      <c r="CN362" s="6"/>
      <c r="CO362" s="6"/>
      <c r="CP362" s="4" t="str">
        <f aca="false">IF(OR(CN362="",CO362=""),"",IFERROR(IF($K362="%",CO362-CN362,CO362/CN362-1),""))</f>
        <v/>
      </c>
      <c r="CQ362" s="5" t="str">
        <f aca="false">IF(OR(CN362="",CO362=""),"",IF($F362="Maior Melhor",IF(CO362&gt;=CN362,"Sim","Não"),IF(CO362&lt;=CN362,"Sim","Não")))</f>
        <v/>
      </c>
      <c r="CR362" s="2" t="s">
        <v>105</v>
      </c>
    </row>
    <row r="363" customFormat="false" ht="15" hidden="false" customHeight="false" outlineLevel="0" collapsed="false">
      <c r="A363" s="2" t="s">
        <v>144</v>
      </c>
      <c r="B363" s="2" t="s">
        <v>106</v>
      </c>
      <c r="C363" s="2" t="s">
        <v>107</v>
      </c>
      <c r="D363" s="2" t="s">
        <v>204</v>
      </c>
      <c r="E363" s="2" t="str">
        <f aca="false">C363&amp;D363</f>
        <v>Gerência OesteTaxa de Contato PP</v>
      </c>
      <c r="F363" s="2" t="s">
        <v>100</v>
      </c>
      <c r="G363" s="2" t="s">
        <v>205</v>
      </c>
      <c r="H363" s="2" t="s">
        <v>102</v>
      </c>
      <c r="I363" s="2" t="s">
        <v>103</v>
      </c>
      <c r="J363" s="2" t="n">
        <v>3</v>
      </c>
      <c r="K363" s="2" t="s">
        <v>104</v>
      </c>
      <c r="L363" s="3" t="n">
        <v>1</v>
      </c>
      <c r="M363" s="3" t="n">
        <v>0.55</v>
      </c>
      <c r="N363" s="4" t="n">
        <f aca="false">IF(OR(L363="",M363=""),"",IFERROR(IF($K363="%",M363-L363,M363/L363-1),""))</f>
        <v>-0.45</v>
      </c>
      <c r="O363" s="5" t="str">
        <f aca="false">IF(OR(L363="",M363=""),"",IF($F363="Maior Melhor",IF(M363&gt;=L363,"Sim","Não"),IF(M363&lt;=L363,"Sim","Não")))</f>
        <v>Não</v>
      </c>
      <c r="P363" s="3" t="n">
        <v>1</v>
      </c>
      <c r="Q363" s="3" t="n">
        <v>0.98</v>
      </c>
      <c r="R363" s="4" t="n">
        <f aca="false">IF(OR(P363="",Q363=""),"",IFERROR(IF($K363="%",Q363-P363,Q363/P363-1),""))</f>
        <v>-0.02</v>
      </c>
      <c r="S363" s="5" t="str">
        <f aca="false">IF(OR(P363="",Q363=""),"",IF($F363="Maior Melhor",IF(Q363&gt;=P363,"Sim","Não"),IF(Q363&lt;=P363,"Sim","Não")))</f>
        <v>Não</v>
      </c>
      <c r="T363" s="3" t="n">
        <v>1</v>
      </c>
      <c r="U363" s="3" t="n">
        <v>1</v>
      </c>
      <c r="V363" s="4" t="n">
        <f aca="false">IF(OR(T363="",U363=""),"",IFERROR(IF($K363="%",U363-T363,U363/T363-1),""))</f>
        <v>0</v>
      </c>
      <c r="W363" s="5" t="str">
        <f aca="false">IF(OR(T363="",U363=""),"",IF($F363="Maior Melhor",IF(U363&gt;=T363,"Sim","Não"),IF(U363&lt;=T363,"Sim","Não")))</f>
        <v>Sim</v>
      </c>
      <c r="X363" s="3" t="n">
        <v>1</v>
      </c>
      <c r="Y363" s="3" t="n">
        <v>1</v>
      </c>
      <c r="Z363" s="4" t="n">
        <f aca="false">IF(OR(X363="",Y363=""),"",IFERROR(IF($K363="%",Y363-X363,Y363/X363-1),""))</f>
        <v>0</v>
      </c>
      <c r="AA363" s="5" t="str">
        <f aca="false">IF(OR(X363="",Y363=""),"",IF($F363="Maior Melhor",IF(Y363&gt;=X363,"Sim","Não"),IF(Y363&lt;=X363,"Sim","Não")))</f>
        <v>Sim</v>
      </c>
      <c r="AB363" s="3" t="n">
        <v>1</v>
      </c>
      <c r="AC363" s="3" t="n">
        <v>1</v>
      </c>
      <c r="AD363" s="4" t="n">
        <f aca="false">IF(OR(AB363="",AC363=""),"",IFERROR(IF($K363="%",AC363-AB363,AC363/AB363-1),""))</f>
        <v>0</v>
      </c>
      <c r="AE363" s="5" t="str">
        <f aca="false">IF(OR(AB363="",AC363=""),"",IF($F363="Maior Melhor",IF(AC363&gt;=AB363,"Sim","Não"),IF(AC363&lt;=AB363,"Sim","Não")))</f>
        <v>Sim</v>
      </c>
      <c r="AF363" s="3" t="n">
        <v>1</v>
      </c>
      <c r="AG363" s="3" t="n">
        <v>1</v>
      </c>
      <c r="AH363" s="4" t="n">
        <f aca="false">IF(OR(AF363="",AG363=""),"",IFERROR(IF($K363="%",AG363-AF363,AG363/AF363-1),""))</f>
        <v>0</v>
      </c>
      <c r="AI363" s="5" t="str">
        <f aca="false">IF(OR(AF363="",AG363=""),"",IF($F363="Maior Melhor",IF(AG363&gt;=AF363,"Sim","Não"),IF(AG363&lt;=AF363,"Sim","Não")))</f>
        <v>Sim</v>
      </c>
      <c r="AJ363" s="3" t="n">
        <v>1</v>
      </c>
      <c r="AK363" s="3" t="n">
        <v>1</v>
      </c>
      <c r="AL363" s="4" t="n">
        <f aca="false">IF(OR(AJ363="",AK363=""),"",IFERROR(IF($K363="%",AK363-AJ363,AK363/AJ363-1),""))</f>
        <v>0</v>
      </c>
      <c r="AM363" s="5" t="str">
        <f aca="false">IF(OR(AJ363="",AK363=""),"",IF($F363="Maior Melhor",IF(AK363&gt;=AJ363,"Sim","Não"),IF(AK363&lt;=AJ363,"Sim","Não")))</f>
        <v>Sim</v>
      </c>
      <c r="AN363" s="3" t="n">
        <v>1</v>
      </c>
      <c r="AO363" s="3" t="n">
        <v>1</v>
      </c>
      <c r="AP363" s="4" t="n">
        <f aca="false">IF(OR(AN363="",AO363=""),"",IFERROR(IF($K363="%",AO363-AN363,AO363/AN363-1),""))</f>
        <v>0</v>
      </c>
      <c r="AQ363" s="5" t="str">
        <f aca="false">IF(OR(AN363="",AO363=""),"",IF($F363="Maior Melhor",IF(AO363&gt;=AN363,"Sim","Não"),IF(AO363&lt;=AN363,"Sim","Não")))</f>
        <v>Sim</v>
      </c>
      <c r="AR363" s="3" t="n">
        <v>1</v>
      </c>
      <c r="AS363" s="3" t="n">
        <v>1</v>
      </c>
      <c r="AT363" s="4" t="n">
        <f aca="false">IF(OR(AR363="",AS363=""),"",IFERROR(IF($K363="%",AS363-AR363,AS363/AR363-1),""))</f>
        <v>0</v>
      </c>
      <c r="AU363" s="5" t="str">
        <f aca="false">IF(OR(AR363="",AS363=""),"",IF($F363="Maior Melhor",IF(AS363&gt;=AR363,"Sim","Não"),IF(AS363&lt;=AR363,"Sim","Não")))</f>
        <v>Sim</v>
      </c>
      <c r="AV363" s="3" t="n">
        <v>1</v>
      </c>
      <c r="AW363" s="3" t="n">
        <v>1</v>
      </c>
      <c r="AX363" s="4" t="n">
        <f aca="false">IF(OR(AV363="",AW363=""),"",IFERROR(IF($K363="%",AW363-AV363,AW363/AV363-1),""))</f>
        <v>0</v>
      </c>
      <c r="AY363" s="5" t="str">
        <f aca="false">IF(OR(AV363="",AW363=""),"",IF($F363="Maior Melhor",IF(AW363&gt;=AV363,"Sim","Não"),IF(AW363&lt;=AV363,"Sim","Não")))</f>
        <v>Sim</v>
      </c>
      <c r="AZ363" s="3" t="n">
        <v>1</v>
      </c>
      <c r="BA363" s="3" t="n">
        <v>1</v>
      </c>
      <c r="BB363" s="4" t="n">
        <f aca="false">IF(OR(AZ363="",BA363=""),"",IFERROR(IF($K363="%",BA363-AZ363,BA363/AZ363-1),""))</f>
        <v>0</v>
      </c>
      <c r="BC363" s="5" t="str">
        <f aca="false">IF(OR(AZ363="",BA363=""),"",IF($F363="Maior Melhor",IF(BA363&gt;=AZ363,"Sim","Não"),IF(BA363&lt;=AZ363,"Sim","Não")))</f>
        <v>Sim</v>
      </c>
      <c r="BD363" s="3" t="n">
        <v>1</v>
      </c>
      <c r="BE363" s="3" t="n">
        <v>1</v>
      </c>
      <c r="BF363" s="4" t="n">
        <f aca="false">IF(OR(BD363="",BE363=""),"",IFERROR(IF($K363="%",BE363-BD363,BE363/BD363-1),""))</f>
        <v>0</v>
      </c>
      <c r="BG363" s="5" t="str">
        <f aca="false">IF(OR(BD363="",BE363=""),"",IF($F363="Maior Melhor",IF(BE363&gt;=BD363,"Sim","Não"),IF(BE363&lt;=BD363,"Sim","Não")))</f>
        <v>Sim</v>
      </c>
      <c r="BH363" s="3" t="n">
        <v>1</v>
      </c>
      <c r="BI363" s="3" t="n">
        <v>1</v>
      </c>
      <c r="BJ363" s="4" t="n">
        <f aca="false">IF(OR(BH363="",BI363=""),"",IFERROR(IF($K363="%",BI363-BH363,BI363/BH363-1),""))</f>
        <v>0</v>
      </c>
      <c r="BK363" s="5" t="str">
        <f aca="false">IF(OR(BH363="",BI363=""),"",IF($F363="Maior Melhor",IF(BI363&gt;=BH363,"Sim","Não"),IF(BI363&lt;=BH363,"Sim","Não")))</f>
        <v>Sim</v>
      </c>
      <c r="BL363" s="6"/>
      <c r="BM363" s="6"/>
      <c r="BN363" s="4" t="str">
        <f aca="false">IF(OR(BL363="",BM363=""),"",IFERROR(IF($K363="%",BM363-BL363,BM363/BL363-1),""))</f>
        <v/>
      </c>
      <c r="BO363" s="5" t="str">
        <f aca="false">IF(OR(BL363="",BM363=""),"",IF($F363="Maior Melhor",IF(BM363&gt;=BL363,"Sim","Não"),IF(BM363&lt;=BL363,"Sim","Não")))</f>
        <v/>
      </c>
      <c r="BP363" s="6"/>
      <c r="BQ363" s="6"/>
      <c r="BR363" s="4" t="str">
        <f aca="false">IF(OR(BP363="",BQ363=""),"",IFERROR(IF($K363="%",BQ363-BP363,BQ363/BP363-1),""))</f>
        <v/>
      </c>
      <c r="BS363" s="5" t="str">
        <f aca="false">IF(OR(BP363="",BQ363=""),"",IF($F363="Maior Melhor",IF(BQ363&gt;=BP363,"Sim","Não"),IF(BQ363&lt;=BP363,"Sim","Não")))</f>
        <v/>
      </c>
      <c r="BT363" s="6"/>
      <c r="BU363" s="6"/>
      <c r="BV363" s="4" t="str">
        <f aca="false">IF(OR(BT363="",BU363=""),"",IFERROR(IF($K363="%",BU363-BT363,BU363/BT363-1),""))</f>
        <v/>
      </c>
      <c r="BW363" s="5" t="str">
        <f aca="false">IF(OR(BT363="",BU363=""),"",IF($F363="Maior Melhor",IF(BU363&gt;=BT363,"Sim","Não"),IF(BU363&lt;=BT363,"Sim","Não")))</f>
        <v/>
      </c>
      <c r="BX363" s="6"/>
      <c r="BY363" s="6"/>
      <c r="BZ363" s="4" t="str">
        <f aca="false">IF(OR(BX363="",BY363=""),"",IFERROR(IF($K363="%",BY363-BX363,BY363/BX363-1),""))</f>
        <v/>
      </c>
      <c r="CA363" s="5" t="str">
        <f aca="false">IF(OR(BX363="",BY363=""),"",IF($F363="Maior Melhor",IF(BY363&gt;=BX363,"Sim","Não"),IF(BY363&lt;=BX363,"Sim","Não")))</f>
        <v/>
      </c>
      <c r="CB363" s="6"/>
      <c r="CC363" s="6"/>
      <c r="CD363" s="4" t="str">
        <f aca="false">IF(OR(CB363="",CC363=""),"",IFERROR(IF($K363="%",CC363-CB363,CC363/CB363-1),""))</f>
        <v/>
      </c>
      <c r="CE363" s="5" t="str">
        <f aca="false">IF(OR(CB363="",CC363=""),"",IF($F363="Maior Melhor",IF(CC363&gt;=CB363,"Sim","Não"),IF(CC363&lt;=CB363,"Sim","Não")))</f>
        <v/>
      </c>
      <c r="CF363" s="6"/>
      <c r="CG363" s="6"/>
      <c r="CH363" s="4" t="str">
        <f aca="false">IF(OR(CF363="",CG363=""),"",IFERROR(IF($K363="%",CG363-CF363,CG363/CF363-1),""))</f>
        <v/>
      </c>
      <c r="CI363" s="5" t="str">
        <f aca="false">IF(OR(CF363="",CG363=""),"",IF($F363="Maior Melhor",IF(CG363&gt;=CF363,"Sim","Não"),IF(CG363&lt;=CF363,"Sim","Não")))</f>
        <v/>
      </c>
      <c r="CJ363" s="6"/>
      <c r="CK363" s="6"/>
      <c r="CL363" s="4" t="str">
        <f aca="false">IF(OR(CJ363="",CK363=""),"",IFERROR(IF($K363="%",CK363-CJ363,CK363/CJ363-1),""))</f>
        <v/>
      </c>
      <c r="CM363" s="5" t="str">
        <f aca="false">IF(OR(CJ363="",CK363=""),"",IF($F363="Maior Melhor",IF(CK363&gt;=CJ363,"Sim","Não"),IF(CK363&lt;=CJ363,"Sim","Não")))</f>
        <v/>
      </c>
      <c r="CN363" s="6"/>
      <c r="CO363" s="6"/>
      <c r="CP363" s="4" t="str">
        <f aca="false">IF(OR(CN363="",CO363=""),"",IFERROR(IF($K363="%",CO363-CN363,CO363/CN363-1),""))</f>
        <v/>
      </c>
      <c r="CQ363" s="5" t="str">
        <f aca="false">IF(OR(CN363="",CO363=""),"",IF($F363="Maior Melhor",IF(CO363&gt;=CN363,"Sim","Não"),IF(CO363&lt;=CN363,"Sim","Não")))</f>
        <v/>
      </c>
      <c r="CR363" s="2" t="s">
        <v>105</v>
      </c>
    </row>
    <row r="364" customFormat="false" ht="15" hidden="false" customHeight="false" outlineLevel="0" collapsed="false">
      <c r="A364" s="2" t="s">
        <v>144</v>
      </c>
      <c r="B364" s="2" t="s">
        <v>108</v>
      </c>
      <c r="C364" s="2" t="s">
        <v>109</v>
      </c>
      <c r="D364" s="2" t="s">
        <v>204</v>
      </c>
      <c r="E364" s="2" t="str">
        <f aca="false">C364&amp;D364</f>
        <v>Gerência SudoesteTaxa de Contato PP</v>
      </c>
      <c r="F364" s="2" t="s">
        <v>100</v>
      </c>
      <c r="G364" s="2" t="s">
        <v>205</v>
      </c>
      <c r="H364" s="2" t="s">
        <v>102</v>
      </c>
      <c r="I364" s="2" t="s">
        <v>103</v>
      </c>
      <c r="J364" s="2" t="n">
        <v>3</v>
      </c>
      <c r="K364" s="2" t="s">
        <v>104</v>
      </c>
      <c r="L364" s="3" t="n">
        <v>1</v>
      </c>
      <c r="M364" s="3" t="n">
        <v>0.65</v>
      </c>
      <c r="N364" s="4" t="n">
        <f aca="false">IF(OR(L364="",M364=""),"",IFERROR(IF($K364="%",M364-L364,M364/L364-1),""))</f>
        <v>-0.35</v>
      </c>
      <c r="O364" s="5" t="str">
        <f aca="false">IF(OR(L364="",M364=""),"",IF($F364="Maior Melhor",IF(M364&gt;=L364,"Sim","Não"),IF(M364&lt;=L364,"Sim","Não")))</f>
        <v>Não</v>
      </c>
      <c r="P364" s="3" t="n">
        <v>1</v>
      </c>
      <c r="Q364" s="3" t="n">
        <v>0.93</v>
      </c>
      <c r="R364" s="4" t="n">
        <f aca="false">IF(OR(P364="",Q364=""),"",IFERROR(IF($K364="%",Q364-P364,Q364/P364-1),""))</f>
        <v>-0.07</v>
      </c>
      <c r="S364" s="5" t="str">
        <f aca="false">IF(OR(P364="",Q364=""),"",IF($F364="Maior Melhor",IF(Q364&gt;=P364,"Sim","Não"),IF(Q364&lt;=P364,"Sim","Não")))</f>
        <v>Não</v>
      </c>
      <c r="T364" s="3" t="n">
        <v>1</v>
      </c>
      <c r="U364" s="3" t="n">
        <v>1</v>
      </c>
      <c r="V364" s="4" t="n">
        <f aca="false">IF(OR(T364="",U364=""),"",IFERROR(IF($K364="%",U364-T364,U364/T364-1),""))</f>
        <v>0</v>
      </c>
      <c r="W364" s="5" t="str">
        <f aca="false">IF(OR(T364="",U364=""),"",IF($F364="Maior Melhor",IF(U364&gt;=T364,"Sim","Não"),IF(U364&lt;=T364,"Sim","Não")))</f>
        <v>Sim</v>
      </c>
      <c r="X364" s="3" t="n">
        <v>1</v>
      </c>
      <c r="Y364" s="3" t="n">
        <v>1</v>
      </c>
      <c r="Z364" s="4" t="n">
        <f aca="false">IF(OR(X364="",Y364=""),"",IFERROR(IF($K364="%",Y364-X364,Y364/X364-1),""))</f>
        <v>0</v>
      </c>
      <c r="AA364" s="5" t="str">
        <f aca="false">IF(OR(X364="",Y364=""),"",IF($F364="Maior Melhor",IF(Y364&gt;=X364,"Sim","Não"),IF(Y364&lt;=X364,"Sim","Não")))</f>
        <v>Sim</v>
      </c>
      <c r="AB364" s="3" t="n">
        <v>1</v>
      </c>
      <c r="AC364" s="3" t="n">
        <v>1</v>
      </c>
      <c r="AD364" s="4" t="n">
        <f aca="false">IF(OR(AB364="",AC364=""),"",IFERROR(IF($K364="%",AC364-AB364,AC364/AB364-1),""))</f>
        <v>0</v>
      </c>
      <c r="AE364" s="5" t="str">
        <f aca="false">IF(OR(AB364="",AC364=""),"",IF($F364="Maior Melhor",IF(AC364&gt;=AB364,"Sim","Não"),IF(AC364&lt;=AB364,"Sim","Não")))</f>
        <v>Sim</v>
      </c>
      <c r="AF364" s="3" t="n">
        <v>1</v>
      </c>
      <c r="AG364" s="3" t="n">
        <v>1</v>
      </c>
      <c r="AH364" s="4" t="n">
        <f aca="false">IF(OR(AF364="",AG364=""),"",IFERROR(IF($K364="%",AG364-AF364,AG364/AF364-1),""))</f>
        <v>0</v>
      </c>
      <c r="AI364" s="5" t="str">
        <f aca="false">IF(OR(AF364="",AG364=""),"",IF($F364="Maior Melhor",IF(AG364&gt;=AF364,"Sim","Não"),IF(AG364&lt;=AF364,"Sim","Não")))</f>
        <v>Sim</v>
      </c>
      <c r="AJ364" s="3" t="n">
        <v>1</v>
      </c>
      <c r="AK364" s="3" t="n">
        <v>1</v>
      </c>
      <c r="AL364" s="4" t="n">
        <f aca="false">IF(OR(AJ364="",AK364=""),"",IFERROR(IF($K364="%",AK364-AJ364,AK364/AJ364-1),""))</f>
        <v>0</v>
      </c>
      <c r="AM364" s="5" t="str">
        <f aca="false">IF(OR(AJ364="",AK364=""),"",IF($F364="Maior Melhor",IF(AK364&gt;=AJ364,"Sim","Não"),IF(AK364&lt;=AJ364,"Sim","Não")))</f>
        <v>Sim</v>
      </c>
      <c r="AN364" s="3" t="n">
        <v>1</v>
      </c>
      <c r="AO364" s="3" t="n">
        <v>1</v>
      </c>
      <c r="AP364" s="4" t="n">
        <f aca="false">IF(OR(AN364="",AO364=""),"",IFERROR(IF($K364="%",AO364-AN364,AO364/AN364-1),""))</f>
        <v>0</v>
      </c>
      <c r="AQ364" s="5" t="str">
        <f aca="false">IF(OR(AN364="",AO364=""),"",IF($F364="Maior Melhor",IF(AO364&gt;=AN364,"Sim","Não"),IF(AO364&lt;=AN364,"Sim","Não")))</f>
        <v>Sim</v>
      </c>
      <c r="AR364" s="3" t="n">
        <v>1</v>
      </c>
      <c r="AS364" s="3" t="n">
        <v>1</v>
      </c>
      <c r="AT364" s="4" t="n">
        <f aca="false">IF(OR(AR364="",AS364=""),"",IFERROR(IF($K364="%",AS364-AR364,AS364/AR364-1),""))</f>
        <v>0</v>
      </c>
      <c r="AU364" s="5" t="str">
        <f aca="false">IF(OR(AR364="",AS364=""),"",IF($F364="Maior Melhor",IF(AS364&gt;=AR364,"Sim","Não"),IF(AS364&lt;=AR364,"Sim","Não")))</f>
        <v>Sim</v>
      </c>
      <c r="AV364" s="3" t="n">
        <v>1</v>
      </c>
      <c r="AW364" s="3" t="n">
        <v>1</v>
      </c>
      <c r="AX364" s="4" t="n">
        <f aca="false">IF(OR(AV364="",AW364=""),"",IFERROR(IF($K364="%",AW364-AV364,AW364/AV364-1),""))</f>
        <v>0</v>
      </c>
      <c r="AY364" s="5" t="str">
        <f aca="false">IF(OR(AV364="",AW364=""),"",IF($F364="Maior Melhor",IF(AW364&gt;=AV364,"Sim","Não"),IF(AW364&lt;=AV364,"Sim","Não")))</f>
        <v>Sim</v>
      </c>
      <c r="AZ364" s="3" t="n">
        <v>1</v>
      </c>
      <c r="BA364" s="3" t="n">
        <v>1</v>
      </c>
      <c r="BB364" s="4" t="n">
        <f aca="false">IF(OR(AZ364="",BA364=""),"",IFERROR(IF($K364="%",BA364-AZ364,BA364/AZ364-1),""))</f>
        <v>0</v>
      </c>
      <c r="BC364" s="5" t="str">
        <f aca="false">IF(OR(AZ364="",BA364=""),"",IF($F364="Maior Melhor",IF(BA364&gt;=AZ364,"Sim","Não"),IF(BA364&lt;=AZ364,"Sim","Não")))</f>
        <v>Sim</v>
      </c>
      <c r="BD364" s="3" t="n">
        <v>1</v>
      </c>
      <c r="BE364" s="3" t="n">
        <v>1</v>
      </c>
      <c r="BF364" s="4" t="n">
        <f aca="false">IF(OR(BD364="",BE364=""),"",IFERROR(IF($K364="%",BE364-BD364,BE364/BD364-1),""))</f>
        <v>0</v>
      </c>
      <c r="BG364" s="5" t="str">
        <f aca="false">IF(OR(BD364="",BE364=""),"",IF($F364="Maior Melhor",IF(BE364&gt;=BD364,"Sim","Não"),IF(BE364&lt;=BD364,"Sim","Não")))</f>
        <v>Sim</v>
      </c>
      <c r="BH364" s="3" t="n">
        <v>1</v>
      </c>
      <c r="BI364" s="3" t="n">
        <v>1</v>
      </c>
      <c r="BJ364" s="4" t="n">
        <f aca="false">IF(OR(BH364="",BI364=""),"",IFERROR(IF($K364="%",BI364-BH364,BI364/BH364-1),""))</f>
        <v>0</v>
      </c>
      <c r="BK364" s="5" t="str">
        <f aca="false">IF(OR(BH364="",BI364=""),"",IF($F364="Maior Melhor",IF(BI364&gt;=BH364,"Sim","Não"),IF(BI364&lt;=BH364,"Sim","Não")))</f>
        <v>Sim</v>
      </c>
      <c r="BL364" s="6"/>
      <c r="BM364" s="6"/>
      <c r="BN364" s="4" t="str">
        <f aca="false">IF(OR(BL364="",BM364=""),"",IFERROR(IF($K364="%",BM364-BL364,BM364/BL364-1),""))</f>
        <v/>
      </c>
      <c r="BO364" s="5" t="str">
        <f aca="false">IF(OR(BL364="",BM364=""),"",IF($F364="Maior Melhor",IF(BM364&gt;=BL364,"Sim","Não"),IF(BM364&lt;=BL364,"Sim","Não")))</f>
        <v/>
      </c>
      <c r="BP364" s="6"/>
      <c r="BQ364" s="6"/>
      <c r="BR364" s="4" t="str">
        <f aca="false">IF(OR(BP364="",BQ364=""),"",IFERROR(IF($K364="%",BQ364-BP364,BQ364/BP364-1),""))</f>
        <v/>
      </c>
      <c r="BS364" s="5" t="str">
        <f aca="false">IF(OR(BP364="",BQ364=""),"",IF($F364="Maior Melhor",IF(BQ364&gt;=BP364,"Sim","Não"),IF(BQ364&lt;=BP364,"Sim","Não")))</f>
        <v/>
      </c>
      <c r="BT364" s="6"/>
      <c r="BU364" s="6"/>
      <c r="BV364" s="4" t="str">
        <f aca="false">IF(OR(BT364="",BU364=""),"",IFERROR(IF($K364="%",BU364-BT364,BU364/BT364-1),""))</f>
        <v/>
      </c>
      <c r="BW364" s="5" t="str">
        <f aca="false">IF(OR(BT364="",BU364=""),"",IF($F364="Maior Melhor",IF(BU364&gt;=BT364,"Sim","Não"),IF(BU364&lt;=BT364,"Sim","Não")))</f>
        <v/>
      </c>
      <c r="BX364" s="6"/>
      <c r="BY364" s="6"/>
      <c r="BZ364" s="4" t="str">
        <f aca="false">IF(OR(BX364="",BY364=""),"",IFERROR(IF($K364="%",BY364-BX364,BY364/BX364-1),""))</f>
        <v/>
      </c>
      <c r="CA364" s="5" t="str">
        <f aca="false">IF(OR(BX364="",BY364=""),"",IF($F364="Maior Melhor",IF(BY364&gt;=BX364,"Sim","Não"),IF(BY364&lt;=BX364,"Sim","Não")))</f>
        <v/>
      </c>
      <c r="CB364" s="6"/>
      <c r="CC364" s="6"/>
      <c r="CD364" s="4" t="str">
        <f aca="false">IF(OR(CB364="",CC364=""),"",IFERROR(IF($K364="%",CC364-CB364,CC364/CB364-1),""))</f>
        <v/>
      </c>
      <c r="CE364" s="5" t="str">
        <f aca="false">IF(OR(CB364="",CC364=""),"",IF($F364="Maior Melhor",IF(CC364&gt;=CB364,"Sim","Não"),IF(CC364&lt;=CB364,"Sim","Não")))</f>
        <v/>
      </c>
      <c r="CF364" s="6"/>
      <c r="CG364" s="6"/>
      <c r="CH364" s="4" t="str">
        <f aca="false">IF(OR(CF364="",CG364=""),"",IFERROR(IF($K364="%",CG364-CF364,CG364/CF364-1),""))</f>
        <v/>
      </c>
      <c r="CI364" s="5" t="str">
        <f aca="false">IF(OR(CF364="",CG364=""),"",IF($F364="Maior Melhor",IF(CG364&gt;=CF364,"Sim","Não"),IF(CG364&lt;=CF364,"Sim","Não")))</f>
        <v/>
      </c>
      <c r="CJ364" s="6"/>
      <c r="CK364" s="6"/>
      <c r="CL364" s="4" t="str">
        <f aca="false">IF(OR(CJ364="",CK364=""),"",IFERROR(IF($K364="%",CK364-CJ364,CK364/CJ364-1),""))</f>
        <v/>
      </c>
      <c r="CM364" s="5" t="str">
        <f aca="false">IF(OR(CJ364="",CK364=""),"",IF($F364="Maior Melhor",IF(CK364&gt;=CJ364,"Sim","Não"),IF(CK364&lt;=CJ364,"Sim","Não")))</f>
        <v/>
      </c>
      <c r="CN364" s="6"/>
      <c r="CO364" s="6"/>
      <c r="CP364" s="4" t="str">
        <f aca="false">IF(OR(CN364="",CO364=""),"",IFERROR(IF($K364="%",CO364-CN364,CO364/CN364-1),""))</f>
        <v/>
      </c>
      <c r="CQ364" s="5" t="str">
        <f aca="false">IF(OR(CN364="",CO364=""),"",IF($F364="Maior Melhor",IF(CO364&gt;=CN364,"Sim","Não"),IF(CO364&lt;=CN364,"Sim","Não")))</f>
        <v/>
      </c>
      <c r="CR364" s="2" t="s">
        <v>105</v>
      </c>
    </row>
    <row r="365" customFormat="false" ht="15" hidden="false" customHeight="false" outlineLevel="0" collapsed="false">
      <c r="A365" s="2" t="s">
        <v>144</v>
      </c>
      <c r="B365" s="2" t="s">
        <v>110</v>
      </c>
      <c r="C365" s="2" t="s">
        <v>110</v>
      </c>
      <c r="D365" s="2" t="s">
        <v>204</v>
      </c>
      <c r="E365" s="2" t="str">
        <f aca="false">C365&amp;D365</f>
        <v>Sup OesteTaxa de Contato PP</v>
      </c>
      <c r="F365" s="2" t="s">
        <v>100</v>
      </c>
      <c r="G365" s="2" t="s">
        <v>205</v>
      </c>
      <c r="H365" s="2" t="s">
        <v>102</v>
      </c>
      <c r="I365" s="2" t="s">
        <v>103</v>
      </c>
      <c r="J365" s="2" t="n">
        <v>3</v>
      </c>
      <c r="K365" s="2" t="s">
        <v>104</v>
      </c>
      <c r="L365" s="3" t="n">
        <v>1</v>
      </c>
      <c r="M365" s="3" t="n">
        <v>0.7</v>
      </c>
      <c r="N365" s="4" t="n">
        <f aca="false">IF(OR(L365="",M365=""),"",IFERROR(IF($K365="%",M365-L365,M365/L365-1),""))</f>
        <v>-0.3</v>
      </c>
      <c r="O365" s="5" t="str">
        <f aca="false">IF(OR(L365="",M365=""),"",IF($F365="Maior Melhor",IF(M365&gt;=L365,"Sim","Não"),IF(M365&lt;=L365,"Sim","Não")))</f>
        <v>Não</v>
      </c>
      <c r="P365" s="3" t="n">
        <v>1</v>
      </c>
      <c r="Q365" s="3" t="n">
        <v>0.96</v>
      </c>
      <c r="R365" s="4" t="n">
        <f aca="false">IF(OR(P365="",Q365=""),"",IFERROR(IF($K365="%",Q365-P365,Q365/P365-1),""))</f>
        <v>-0.04</v>
      </c>
      <c r="S365" s="5" t="str">
        <f aca="false">IF(OR(P365="",Q365=""),"",IF($F365="Maior Melhor",IF(Q365&gt;=P365,"Sim","Não"),IF(Q365&lt;=P365,"Sim","Não")))</f>
        <v>Não</v>
      </c>
      <c r="T365" s="3" t="n">
        <v>1</v>
      </c>
      <c r="U365" s="3" t="n">
        <v>1</v>
      </c>
      <c r="V365" s="4" t="n">
        <f aca="false">IF(OR(T365="",U365=""),"",IFERROR(IF($K365="%",U365-T365,U365/T365-1),""))</f>
        <v>0</v>
      </c>
      <c r="W365" s="5" t="str">
        <f aca="false">IF(OR(T365="",U365=""),"",IF($F365="Maior Melhor",IF(U365&gt;=T365,"Sim","Não"),IF(U365&lt;=T365,"Sim","Não")))</f>
        <v>Sim</v>
      </c>
      <c r="X365" s="3" t="n">
        <v>1</v>
      </c>
      <c r="Y365" s="3" t="n">
        <v>1</v>
      </c>
      <c r="Z365" s="4" t="n">
        <f aca="false">IF(OR(X365="",Y365=""),"",IFERROR(IF($K365="%",Y365-X365,Y365/X365-1),""))</f>
        <v>0</v>
      </c>
      <c r="AA365" s="5" t="str">
        <f aca="false">IF(OR(X365="",Y365=""),"",IF($F365="Maior Melhor",IF(Y365&gt;=X365,"Sim","Não"),IF(Y365&lt;=X365,"Sim","Não")))</f>
        <v>Sim</v>
      </c>
      <c r="AB365" s="3" t="n">
        <v>1</v>
      </c>
      <c r="AC365" s="3" t="n">
        <v>1</v>
      </c>
      <c r="AD365" s="4" t="n">
        <f aca="false">IF(OR(AB365="",AC365=""),"",IFERROR(IF($K365="%",AC365-AB365,AC365/AB365-1),""))</f>
        <v>0</v>
      </c>
      <c r="AE365" s="5" t="str">
        <f aca="false">IF(OR(AB365="",AC365=""),"",IF($F365="Maior Melhor",IF(AC365&gt;=AB365,"Sim","Não"),IF(AC365&lt;=AB365,"Sim","Não")))</f>
        <v>Sim</v>
      </c>
      <c r="AF365" s="3" t="n">
        <v>1</v>
      </c>
      <c r="AG365" s="3" t="n">
        <v>1</v>
      </c>
      <c r="AH365" s="4" t="n">
        <f aca="false">IF(OR(AF365="",AG365=""),"",IFERROR(IF($K365="%",AG365-AF365,AG365/AF365-1),""))</f>
        <v>0</v>
      </c>
      <c r="AI365" s="5" t="str">
        <f aca="false">IF(OR(AF365="",AG365=""),"",IF($F365="Maior Melhor",IF(AG365&gt;=AF365,"Sim","Não"),IF(AG365&lt;=AF365,"Sim","Não")))</f>
        <v>Sim</v>
      </c>
      <c r="AJ365" s="3" t="n">
        <v>1</v>
      </c>
      <c r="AK365" s="3" t="n">
        <v>1</v>
      </c>
      <c r="AL365" s="4" t="n">
        <f aca="false">IF(OR(AJ365="",AK365=""),"",IFERROR(IF($K365="%",AK365-AJ365,AK365/AJ365-1),""))</f>
        <v>0</v>
      </c>
      <c r="AM365" s="5" t="str">
        <f aca="false">IF(OR(AJ365="",AK365=""),"",IF($F365="Maior Melhor",IF(AK365&gt;=AJ365,"Sim","Não"),IF(AK365&lt;=AJ365,"Sim","Não")))</f>
        <v>Sim</v>
      </c>
      <c r="AN365" s="3" t="n">
        <v>1</v>
      </c>
      <c r="AO365" s="3" t="n">
        <v>1</v>
      </c>
      <c r="AP365" s="4" t="n">
        <f aca="false">IF(OR(AN365="",AO365=""),"",IFERROR(IF($K365="%",AO365-AN365,AO365/AN365-1),""))</f>
        <v>0</v>
      </c>
      <c r="AQ365" s="5" t="str">
        <f aca="false">IF(OR(AN365="",AO365=""),"",IF($F365="Maior Melhor",IF(AO365&gt;=AN365,"Sim","Não"),IF(AO365&lt;=AN365,"Sim","Não")))</f>
        <v>Sim</v>
      </c>
      <c r="AR365" s="3" t="n">
        <v>1</v>
      </c>
      <c r="AS365" s="3" t="n">
        <v>1</v>
      </c>
      <c r="AT365" s="4" t="n">
        <f aca="false">IF(OR(AR365="",AS365=""),"",IFERROR(IF($K365="%",AS365-AR365,AS365/AR365-1),""))</f>
        <v>0</v>
      </c>
      <c r="AU365" s="5" t="str">
        <f aca="false">IF(OR(AR365="",AS365=""),"",IF($F365="Maior Melhor",IF(AS365&gt;=AR365,"Sim","Não"),IF(AS365&lt;=AR365,"Sim","Não")))</f>
        <v>Sim</v>
      </c>
      <c r="AV365" s="3" t="n">
        <v>1</v>
      </c>
      <c r="AW365" s="3" t="n">
        <v>1</v>
      </c>
      <c r="AX365" s="4" t="n">
        <f aca="false">IF(OR(AV365="",AW365=""),"",IFERROR(IF($K365="%",AW365-AV365,AW365/AV365-1),""))</f>
        <v>0</v>
      </c>
      <c r="AY365" s="5" t="str">
        <f aca="false">IF(OR(AV365="",AW365=""),"",IF($F365="Maior Melhor",IF(AW365&gt;=AV365,"Sim","Não"),IF(AW365&lt;=AV365,"Sim","Não")))</f>
        <v>Sim</v>
      </c>
      <c r="AZ365" s="3" t="n">
        <v>1</v>
      </c>
      <c r="BA365" s="3" t="n">
        <v>1</v>
      </c>
      <c r="BB365" s="4" t="n">
        <f aca="false">IF(OR(AZ365="",BA365=""),"",IFERROR(IF($K365="%",BA365-AZ365,BA365/AZ365-1),""))</f>
        <v>0</v>
      </c>
      <c r="BC365" s="5" t="str">
        <f aca="false">IF(OR(AZ365="",BA365=""),"",IF($F365="Maior Melhor",IF(BA365&gt;=AZ365,"Sim","Não"),IF(BA365&lt;=AZ365,"Sim","Não")))</f>
        <v>Sim</v>
      </c>
      <c r="BD365" s="3" t="n">
        <v>1</v>
      </c>
      <c r="BE365" s="3" t="n">
        <v>1</v>
      </c>
      <c r="BF365" s="4" t="n">
        <f aca="false">IF(OR(BD365="",BE365=""),"",IFERROR(IF($K365="%",BE365-BD365,BE365/BD365-1),""))</f>
        <v>0</v>
      </c>
      <c r="BG365" s="5" t="str">
        <f aca="false">IF(OR(BD365="",BE365=""),"",IF($F365="Maior Melhor",IF(BE365&gt;=BD365,"Sim","Não"),IF(BE365&lt;=BD365,"Sim","Não")))</f>
        <v>Sim</v>
      </c>
      <c r="BH365" s="3" t="n">
        <v>1</v>
      </c>
      <c r="BI365" s="3" t="n">
        <v>1</v>
      </c>
      <c r="BJ365" s="4" t="n">
        <f aca="false">IF(OR(BH365="",BI365=""),"",IFERROR(IF($K365="%",BI365-BH365,BI365/BH365-1),""))</f>
        <v>0</v>
      </c>
      <c r="BK365" s="5" t="str">
        <f aca="false">IF(OR(BH365="",BI365=""),"",IF($F365="Maior Melhor",IF(BI365&gt;=BH365,"Sim","Não"),IF(BI365&lt;=BH365,"Sim","Não")))</f>
        <v>Sim</v>
      </c>
      <c r="BL365" s="6"/>
      <c r="BM365" s="6"/>
      <c r="BN365" s="4" t="str">
        <f aca="false">IF(OR(BL365="",BM365=""),"",IFERROR(IF($K365="%",BM365-BL365,BM365/BL365-1),""))</f>
        <v/>
      </c>
      <c r="BO365" s="5" t="str">
        <f aca="false">IF(OR(BL365="",BM365=""),"",IF($F365="Maior Melhor",IF(BM365&gt;=BL365,"Sim","Não"),IF(BM365&lt;=BL365,"Sim","Não")))</f>
        <v/>
      </c>
      <c r="BP365" s="6"/>
      <c r="BQ365" s="6"/>
      <c r="BR365" s="4" t="str">
        <f aca="false">IF(OR(BP365="",BQ365=""),"",IFERROR(IF($K365="%",BQ365-BP365,BQ365/BP365-1),""))</f>
        <v/>
      </c>
      <c r="BS365" s="5" t="str">
        <f aca="false">IF(OR(BP365="",BQ365=""),"",IF($F365="Maior Melhor",IF(BQ365&gt;=BP365,"Sim","Não"),IF(BQ365&lt;=BP365,"Sim","Não")))</f>
        <v/>
      </c>
      <c r="BT365" s="6"/>
      <c r="BU365" s="6"/>
      <c r="BV365" s="4" t="str">
        <f aca="false">IF(OR(BT365="",BU365=""),"",IFERROR(IF($K365="%",BU365-BT365,BU365/BT365-1),""))</f>
        <v/>
      </c>
      <c r="BW365" s="5" t="str">
        <f aca="false">IF(OR(BT365="",BU365=""),"",IF($F365="Maior Melhor",IF(BU365&gt;=BT365,"Sim","Não"),IF(BU365&lt;=BT365,"Sim","Não")))</f>
        <v/>
      </c>
      <c r="BX365" s="6"/>
      <c r="BY365" s="6"/>
      <c r="BZ365" s="4" t="str">
        <f aca="false">IF(OR(BX365="",BY365=""),"",IFERROR(IF($K365="%",BY365-BX365,BY365/BX365-1),""))</f>
        <v/>
      </c>
      <c r="CA365" s="5" t="str">
        <f aca="false">IF(OR(BX365="",BY365=""),"",IF($F365="Maior Melhor",IF(BY365&gt;=BX365,"Sim","Não"),IF(BY365&lt;=BX365,"Sim","Não")))</f>
        <v/>
      </c>
      <c r="CB365" s="6"/>
      <c r="CC365" s="6"/>
      <c r="CD365" s="4" t="str">
        <f aca="false">IF(OR(CB365="",CC365=""),"",IFERROR(IF($K365="%",CC365-CB365,CC365/CB365-1),""))</f>
        <v/>
      </c>
      <c r="CE365" s="5" t="str">
        <f aca="false">IF(OR(CB365="",CC365=""),"",IF($F365="Maior Melhor",IF(CC365&gt;=CB365,"Sim","Não"),IF(CC365&lt;=CB365,"Sim","Não")))</f>
        <v/>
      </c>
      <c r="CF365" s="6"/>
      <c r="CG365" s="6"/>
      <c r="CH365" s="4" t="str">
        <f aca="false">IF(OR(CF365="",CG365=""),"",IFERROR(IF($K365="%",CG365-CF365,CG365/CF365-1),""))</f>
        <v/>
      </c>
      <c r="CI365" s="5" t="str">
        <f aca="false">IF(OR(CF365="",CG365=""),"",IF($F365="Maior Melhor",IF(CG365&gt;=CF365,"Sim","Não"),IF(CG365&lt;=CF365,"Sim","Não")))</f>
        <v/>
      </c>
      <c r="CJ365" s="6"/>
      <c r="CK365" s="6"/>
      <c r="CL365" s="4" t="str">
        <f aca="false">IF(OR(CJ365="",CK365=""),"",IFERROR(IF($K365="%",CK365-CJ365,CK365/CJ365-1),""))</f>
        <v/>
      </c>
      <c r="CM365" s="5" t="str">
        <f aca="false">IF(OR(CJ365="",CK365=""),"",IF($F365="Maior Melhor",IF(CK365&gt;=CJ365,"Sim","Não"),IF(CK365&lt;=CJ365,"Sim","Não")))</f>
        <v/>
      </c>
      <c r="CN365" s="6"/>
      <c r="CO365" s="6"/>
      <c r="CP365" s="4" t="str">
        <f aca="false">IF(OR(CN365="",CO365=""),"",IFERROR(IF($K365="%",CO365-CN365,CO365/CN365-1),""))</f>
        <v/>
      </c>
      <c r="CQ365" s="5" t="str">
        <f aca="false">IF(OR(CN365="",CO365=""),"",IF($F365="Maior Melhor",IF(CO365&gt;=CN365,"Sim","Não"),IF(CO365&lt;=CN365,"Sim","Não")))</f>
        <v/>
      </c>
      <c r="CR365" s="2" t="s">
        <v>105</v>
      </c>
    </row>
    <row r="366" customFormat="false" ht="15" hidden="false" customHeight="false" outlineLevel="0" collapsed="false">
      <c r="A366" s="2" t="s">
        <v>144</v>
      </c>
      <c r="B366" s="2" t="s">
        <v>106</v>
      </c>
      <c r="C366" s="2" t="s">
        <v>111</v>
      </c>
      <c r="D366" s="2" t="s">
        <v>204</v>
      </c>
      <c r="E366" s="2" t="str">
        <f aca="false">C366&amp;D366</f>
        <v>UTD BARREIRASTaxa de Contato PP</v>
      </c>
      <c r="F366" s="2" t="s">
        <v>100</v>
      </c>
      <c r="G366" s="2" t="s">
        <v>205</v>
      </c>
      <c r="H366" s="2" t="s">
        <v>102</v>
      </c>
      <c r="I366" s="2" t="s">
        <v>103</v>
      </c>
      <c r="J366" s="2" t="n">
        <v>3</v>
      </c>
      <c r="K366" s="2" t="s">
        <v>104</v>
      </c>
      <c r="L366" s="3" t="n">
        <v>1</v>
      </c>
      <c r="M366" s="3" t="n">
        <v>1</v>
      </c>
      <c r="N366" s="4" t="n">
        <f aca="false">IF(OR(L366="",M366=""),"",IFERROR(IF($K366="%",M366-L366,M366/L366-1),""))</f>
        <v>0</v>
      </c>
      <c r="O366" s="5" t="str">
        <f aca="false">IF(OR(L366="",M366=""),"",IF($F366="Maior Melhor",IF(M366&gt;=L366,"Sim","Não"),IF(M366&lt;=L366,"Sim","Não")))</f>
        <v>Sim</v>
      </c>
      <c r="P366" s="3" t="n">
        <v>1</v>
      </c>
      <c r="Q366" s="3" t="n">
        <v>1</v>
      </c>
      <c r="R366" s="4" t="n">
        <f aca="false">IF(OR(P366="",Q366=""),"",IFERROR(IF($K366="%",Q366-P366,Q366/P366-1),""))</f>
        <v>0</v>
      </c>
      <c r="S366" s="5" t="str">
        <f aca="false">IF(OR(P366="",Q366=""),"",IF($F366="Maior Melhor",IF(Q366&gt;=P366,"Sim","Não"),IF(Q366&lt;=P366,"Sim","Não")))</f>
        <v>Sim</v>
      </c>
      <c r="T366" s="3" t="n">
        <v>1</v>
      </c>
      <c r="U366" s="3" t="n">
        <v>1</v>
      </c>
      <c r="V366" s="4" t="n">
        <f aca="false">IF(OR(T366="",U366=""),"",IFERROR(IF($K366="%",U366-T366,U366/T366-1),""))</f>
        <v>0</v>
      </c>
      <c r="W366" s="5" t="str">
        <f aca="false">IF(OR(T366="",U366=""),"",IF($F366="Maior Melhor",IF(U366&gt;=T366,"Sim","Não"),IF(U366&lt;=T366,"Sim","Não")))</f>
        <v>Sim</v>
      </c>
      <c r="X366" s="3" t="n">
        <v>1</v>
      </c>
      <c r="Y366" s="3" t="n">
        <v>1</v>
      </c>
      <c r="Z366" s="4" t="n">
        <f aca="false">IF(OR(X366="",Y366=""),"",IFERROR(IF($K366="%",Y366-X366,Y366/X366-1),""))</f>
        <v>0</v>
      </c>
      <c r="AA366" s="5" t="str">
        <f aca="false">IF(OR(X366="",Y366=""),"",IF($F366="Maior Melhor",IF(Y366&gt;=X366,"Sim","Não"),IF(Y366&lt;=X366,"Sim","Não")))</f>
        <v>Sim</v>
      </c>
      <c r="AB366" s="3" t="n">
        <v>1</v>
      </c>
      <c r="AC366" s="3" t="n">
        <v>1</v>
      </c>
      <c r="AD366" s="4" t="n">
        <f aca="false">IF(OR(AB366="",AC366=""),"",IFERROR(IF($K366="%",AC366-AB366,AC366/AB366-1),""))</f>
        <v>0</v>
      </c>
      <c r="AE366" s="5" t="str">
        <f aca="false">IF(OR(AB366="",AC366=""),"",IF($F366="Maior Melhor",IF(AC366&gt;=AB366,"Sim","Não"),IF(AC366&lt;=AB366,"Sim","Não")))</f>
        <v>Sim</v>
      </c>
      <c r="AF366" s="3" t="n">
        <v>1</v>
      </c>
      <c r="AG366" s="3" t="n">
        <v>1</v>
      </c>
      <c r="AH366" s="4" t="n">
        <f aca="false">IF(OR(AF366="",AG366=""),"",IFERROR(IF($K366="%",AG366-AF366,AG366/AF366-1),""))</f>
        <v>0</v>
      </c>
      <c r="AI366" s="5" t="str">
        <f aca="false">IF(OR(AF366="",AG366=""),"",IF($F366="Maior Melhor",IF(AG366&gt;=AF366,"Sim","Não"),IF(AG366&lt;=AF366,"Sim","Não")))</f>
        <v>Sim</v>
      </c>
      <c r="AJ366" s="3" t="n">
        <v>1</v>
      </c>
      <c r="AK366" s="3" t="n">
        <v>1</v>
      </c>
      <c r="AL366" s="4" t="n">
        <f aca="false">IF(OR(AJ366="",AK366=""),"",IFERROR(IF($K366="%",AK366-AJ366,AK366/AJ366-1),""))</f>
        <v>0</v>
      </c>
      <c r="AM366" s="5" t="str">
        <f aca="false">IF(OR(AJ366="",AK366=""),"",IF($F366="Maior Melhor",IF(AK366&gt;=AJ366,"Sim","Não"),IF(AK366&lt;=AJ366,"Sim","Não")))</f>
        <v>Sim</v>
      </c>
      <c r="AN366" s="3" t="n">
        <v>1</v>
      </c>
      <c r="AO366" s="3" t="n">
        <v>1</v>
      </c>
      <c r="AP366" s="4" t="n">
        <f aca="false">IF(OR(AN366="",AO366=""),"",IFERROR(IF($K366="%",AO366-AN366,AO366/AN366-1),""))</f>
        <v>0</v>
      </c>
      <c r="AQ366" s="5" t="str">
        <f aca="false">IF(OR(AN366="",AO366=""),"",IF($F366="Maior Melhor",IF(AO366&gt;=AN366,"Sim","Não"),IF(AO366&lt;=AN366,"Sim","Não")))</f>
        <v>Sim</v>
      </c>
      <c r="AR366" s="3" t="n">
        <v>1</v>
      </c>
      <c r="AS366" s="3" t="n">
        <v>1</v>
      </c>
      <c r="AT366" s="4" t="n">
        <f aca="false">IF(OR(AR366="",AS366=""),"",IFERROR(IF($K366="%",AS366-AR366,AS366/AR366-1),""))</f>
        <v>0</v>
      </c>
      <c r="AU366" s="5" t="str">
        <f aca="false">IF(OR(AR366="",AS366=""),"",IF($F366="Maior Melhor",IF(AS366&gt;=AR366,"Sim","Não"),IF(AS366&lt;=AR366,"Sim","Não")))</f>
        <v>Sim</v>
      </c>
      <c r="AV366" s="3" t="n">
        <v>1</v>
      </c>
      <c r="AW366" s="3" t="n">
        <v>1</v>
      </c>
      <c r="AX366" s="4" t="n">
        <f aca="false">IF(OR(AV366="",AW366=""),"",IFERROR(IF($K366="%",AW366-AV366,AW366/AV366-1),""))</f>
        <v>0</v>
      </c>
      <c r="AY366" s="5" t="str">
        <f aca="false">IF(OR(AV366="",AW366=""),"",IF($F366="Maior Melhor",IF(AW366&gt;=AV366,"Sim","Não"),IF(AW366&lt;=AV366,"Sim","Não")))</f>
        <v>Sim</v>
      </c>
      <c r="AZ366" s="3" t="n">
        <v>1</v>
      </c>
      <c r="BA366" s="3" t="n">
        <v>1</v>
      </c>
      <c r="BB366" s="4" t="n">
        <f aca="false">IF(OR(AZ366="",BA366=""),"",IFERROR(IF($K366="%",BA366-AZ366,BA366/AZ366-1),""))</f>
        <v>0</v>
      </c>
      <c r="BC366" s="5" t="str">
        <f aca="false">IF(OR(AZ366="",BA366=""),"",IF($F366="Maior Melhor",IF(BA366&gt;=AZ366,"Sim","Não"),IF(BA366&lt;=AZ366,"Sim","Não")))</f>
        <v>Sim</v>
      </c>
      <c r="BD366" s="3" t="n">
        <v>1</v>
      </c>
      <c r="BE366" s="3" t="n">
        <v>1</v>
      </c>
      <c r="BF366" s="4" t="n">
        <f aca="false">IF(OR(BD366="",BE366=""),"",IFERROR(IF($K366="%",BE366-BD366,BE366/BD366-1),""))</f>
        <v>0</v>
      </c>
      <c r="BG366" s="5" t="str">
        <f aca="false">IF(OR(BD366="",BE366=""),"",IF($F366="Maior Melhor",IF(BE366&gt;=BD366,"Sim","Não"),IF(BE366&lt;=BD366,"Sim","Não")))</f>
        <v>Sim</v>
      </c>
      <c r="BH366" s="3" t="n">
        <v>1</v>
      </c>
      <c r="BI366" s="3" t="n">
        <v>1</v>
      </c>
      <c r="BJ366" s="4" t="n">
        <f aca="false">IF(OR(BH366="",BI366=""),"",IFERROR(IF($K366="%",BI366-BH366,BI366/BH366-1),""))</f>
        <v>0</v>
      </c>
      <c r="BK366" s="5" t="str">
        <f aca="false">IF(OR(BH366="",BI366=""),"",IF($F366="Maior Melhor",IF(BI366&gt;=BH366,"Sim","Não"),IF(BI366&lt;=BH366,"Sim","Não")))</f>
        <v>Sim</v>
      </c>
      <c r="BL366" s="6"/>
      <c r="BM366" s="6"/>
      <c r="BN366" s="4" t="str">
        <f aca="false">IF(OR(BL366="",BM366=""),"",IFERROR(IF($K366="%",BM366-BL366,BM366/BL366-1),""))</f>
        <v/>
      </c>
      <c r="BO366" s="5" t="str">
        <f aca="false">IF(OR(BL366="",BM366=""),"",IF($F366="Maior Melhor",IF(BM366&gt;=BL366,"Sim","Não"),IF(BM366&lt;=BL366,"Sim","Não")))</f>
        <v/>
      </c>
      <c r="BP366" s="6"/>
      <c r="BQ366" s="6"/>
      <c r="BR366" s="4" t="str">
        <f aca="false">IF(OR(BP366="",BQ366=""),"",IFERROR(IF($K366="%",BQ366-BP366,BQ366/BP366-1),""))</f>
        <v/>
      </c>
      <c r="BS366" s="5" t="str">
        <f aca="false">IF(OR(BP366="",BQ366=""),"",IF($F366="Maior Melhor",IF(BQ366&gt;=BP366,"Sim","Não"),IF(BQ366&lt;=BP366,"Sim","Não")))</f>
        <v/>
      </c>
      <c r="BT366" s="6"/>
      <c r="BU366" s="6"/>
      <c r="BV366" s="4" t="str">
        <f aca="false">IF(OR(BT366="",BU366=""),"",IFERROR(IF($K366="%",BU366-BT366,BU366/BT366-1),""))</f>
        <v/>
      </c>
      <c r="BW366" s="5" t="str">
        <f aca="false">IF(OR(BT366="",BU366=""),"",IF($F366="Maior Melhor",IF(BU366&gt;=BT366,"Sim","Não"),IF(BU366&lt;=BT366,"Sim","Não")))</f>
        <v/>
      </c>
      <c r="BX366" s="6"/>
      <c r="BY366" s="6"/>
      <c r="BZ366" s="4" t="str">
        <f aca="false">IF(OR(BX366="",BY366=""),"",IFERROR(IF($K366="%",BY366-BX366,BY366/BX366-1),""))</f>
        <v/>
      </c>
      <c r="CA366" s="5" t="str">
        <f aca="false">IF(OR(BX366="",BY366=""),"",IF($F366="Maior Melhor",IF(BY366&gt;=BX366,"Sim","Não"),IF(BY366&lt;=BX366,"Sim","Não")))</f>
        <v/>
      </c>
      <c r="CB366" s="6"/>
      <c r="CC366" s="6"/>
      <c r="CD366" s="4" t="str">
        <f aca="false">IF(OR(CB366="",CC366=""),"",IFERROR(IF($K366="%",CC366-CB366,CC366/CB366-1),""))</f>
        <v/>
      </c>
      <c r="CE366" s="5" t="str">
        <f aca="false">IF(OR(CB366="",CC366=""),"",IF($F366="Maior Melhor",IF(CC366&gt;=CB366,"Sim","Não"),IF(CC366&lt;=CB366,"Sim","Não")))</f>
        <v/>
      </c>
      <c r="CF366" s="6"/>
      <c r="CG366" s="6"/>
      <c r="CH366" s="4" t="str">
        <f aca="false">IF(OR(CF366="",CG366=""),"",IFERROR(IF($K366="%",CG366-CF366,CG366/CF366-1),""))</f>
        <v/>
      </c>
      <c r="CI366" s="5" t="str">
        <f aca="false">IF(OR(CF366="",CG366=""),"",IF($F366="Maior Melhor",IF(CG366&gt;=CF366,"Sim","Não"),IF(CG366&lt;=CF366,"Sim","Não")))</f>
        <v/>
      </c>
      <c r="CJ366" s="6"/>
      <c r="CK366" s="6"/>
      <c r="CL366" s="4" t="str">
        <f aca="false">IF(OR(CJ366="",CK366=""),"",IFERROR(IF($K366="%",CK366-CJ366,CK366/CJ366-1),""))</f>
        <v/>
      </c>
      <c r="CM366" s="5" t="str">
        <f aca="false">IF(OR(CJ366="",CK366=""),"",IF($F366="Maior Melhor",IF(CK366&gt;=CJ366,"Sim","Não"),IF(CK366&lt;=CJ366,"Sim","Não")))</f>
        <v/>
      </c>
      <c r="CN366" s="6"/>
      <c r="CO366" s="6"/>
      <c r="CP366" s="4" t="str">
        <f aca="false">IF(OR(CN366="",CO366=""),"",IFERROR(IF($K366="%",CO366-CN366,CO366/CN366-1),""))</f>
        <v/>
      </c>
      <c r="CQ366" s="5" t="str">
        <f aca="false">IF(OR(CN366="",CO366=""),"",IF($F366="Maior Melhor",IF(CO366&gt;=CN366,"Sim","Não"),IF(CO366&lt;=CN366,"Sim","Não")))</f>
        <v/>
      </c>
      <c r="CR366" s="2" t="s">
        <v>157</v>
      </c>
    </row>
    <row r="367" customFormat="false" ht="15" hidden="false" customHeight="false" outlineLevel="0" collapsed="false">
      <c r="A367" s="2" t="s">
        <v>144</v>
      </c>
      <c r="B367" s="2" t="s">
        <v>106</v>
      </c>
      <c r="C367" s="2" t="s">
        <v>113</v>
      </c>
      <c r="D367" s="2" t="s">
        <v>204</v>
      </c>
      <c r="E367" s="2" t="str">
        <f aca="false">C367&amp;D367</f>
        <v>UTD BOM JESUS DA LAPATaxa de Contato PP</v>
      </c>
      <c r="F367" s="2" t="s">
        <v>100</v>
      </c>
      <c r="G367" s="2" t="s">
        <v>205</v>
      </c>
      <c r="H367" s="2" t="s">
        <v>102</v>
      </c>
      <c r="I367" s="2" t="s">
        <v>103</v>
      </c>
      <c r="J367" s="2" t="n">
        <v>3</v>
      </c>
      <c r="K367" s="2" t="s">
        <v>104</v>
      </c>
      <c r="L367" s="3" t="n">
        <v>1</v>
      </c>
      <c r="M367" s="3" t="n">
        <v>0.75</v>
      </c>
      <c r="N367" s="4" t="n">
        <f aca="false">IF(OR(L367="",M367=""),"",IFERROR(IF($K367="%",M367-L367,M367/L367-1),""))</f>
        <v>-0.25</v>
      </c>
      <c r="O367" s="5" t="str">
        <f aca="false">IF(OR(L367="",M367=""),"",IF($F367="Maior Melhor",IF(M367&gt;=L367,"Sim","Não"),IF(M367&lt;=L367,"Sim","Não")))</f>
        <v>Não</v>
      </c>
      <c r="P367" s="3" t="n">
        <v>1</v>
      </c>
      <c r="Q367" s="3" t="n">
        <v>1</v>
      </c>
      <c r="R367" s="4" t="n">
        <f aca="false">IF(OR(P367="",Q367=""),"",IFERROR(IF($K367="%",Q367-P367,Q367/P367-1),""))</f>
        <v>0</v>
      </c>
      <c r="S367" s="5" t="str">
        <f aca="false">IF(OR(P367="",Q367=""),"",IF($F367="Maior Melhor",IF(Q367&gt;=P367,"Sim","Não"),IF(Q367&lt;=P367,"Sim","Não")))</f>
        <v>Sim</v>
      </c>
      <c r="T367" s="3" t="n">
        <v>1</v>
      </c>
      <c r="U367" s="3" t="n">
        <v>1</v>
      </c>
      <c r="V367" s="4" t="n">
        <f aca="false">IF(OR(T367="",U367=""),"",IFERROR(IF($K367="%",U367-T367,U367/T367-1),""))</f>
        <v>0</v>
      </c>
      <c r="W367" s="5" t="str">
        <f aca="false">IF(OR(T367="",U367=""),"",IF($F367="Maior Melhor",IF(U367&gt;=T367,"Sim","Não"),IF(U367&lt;=T367,"Sim","Não")))</f>
        <v>Sim</v>
      </c>
      <c r="X367" s="3" t="n">
        <v>1</v>
      </c>
      <c r="Y367" s="3" t="n">
        <v>1</v>
      </c>
      <c r="Z367" s="4" t="n">
        <f aca="false">IF(OR(X367="",Y367=""),"",IFERROR(IF($K367="%",Y367-X367,Y367/X367-1),""))</f>
        <v>0</v>
      </c>
      <c r="AA367" s="5" t="str">
        <f aca="false">IF(OR(X367="",Y367=""),"",IF($F367="Maior Melhor",IF(Y367&gt;=X367,"Sim","Não"),IF(Y367&lt;=X367,"Sim","Não")))</f>
        <v>Sim</v>
      </c>
      <c r="AB367" s="3" t="n">
        <v>1</v>
      </c>
      <c r="AC367" s="3" t="n">
        <v>1</v>
      </c>
      <c r="AD367" s="4" t="n">
        <f aca="false">IF(OR(AB367="",AC367=""),"",IFERROR(IF($K367="%",AC367-AB367,AC367/AB367-1),""))</f>
        <v>0</v>
      </c>
      <c r="AE367" s="5" t="str">
        <f aca="false">IF(OR(AB367="",AC367=""),"",IF($F367="Maior Melhor",IF(AC367&gt;=AB367,"Sim","Não"),IF(AC367&lt;=AB367,"Sim","Não")))</f>
        <v>Sim</v>
      </c>
      <c r="AF367" s="3" t="n">
        <v>1</v>
      </c>
      <c r="AG367" s="3" t="n">
        <v>1</v>
      </c>
      <c r="AH367" s="4" t="n">
        <f aca="false">IF(OR(AF367="",AG367=""),"",IFERROR(IF($K367="%",AG367-AF367,AG367/AF367-1),""))</f>
        <v>0</v>
      </c>
      <c r="AI367" s="5" t="str">
        <f aca="false">IF(OR(AF367="",AG367=""),"",IF($F367="Maior Melhor",IF(AG367&gt;=AF367,"Sim","Não"),IF(AG367&lt;=AF367,"Sim","Não")))</f>
        <v>Sim</v>
      </c>
      <c r="AJ367" s="3" t="n">
        <v>1</v>
      </c>
      <c r="AK367" s="3" t="n">
        <v>1</v>
      </c>
      <c r="AL367" s="4" t="n">
        <f aca="false">IF(OR(AJ367="",AK367=""),"",IFERROR(IF($K367="%",AK367-AJ367,AK367/AJ367-1),""))</f>
        <v>0</v>
      </c>
      <c r="AM367" s="5" t="str">
        <f aca="false">IF(OR(AJ367="",AK367=""),"",IF($F367="Maior Melhor",IF(AK367&gt;=AJ367,"Sim","Não"),IF(AK367&lt;=AJ367,"Sim","Não")))</f>
        <v>Sim</v>
      </c>
      <c r="AN367" s="3" t="n">
        <v>1</v>
      </c>
      <c r="AO367" s="3" t="n">
        <v>1</v>
      </c>
      <c r="AP367" s="4" t="n">
        <f aca="false">IF(OR(AN367="",AO367=""),"",IFERROR(IF($K367="%",AO367-AN367,AO367/AN367-1),""))</f>
        <v>0</v>
      </c>
      <c r="AQ367" s="5" t="str">
        <f aca="false">IF(OR(AN367="",AO367=""),"",IF($F367="Maior Melhor",IF(AO367&gt;=AN367,"Sim","Não"),IF(AO367&lt;=AN367,"Sim","Não")))</f>
        <v>Sim</v>
      </c>
      <c r="AR367" s="3" t="n">
        <v>1</v>
      </c>
      <c r="AS367" s="3" t="n">
        <v>1</v>
      </c>
      <c r="AT367" s="4" t="n">
        <f aca="false">IF(OR(AR367="",AS367=""),"",IFERROR(IF($K367="%",AS367-AR367,AS367/AR367-1),""))</f>
        <v>0</v>
      </c>
      <c r="AU367" s="5" t="str">
        <f aca="false">IF(OR(AR367="",AS367=""),"",IF($F367="Maior Melhor",IF(AS367&gt;=AR367,"Sim","Não"),IF(AS367&lt;=AR367,"Sim","Não")))</f>
        <v>Sim</v>
      </c>
      <c r="AV367" s="3" t="n">
        <v>1</v>
      </c>
      <c r="AW367" s="3" t="n">
        <v>1</v>
      </c>
      <c r="AX367" s="4" t="n">
        <f aca="false">IF(OR(AV367="",AW367=""),"",IFERROR(IF($K367="%",AW367-AV367,AW367/AV367-1),""))</f>
        <v>0</v>
      </c>
      <c r="AY367" s="5" t="str">
        <f aca="false">IF(OR(AV367="",AW367=""),"",IF($F367="Maior Melhor",IF(AW367&gt;=AV367,"Sim","Não"),IF(AW367&lt;=AV367,"Sim","Não")))</f>
        <v>Sim</v>
      </c>
      <c r="AZ367" s="3" t="n">
        <v>1</v>
      </c>
      <c r="BA367" s="3" t="n">
        <v>1</v>
      </c>
      <c r="BB367" s="4" t="n">
        <f aca="false">IF(OR(AZ367="",BA367=""),"",IFERROR(IF($K367="%",BA367-AZ367,BA367/AZ367-1),""))</f>
        <v>0</v>
      </c>
      <c r="BC367" s="5" t="str">
        <f aca="false">IF(OR(AZ367="",BA367=""),"",IF($F367="Maior Melhor",IF(BA367&gt;=AZ367,"Sim","Não"),IF(BA367&lt;=AZ367,"Sim","Não")))</f>
        <v>Sim</v>
      </c>
      <c r="BD367" s="3" t="n">
        <v>1</v>
      </c>
      <c r="BE367" s="3" t="n">
        <v>1</v>
      </c>
      <c r="BF367" s="4" t="n">
        <f aca="false">IF(OR(BD367="",BE367=""),"",IFERROR(IF($K367="%",BE367-BD367,BE367/BD367-1),""))</f>
        <v>0</v>
      </c>
      <c r="BG367" s="5" t="str">
        <f aca="false">IF(OR(BD367="",BE367=""),"",IF($F367="Maior Melhor",IF(BE367&gt;=BD367,"Sim","Não"),IF(BE367&lt;=BD367,"Sim","Não")))</f>
        <v>Sim</v>
      </c>
      <c r="BH367" s="3" t="n">
        <v>1</v>
      </c>
      <c r="BI367" s="3" t="n">
        <v>1</v>
      </c>
      <c r="BJ367" s="4" t="n">
        <f aca="false">IF(OR(BH367="",BI367=""),"",IFERROR(IF($K367="%",BI367-BH367,BI367/BH367-1),""))</f>
        <v>0</v>
      </c>
      <c r="BK367" s="5" t="str">
        <f aca="false">IF(OR(BH367="",BI367=""),"",IF($F367="Maior Melhor",IF(BI367&gt;=BH367,"Sim","Não"),IF(BI367&lt;=BH367,"Sim","Não")))</f>
        <v>Sim</v>
      </c>
      <c r="BL367" s="6"/>
      <c r="BM367" s="6"/>
      <c r="BN367" s="4" t="str">
        <f aca="false">IF(OR(BL367="",BM367=""),"",IFERROR(IF($K367="%",BM367-BL367,BM367/BL367-1),""))</f>
        <v/>
      </c>
      <c r="BO367" s="5" t="str">
        <f aca="false">IF(OR(BL367="",BM367=""),"",IF($F367="Maior Melhor",IF(BM367&gt;=BL367,"Sim","Não"),IF(BM367&lt;=BL367,"Sim","Não")))</f>
        <v/>
      </c>
      <c r="BP367" s="6"/>
      <c r="BQ367" s="6"/>
      <c r="BR367" s="4" t="str">
        <f aca="false">IF(OR(BP367="",BQ367=""),"",IFERROR(IF($K367="%",BQ367-BP367,BQ367/BP367-1),""))</f>
        <v/>
      </c>
      <c r="BS367" s="5" t="str">
        <f aca="false">IF(OR(BP367="",BQ367=""),"",IF($F367="Maior Melhor",IF(BQ367&gt;=BP367,"Sim","Não"),IF(BQ367&lt;=BP367,"Sim","Não")))</f>
        <v/>
      </c>
      <c r="BT367" s="6"/>
      <c r="BU367" s="6"/>
      <c r="BV367" s="4" t="str">
        <f aca="false">IF(OR(BT367="",BU367=""),"",IFERROR(IF($K367="%",BU367-BT367,BU367/BT367-1),""))</f>
        <v/>
      </c>
      <c r="BW367" s="5" t="str">
        <f aca="false">IF(OR(BT367="",BU367=""),"",IF($F367="Maior Melhor",IF(BU367&gt;=BT367,"Sim","Não"),IF(BU367&lt;=BT367,"Sim","Não")))</f>
        <v/>
      </c>
      <c r="BX367" s="6"/>
      <c r="BY367" s="6"/>
      <c r="BZ367" s="4" t="str">
        <f aca="false">IF(OR(BX367="",BY367=""),"",IFERROR(IF($K367="%",BY367-BX367,BY367/BX367-1),""))</f>
        <v/>
      </c>
      <c r="CA367" s="5" t="str">
        <f aca="false">IF(OR(BX367="",BY367=""),"",IF($F367="Maior Melhor",IF(BY367&gt;=BX367,"Sim","Não"),IF(BY367&lt;=BX367,"Sim","Não")))</f>
        <v/>
      </c>
      <c r="CB367" s="6"/>
      <c r="CC367" s="6"/>
      <c r="CD367" s="4" t="str">
        <f aca="false">IF(OR(CB367="",CC367=""),"",IFERROR(IF($K367="%",CC367-CB367,CC367/CB367-1),""))</f>
        <v/>
      </c>
      <c r="CE367" s="5" t="str">
        <f aca="false">IF(OR(CB367="",CC367=""),"",IF($F367="Maior Melhor",IF(CC367&gt;=CB367,"Sim","Não"),IF(CC367&lt;=CB367,"Sim","Não")))</f>
        <v/>
      </c>
      <c r="CF367" s="6"/>
      <c r="CG367" s="6"/>
      <c r="CH367" s="4" t="str">
        <f aca="false">IF(OR(CF367="",CG367=""),"",IFERROR(IF($K367="%",CG367-CF367,CG367/CF367-1),""))</f>
        <v/>
      </c>
      <c r="CI367" s="5" t="str">
        <f aca="false">IF(OR(CF367="",CG367=""),"",IF($F367="Maior Melhor",IF(CG367&gt;=CF367,"Sim","Não"),IF(CG367&lt;=CF367,"Sim","Não")))</f>
        <v/>
      </c>
      <c r="CJ367" s="6"/>
      <c r="CK367" s="6"/>
      <c r="CL367" s="4" t="str">
        <f aca="false">IF(OR(CJ367="",CK367=""),"",IFERROR(IF($K367="%",CK367-CJ367,CK367/CJ367-1),""))</f>
        <v/>
      </c>
      <c r="CM367" s="5" t="str">
        <f aca="false">IF(OR(CJ367="",CK367=""),"",IF($F367="Maior Melhor",IF(CK367&gt;=CJ367,"Sim","Não"),IF(CK367&lt;=CJ367,"Sim","Não")))</f>
        <v/>
      </c>
      <c r="CN367" s="6"/>
      <c r="CO367" s="6"/>
      <c r="CP367" s="4" t="str">
        <f aca="false">IF(OR(CN367="",CO367=""),"",IFERROR(IF($K367="%",CO367-CN367,CO367/CN367-1),""))</f>
        <v/>
      </c>
      <c r="CQ367" s="5" t="str">
        <f aca="false">IF(OR(CN367="",CO367=""),"",IF($F367="Maior Melhor",IF(CO367&gt;=CN367,"Sim","Não"),IF(CO367&lt;=CN367,"Sim","Não")))</f>
        <v/>
      </c>
      <c r="CR367" s="2" t="s">
        <v>158</v>
      </c>
    </row>
    <row r="368" customFormat="false" ht="15" hidden="false" customHeight="false" outlineLevel="0" collapsed="false">
      <c r="A368" s="2" t="s">
        <v>144</v>
      </c>
      <c r="B368" s="2" t="s">
        <v>108</v>
      </c>
      <c r="C368" s="2" t="s">
        <v>115</v>
      </c>
      <c r="D368" s="2" t="s">
        <v>204</v>
      </c>
      <c r="E368" s="2" t="str">
        <f aca="false">C368&amp;D368</f>
        <v>UTD BRUMADOTaxa de Contato PP</v>
      </c>
      <c r="F368" s="2" t="s">
        <v>100</v>
      </c>
      <c r="G368" s="2" t="s">
        <v>205</v>
      </c>
      <c r="H368" s="2" t="s">
        <v>102</v>
      </c>
      <c r="I368" s="2" t="s">
        <v>103</v>
      </c>
      <c r="J368" s="2" t="n">
        <v>3</v>
      </c>
      <c r="K368" s="2" t="s">
        <v>104</v>
      </c>
      <c r="L368" s="3" t="n">
        <v>1</v>
      </c>
      <c r="M368" s="3" t="n">
        <v>1</v>
      </c>
      <c r="N368" s="4" t="n">
        <f aca="false">IF(OR(L368="",M368=""),"",IFERROR(IF($K368="%",M368-L368,M368/L368-1),""))</f>
        <v>0</v>
      </c>
      <c r="O368" s="5" t="str">
        <f aca="false">IF(OR(L368="",M368=""),"",IF($F368="Maior Melhor",IF(M368&gt;=L368,"Sim","Não"),IF(M368&lt;=L368,"Sim","Não")))</f>
        <v>Sim</v>
      </c>
      <c r="P368" s="3" t="n">
        <v>1</v>
      </c>
      <c r="Q368" s="3" t="n">
        <v>1</v>
      </c>
      <c r="R368" s="4" t="n">
        <f aca="false">IF(OR(P368="",Q368=""),"",IFERROR(IF($K368="%",Q368-P368,Q368/P368-1),""))</f>
        <v>0</v>
      </c>
      <c r="S368" s="5" t="str">
        <f aca="false">IF(OR(P368="",Q368=""),"",IF($F368="Maior Melhor",IF(Q368&gt;=P368,"Sim","Não"),IF(Q368&lt;=P368,"Sim","Não")))</f>
        <v>Sim</v>
      </c>
      <c r="T368" s="3" t="n">
        <v>1</v>
      </c>
      <c r="U368" s="3" t="n">
        <v>1</v>
      </c>
      <c r="V368" s="4" t="n">
        <f aca="false">IF(OR(T368="",U368=""),"",IFERROR(IF($K368="%",U368-T368,U368/T368-1),""))</f>
        <v>0</v>
      </c>
      <c r="W368" s="5" t="str">
        <f aca="false">IF(OR(T368="",U368=""),"",IF($F368="Maior Melhor",IF(U368&gt;=T368,"Sim","Não"),IF(U368&lt;=T368,"Sim","Não")))</f>
        <v>Sim</v>
      </c>
      <c r="X368" s="3" t="n">
        <v>1</v>
      </c>
      <c r="Y368" s="3" t="n">
        <v>1</v>
      </c>
      <c r="Z368" s="4" t="n">
        <f aca="false">IF(OR(X368="",Y368=""),"",IFERROR(IF($K368="%",Y368-X368,Y368/X368-1),""))</f>
        <v>0</v>
      </c>
      <c r="AA368" s="5" t="str">
        <f aca="false">IF(OR(X368="",Y368=""),"",IF($F368="Maior Melhor",IF(Y368&gt;=X368,"Sim","Não"),IF(Y368&lt;=X368,"Sim","Não")))</f>
        <v>Sim</v>
      </c>
      <c r="AB368" s="3" t="n">
        <v>1</v>
      </c>
      <c r="AC368" s="3" t="n">
        <v>1</v>
      </c>
      <c r="AD368" s="4" t="n">
        <f aca="false">IF(OR(AB368="",AC368=""),"",IFERROR(IF($K368="%",AC368-AB368,AC368/AB368-1),""))</f>
        <v>0</v>
      </c>
      <c r="AE368" s="5" t="str">
        <f aca="false">IF(OR(AB368="",AC368=""),"",IF($F368="Maior Melhor",IF(AC368&gt;=AB368,"Sim","Não"),IF(AC368&lt;=AB368,"Sim","Não")))</f>
        <v>Sim</v>
      </c>
      <c r="AF368" s="3" t="n">
        <v>1</v>
      </c>
      <c r="AG368" s="3" t="n">
        <v>1</v>
      </c>
      <c r="AH368" s="4" t="n">
        <f aca="false">IF(OR(AF368="",AG368=""),"",IFERROR(IF($K368="%",AG368-AF368,AG368/AF368-1),""))</f>
        <v>0</v>
      </c>
      <c r="AI368" s="5" t="str">
        <f aca="false">IF(OR(AF368="",AG368=""),"",IF($F368="Maior Melhor",IF(AG368&gt;=AF368,"Sim","Não"),IF(AG368&lt;=AF368,"Sim","Não")))</f>
        <v>Sim</v>
      </c>
      <c r="AJ368" s="3" t="n">
        <v>1</v>
      </c>
      <c r="AK368" s="3" t="n">
        <v>1</v>
      </c>
      <c r="AL368" s="4" t="n">
        <f aca="false">IF(OR(AJ368="",AK368=""),"",IFERROR(IF($K368="%",AK368-AJ368,AK368/AJ368-1),""))</f>
        <v>0</v>
      </c>
      <c r="AM368" s="5" t="str">
        <f aca="false">IF(OR(AJ368="",AK368=""),"",IF($F368="Maior Melhor",IF(AK368&gt;=AJ368,"Sim","Não"),IF(AK368&lt;=AJ368,"Sim","Não")))</f>
        <v>Sim</v>
      </c>
      <c r="AN368" s="3" t="n">
        <v>1</v>
      </c>
      <c r="AO368" s="3" t="n">
        <v>1</v>
      </c>
      <c r="AP368" s="4" t="n">
        <f aca="false">IF(OR(AN368="",AO368=""),"",IFERROR(IF($K368="%",AO368-AN368,AO368/AN368-1),""))</f>
        <v>0</v>
      </c>
      <c r="AQ368" s="5" t="str">
        <f aca="false">IF(OR(AN368="",AO368=""),"",IF($F368="Maior Melhor",IF(AO368&gt;=AN368,"Sim","Não"),IF(AO368&lt;=AN368,"Sim","Não")))</f>
        <v>Sim</v>
      </c>
      <c r="AR368" s="3" t="n">
        <v>1</v>
      </c>
      <c r="AS368" s="3" t="n">
        <v>1</v>
      </c>
      <c r="AT368" s="4" t="n">
        <f aca="false">IF(OR(AR368="",AS368=""),"",IFERROR(IF($K368="%",AS368-AR368,AS368/AR368-1),""))</f>
        <v>0</v>
      </c>
      <c r="AU368" s="5" t="str">
        <f aca="false">IF(OR(AR368="",AS368=""),"",IF($F368="Maior Melhor",IF(AS368&gt;=AR368,"Sim","Não"),IF(AS368&lt;=AR368,"Sim","Não")))</f>
        <v>Sim</v>
      </c>
      <c r="AV368" s="3" t="n">
        <v>1</v>
      </c>
      <c r="AW368" s="3" t="n">
        <v>1</v>
      </c>
      <c r="AX368" s="4" t="n">
        <f aca="false">IF(OR(AV368="",AW368=""),"",IFERROR(IF($K368="%",AW368-AV368,AW368/AV368-1),""))</f>
        <v>0</v>
      </c>
      <c r="AY368" s="5" t="str">
        <f aca="false">IF(OR(AV368="",AW368=""),"",IF($F368="Maior Melhor",IF(AW368&gt;=AV368,"Sim","Não"),IF(AW368&lt;=AV368,"Sim","Não")))</f>
        <v>Sim</v>
      </c>
      <c r="AZ368" s="3" t="n">
        <v>1</v>
      </c>
      <c r="BA368" s="3" t="n">
        <v>1</v>
      </c>
      <c r="BB368" s="4" t="n">
        <f aca="false">IF(OR(AZ368="",BA368=""),"",IFERROR(IF($K368="%",BA368-AZ368,BA368/AZ368-1),""))</f>
        <v>0</v>
      </c>
      <c r="BC368" s="5" t="str">
        <f aca="false">IF(OR(AZ368="",BA368=""),"",IF($F368="Maior Melhor",IF(BA368&gt;=AZ368,"Sim","Não"),IF(BA368&lt;=AZ368,"Sim","Não")))</f>
        <v>Sim</v>
      </c>
      <c r="BD368" s="3" t="n">
        <v>1</v>
      </c>
      <c r="BE368" s="3" t="n">
        <v>1</v>
      </c>
      <c r="BF368" s="4" t="n">
        <f aca="false">IF(OR(BD368="",BE368=""),"",IFERROR(IF($K368="%",BE368-BD368,BE368/BD368-1),""))</f>
        <v>0</v>
      </c>
      <c r="BG368" s="5" t="str">
        <f aca="false">IF(OR(BD368="",BE368=""),"",IF($F368="Maior Melhor",IF(BE368&gt;=BD368,"Sim","Não"),IF(BE368&lt;=BD368,"Sim","Não")))</f>
        <v>Sim</v>
      </c>
      <c r="BH368" s="3" t="n">
        <v>1</v>
      </c>
      <c r="BI368" s="3" t="n">
        <v>1</v>
      </c>
      <c r="BJ368" s="4" t="n">
        <f aca="false">IF(OR(BH368="",BI368=""),"",IFERROR(IF($K368="%",BI368-BH368,BI368/BH368-1),""))</f>
        <v>0</v>
      </c>
      <c r="BK368" s="5" t="str">
        <f aca="false">IF(OR(BH368="",BI368=""),"",IF($F368="Maior Melhor",IF(BI368&gt;=BH368,"Sim","Não"),IF(BI368&lt;=BH368,"Sim","Não")))</f>
        <v>Sim</v>
      </c>
      <c r="BL368" s="6"/>
      <c r="BM368" s="6"/>
      <c r="BN368" s="4" t="str">
        <f aca="false">IF(OR(BL368="",BM368=""),"",IFERROR(IF($K368="%",BM368-BL368,BM368/BL368-1),""))</f>
        <v/>
      </c>
      <c r="BO368" s="5" t="str">
        <f aca="false">IF(OR(BL368="",BM368=""),"",IF($F368="Maior Melhor",IF(BM368&gt;=BL368,"Sim","Não"),IF(BM368&lt;=BL368,"Sim","Não")))</f>
        <v/>
      </c>
      <c r="BP368" s="6"/>
      <c r="BQ368" s="6"/>
      <c r="BR368" s="4" t="str">
        <f aca="false">IF(OR(BP368="",BQ368=""),"",IFERROR(IF($K368="%",BQ368-BP368,BQ368/BP368-1),""))</f>
        <v/>
      </c>
      <c r="BS368" s="5" t="str">
        <f aca="false">IF(OR(BP368="",BQ368=""),"",IF($F368="Maior Melhor",IF(BQ368&gt;=BP368,"Sim","Não"),IF(BQ368&lt;=BP368,"Sim","Não")))</f>
        <v/>
      </c>
      <c r="BT368" s="6"/>
      <c r="BU368" s="6"/>
      <c r="BV368" s="4" t="str">
        <f aca="false">IF(OR(BT368="",BU368=""),"",IFERROR(IF($K368="%",BU368-BT368,BU368/BT368-1),""))</f>
        <v/>
      </c>
      <c r="BW368" s="5" t="str">
        <f aca="false">IF(OR(BT368="",BU368=""),"",IF($F368="Maior Melhor",IF(BU368&gt;=BT368,"Sim","Não"),IF(BU368&lt;=BT368,"Sim","Não")))</f>
        <v/>
      </c>
      <c r="BX368" s="6"/>
      <c r="BY368" s="6"/>
      <c r="BZ368" s="4" t="str">
        <f aca="false">IF(OR(BX368="",BY368=""),"",IFERROR(IF($K368="%",BY368-BX368,BY368/BX368-1),""))</f>
        <v/>
      </c>
      <c r="CA368" s="5" t="str">
        <f aca="false">IF(OR(BX368="",BY368=""),"",IF($F368="Maior Melhor",IF(BY368&gt;=BX368,"Sim","Não"),IF(BY368&lt;=BX368,"Sim","Não")))</f>
        <v/>
      </c>
      <c r="CB368" s="6"/>
      <c r="CC368" s="6"/>
      <c r="CD368" s="4" t="str">
        <f aca="false">IF(OR(CB368="",CC368=""),"",IFERROR(IF($K368="%",CC368-CB368,CC368/CB368-1),""))</f>
        <v/>
      </c>
      <c r="CE368" s="5" t="str">
        <f aca="false">IF(OR(CB368="",CC368=""),"",IF($F368="Maior Melhor",IF(CC368&gt;=CB368,"Sim","Não"),IF(CC368&lt;=CB368,"Sim","Não")))</f>
        <v/>
      </c>
      <c r="CF368" s="6"/>
      <c r="CG368" s="6"/>
      <c r="CH368" s="4" t="str">
        <f aca="false">IF(OR(CF368="",CG368=""),"",IFERROR(IF($K368="%",CG368-CF368,CG368/CF368-1),""))</f>
        <v/>
      </c>
      <c r="CI368" s="5" t="str">
        <f aca="false">IF(OR(CF368="",CG368=""),"",IF($F368="Maior Melhor",IF(CG368&gt;=CF368,"Sim","Não"),IF(CG368&lt;=CF368,"Sim","Não")))</f>
        <v/>
      </c>
      <c r="CJ368" s="6"/>
      <c r="CK368" s="6"/>
      <c r="CL368" s="4" t="str">
        <f aca="false">IF(OR(CJ368="",CK368=""),"",IFERROR(IF($K368="%",CK368-CJ368,CK368/CJ368-1),""))</f>
        <v/>
      </c>
      <c r="CM368" s="5" t="str">
        <f aca="false">IF(OR(CJ368="",CK368=""),"",IF($F368="Maior Melhor",IF(CK368&gt;=CJ368,"Sim","Não"),IF(CK368&lt;=CJ368,"Sim","Não")))</f>
        <v/>
      </c>
      <c r="CN368" s="6"/>
      <c r="CO368" s="6"/>
      <c r="CP368" s="4" t="str">
        <f aca="false">IF(OR(CN368="",CO368=""),"",IFERROR(IF($K368="%",CO368-CN368,CO368/CN368-1),""))</f>
        <v/>
      </c>
      <c r="CQ368" s="5" t="str">
        <f aca="false">IF(OR(CN368="",CO368=""),"",IF($F368="Maior Melhor",IF(CO368&gt;=CN368,"Sim","Não"),IF(CO368&lt;=CN368,"Sim","Não")))</f>
        <v/>
      </c>
      <c r="CR368" s="2" t="s">
        <v>105</v>
      </c>
    </row>
    <row r="369" customFormat="false" ht="15" hidden="false" customHeight="false" outlineLevel="0" collapsed="false">
      <c r="A369" s="2" t="s">
        <v>144</v>
      </c>
      <c r="B369" s="2" t="s">
        <v>108</v>
      </c>
      <c r="C369" s="2" t="s">
        <v>117</v>
      </c>
      <c r="D369" s="2" t="s">
        <v>204</v>
      </c>
      <c r="E369" s="2" t="str">
        <f aca="false">C369&amp;D369</f>
        <v>UTD GUANAMBITaxa de Contato PP</v>
      </c>
      <c r="F369" s="2" t="s">
        <v>100</v>
      </c>
      <c r="G369" s="2" t="s">
        <v>205</v>
      </c>
      <c r="H369" s="2" t="s">
        <v>102</v>
      </c>
      <c r="I369" s="2" t="s">
        <v>103</v>
      </c>
      <c r="J369" s="2" t="n">
        <v>3</v>
      </c>
      <c r="K369" s="2" t="s">
        <v>104</v>
      </c>
      <c r="L369" s="3" t="n">
        <v>1</v>
      </c>
      <c r="M369" s="3" t="n">
        <v>0.67</v>
      </c>
      <c r="N369" s="4" t="n">
        <f aca="false">IF(OR(L369="",M369=""),"",IFERROR(IF($K369="%",M369-L369,M369/L369-1),""))</f>
        <v>-0.33</v>
      </c>
      <c r="O369" s="5" t="str">
        <f aca="false">IF(OR(L369="",M369=""),"",IF($F369="Maior Melhor",IF(M369&gt;=L369,"Sim","Não"),IF(M369&lt;=L369,"Sim","Não")))</f>
        <v>Não</v>
      </c>
      <c r="P369" s="3" t="n">
        <v>1</v>
      </c>
      <c r="Q369" s="3" t="n">
        <v>0.72</v>
      </c>
      <c r="R369" s="4" t="n">
        <f aca="false">IF(OR(P369="",Q369=""),"",IFERROR(IF($K369="%",Q369-P369,Q369/P369-1),""))</f>
        <v>-0.28</v>
      </c>
      <c r="S369" s="5" t="str">
        <f aca="false">IF(OR(P369="",Q369=""),"",IF($F369="Maior Melhor",IF(Q369&gt;=P369,"Sim","Não"),IF(Q369&lt;=P369,"Sim","Não")))</f>
        <v>Não</v>
      </c>
      <c r="T369" s="3" t="n">
        <v>1</v>
      </c>
      <c r="U369" s="3" t="n">
        <v>1</v>
      </c>
      <c r="V369" s="4" t="n">
        <f aca="false">IF(OR(T369="",U369=""),"",IFERROR(IF($K369="%",U369-T369,U369/T369-1),""))</f>
        <v>0</v>
      </c>
      <c r="W369" s="5" t="str">
        <f aca="false">IF(OR(T369="",U369=""),"",IF($F369="Maior Melhor",IF(U369&gt;=T369,"Sim","Não"),IF(U369&lt;=T369,"Sim","Não")))</f>
        <v>Sim</v>
      </c>
      <c r="X369" s="3" t="n">
        <v>1</v>
      </c>
      <c r="Y369" s="3" t="n">
        <v>1</v>
      </c>
      <c r="Z369" s="4" t="n">
        <f aca="false">IF(OR(X369="",Y369=""),"",IFERROR(IF($K369="%",Y369-X369,Y369/X369-1),""))</f>
        <v>0</v>
      </c>
      <c r="AA369" s="5" t="str">
        <f aca="false">IF(OR(X369="",Y369=""),"",IF($F369="Maior Melhor",IF(Y369&gt;=X369,"Sim","Não"),IF(Y369&lt;=X369,"Sim","Não")))</f>
        <v>Sim</v>
      </c>
      <c r="AB369" s="3" t="n">
        <v>1</v>
      </c>
      <c r="AC369" s="3" t="n">
        <v>1</v>
      </c>
      <c r="AD369" s="4" t="n">
        <f aca="false">IF(OR(AB369="",AC369=""),"",IFERROR(IF($K369="%",AC369-AB369,AC369/AB369-1),""))</f>
        <v>0</v>
      </c>
      <c r="AE369" s="5" t="str">
        <f aca="false">IF(OR(AB369="",AC369=""),"",IF($F369="Maior Melhor",IF(AC369&gt;=AB369,"Sim","Não"),IF(AC369&lt;=AB369,"Sim","Não")))</f>
        <v>Sim</v>
      </c>
      <c r="AF369" s="3" t="n">
        <v>1</v>
      </c>
      <c r="AG369" s="3" t="n">
        <v>1</v>
      </c>
      <c r="AH369" s="4" t="n">
        <f aca="false">IF(OR(AF369="",AG369=""),"",IFERROR(IF($K369="%",AG369-AF369,AG369/AF369-1),""))</f>
        <v>0</v>
      </c>
      <c r="AI369" s="5" t="str">
        <f aca="false">IF(OR(AF369="",AG369=""),"",IF($F369="Maior Melhor",IF(AG369&gt;=AF369,"Sim","Não"),IF(AG369&lt;=AF369,"Sim","Não")))</f>
        <v>Sim</v>
      </c>
      <c r="AJ369" s="3" t="n">
        <v>1</v>
      </c>
      <c r="AK369" s="3" t="n">
        <v>1</v>
      </c>
      <c r="AL369" s="4" t="n">
        <f aca="false">IF(OR(AJ369="",AK369=""),"",IFERROR(IF($K369="%",AK369-AJ369,AK369/AJ369-1),""))</f>
        <v>0</v>
      </c>
      <c r="AM369" s="5" t="str">
        <f aca="false">IF(OR(AJ369="",AK369=""),"",IF($F369="Maior Melhor",IF(AK369&gt;=AJ369,"Sim","Não"),IF(AK369&lt;=AJ369,"Sim","Não")))</f>
        <v>Sim</v>
      </c>
      <c r="AN369" s="3" t="n">
        <v>1</v>
      </c>
      <c r="AO369" s="3" t="n">
        <v>1</v>
      </c>
      <c r="AP369" s="4" t="n">
        <f aca="false">IF(OR(AN369="",AO369=""),"",IFERROR(IF($K369="%",AO369-AN369,AO369/AN369-1),""))</f>
        <v>0</v>
      </c>
      <c r="AQ369" s="5" t="str">
        <f aca="false">IF(OR(AN369="",AO369=""),"",IF($F369="Maior Melhor",IF(AO369&gt;=AN369,"Sim","Não"),IF(AO369&lt;=AN369,"Sim","Não")))</f>
        <v>Sim</v>
      </c>
      <c r="AR369" s="3" t="n">
        <v>1</v>
      </c>
      <c r="AS369" s="3" t="n">
        <v>1</v>
      </c>
      <c r="AT369" s="4" t="n">
        <f aca="false">IF(OR(AR369="",AS369=""),"",IFERROR(IF($K369="%",AS369-AR369,AS369/AR369-1),""))</f>
        <v>0</v>
      </c>
      <c r="AU369" s="5" t="str">
        <f aca="false">IF(OR(AR369="",AS369=""),"",IF($F369="Maior Melhor",IF(AS369&gt;=AR369,"Sim","Não"),IF(AS369&lt;=AR369,"Sim","Não")))</f>
        <v>Sim</v>
      </c>
      <c r="AV369" s="3" t="n">
        <v>1</v>
      </c>
      <c r="AW369" s="3" t="n">
        <v>1</v>
      </c>
      <c r="AX369" s="4" t="n">
        <f aca="false">IF(OR(AV369="",AW369=""),"",IFERROR(IF($K369="%",AW369-AV369,AW369/AV369-1),""))</f>
        <v>0</v>
      </c>
      <c r="AY369" s="5" t="str">
        <f aca="false">IF(OR(AV369="",AW369=""),"",IF($F369="Maior Melhor",IF(AW369&gt;=AV369,"Sim","Não"),IF(AW369&lt;=AV369,"Sim","Não")))</f>
        <v>Sim</v>
      </c>
      <c r="AZ369" s="3" t="n">
        <v>1</v>
      </c>
      <c r="BA369" s="3" t="n">
        <v>1</v>
      </c>
      <c r="BB369" s="4" t="n">
        <f aca="false">IF(OR(AZ369="",BA369=""),"",IFERROR(IF($K369="%",BA369-AZ369,BA369/AZ369-1),""))</f>
        <v>0</v>
      </c>
      <c r="BC369" s="5" t="str">
        <f aca="false">IF(OR(AZ369="",BA369=""),"",IF($F369="Maior Melhor",IF(BA369&gt;=AZ369,"Sim","Não"),IF(BA369&lt;=AZ369,"Sim","Não")))</f>
        <v>Sim</v>
      </c>
      <c r="BD369" s="3" t="n">
        <v>1</v>
      </c>
      <c r="BE369" s="3" t="n">
        <v>1</v>
      </c>
      <c r="BF369" s="4" t="n">
        <f aca="false">IF(OR(BD369="",BE369=""),"",IFERROR(IF($K369="%",BE369-BD369,BE369/BD369-1),""))</f>
        <v>0</v>
      </c>
      <c r="BG369" s="5" t="str">
        <f aca="false">IF(OR(BD369="",BE369=""),"",IF($F369="Maior Melhor",IF(BE369&gt;=BD369,"Sim","Não"),IF(BE369&lt;=BD369,"Sim","Não")))</f>
        <v>Sim</v>
      </c>
      <c r="BH369" s="3" t="n">
        <v>1</v>
      </c>
      <c r="BI369" s="3" t="n">
        <v>1</v>
      </c>
      <c r="BJ369" s="4" t="n">
        <f aca="false">IF(OR(BH369="",BI369=""),"",IFERROR(IF($K369="%",BI369-BH369,BI369/BH369-1),""))</f>
        <v>0</v>
      </c>
      <c r="BK369" s="5" t="str">
        <f aca="false">IF(OR(BH369="",BI369=""),"",IF($F369="Maior Melhor",IF(BI369&gt;=BH369,"Sim","Não"),IF(BI369&lt;=BH369,"Sim","Não")))</f>
        <v>Sim</v>
      </c>
      <c r="BL369" s="6"/>
      <c r="BM369" s="6"/>
      <c r="BN369" s="4" t="str">
        <f aca="false">IF(OR(BL369="",BM369=""),"",IFERROR(IF($K369="%",BM369-BL369,BM369/BL369-1),""))</f>
        <v/>
      </c>
      <c r="BO369" s="5" t="str">
        <f aca="false">IF(OR(BL369="",BM369=""),"",IF($F369="Maior Melhor",IF(BM369&gt;=BL369,"Sim","Não"),IF(BM369&lt;=BL369,"Sim","Não")))</f>
        <v/>
      </c>
      <c r="BP369" s="6"/>
      <c r="BQ369" s="6"/>
      <c r="BR369" s="4" t="str">
        <f aca="false">IF(OR(BP369="",BQ369=""),"",IFERROR(IF($K369="%",BQ369-BP369,BQ369/BP369-1),""))</f>
        <v/>
      </c>
      <c r="BS369" s="5" t="str">
        <f aca="false">IF(OR(BP369="",BQ369=""),"",IF($F369="Maior Melhor",IF(BQ369&gt;=BP369,"Sim","Não"),IF(BQ369&lt;=BP369,"Sim","Não")))</f>
        <v/>
      </c>
      <c r="BT369" s="6"/>
      <c r="BU369" s="6"/>
      <c r="BV369" s="4" t="str">
        <f aca="false">IF(OR(BT369="",BU369=""),"",IFERROR(IF($K369="%",BU369-BT369,BU369/BT369-1),""))</f>
        <v/>
      </c>
      <c r="BW369" s="5" t="str">
        <f aca="false">IF(OR(BT369="",BU369=""),"",IF($F369="Maior Melhor",IF(BU369&gt;=BT369,"Sim","Não"),IF(BU369&lt;=BT369,"Sim","Não")))</f>
        <v/>
      </c>
      <c r="BX369" s="6"/>
      <c r="BY369" s="6"/>
      <c r="BZ369" s="4" t="str">
        <f aca="false">IF(OR(BX369="",BY369=""),"",IFERROR(IF($K369="%",BY369-BX369,BY369/BX369-1),""))</f>
        <v/>
      </c>
      <c r="CA369" s="5" t="str">
        <f aca="false">IF(OR(BX369="",BY369=""),"",IF($F369="Maior Melhor",IF(BY369&gt;=BX369,"Sim","Não"),IF(BY369&lt;=BX369,"Sim","Não")))</f>
        <v/>
      </c>
      <c r="CB369" s="6"/>
      <c r="CC369" s="6"/>
      <c r="CD369" s="4" t="str">
        <f aca="false">IF(OR(CB369="",CC369=""),"",IFERROR(IF($K369="%",CC369-CB369,CC369/CB369-1),""))</f>
        <v/>
      </c>
      <c r="CE369" s="5" t="str">
        <f aca="false">IF(OR(CB369="",CC369=""),"",IF($F369="Maior Melhor",IF(CC369&gt;=CB369,"Sim","Não"),IF(CC369&lt;=CB369,"Sim","Não")))</f>
        <v/>
      </c>
      <c r="CF369" s="6"/>
      <c r="CG369" s="6"/>
      <c r="CH369" s="4" t="str">
        <f aca="false">IF(OR(CF369="",CG369=""),"",IFERROR(IF($K369="%",CG369-CF369,CG369/CF369-1),""))</f>
        <v/>
      </c>
      <c r="CI369" s="5" t="str">
        <f aca="false">IF(OR(CF369="",CG369=""),"",IF($F369="Maior Melhor",IF(CG369&gt;=CF369,"Sim","Não"),IF(CG369&lt;=CF369,"Sim","Não")))</f>
        <v/>
      </c>
      <c r="CJ369" s="6"/>
      <c r="CK369" s="6"/>
      <c r="CL369" s="4" t="str">
        <f aca="false">IF(OR(CJ369="",CK369=""),"",IFERROR(IF($K369="%",CK369-CJ369,CK369/CJ369-1),""))</f>
        <v/>
      </c>
      <c r="CM369" s="5" t="str">
        <f aca="false">IF(OR(CJ369="",CK369=""),"",IF($F369="Maior Melhor",IF(CK369&gt;=CJ369,"Sim","Não"),IF(CK369&lt;=CJ369,"Sim","Não")))</f>
        <v/>
      </c>
      <c r="CN369" s="6"/>
      <c r="CO369" s="6"/>
      <c r="CP369" s="4" t="str">
        <f aca="false">IF(OR(CN369="",CO369=""),"",IFERROR(IF($K369="%",CO369-CN369,CO369/CN369-1),""))</f>
        <v/>
      </c>
      <c r="CQ369" s="5" t="str">
        <f aca="false">IF(OR(CN369="",CO369=""),"",IF($F369="Maior Melhor",IF(CO369&gt;=CN369,"Sim","Não"),IF(CO369&lt;=CN369,"Sim","Não")))</f>
        <v/>
      </c>
      <c r="CR369" s="2" t="s">
        <v>105</v>
      </c>
    </row>
    <row r="370" customFormat="false" ht="15" hidden="false" customHeight="false" outlineLevel="0" collapsed="false">
      <c r="A370" s="2" t="s">
        <v>144</v>
      </c>
      <c r="B370" s="2" t="s">
        <v>106</v>
      </c>
      <c r="C370" s="2" t="s">
        <v>118</v>
      </c>
      <c r="D370" s="2" t="s">
        <v>204</v>
      </c>
      <c r="E370" s="2" t="str">
        <f aca="false">C370&amp;D370</f>
        <v>UTD IBOTIRAMATaxa de Contato PP</v>
      </c>
      <c r="F370" s="2" t="s">
        <v>100</v>
      </c>
      <c r="G370" s="2" t="s">
        <v>205</v>
      </c>
      <c r="H370" s="2" t="s">
        <v>119</v>
      </c>
      <c r="I370" s="2" t="s">
        <v>103</v>
      </c>
      <c r="J370" s="2" t="n">
        <v>3</v>
      </c>
      <c r="K370" s="2" t="s">
        <v>104</v>
      </c>
      <c r="L370" s="3" t="n">
        <v>1</v>
      </c>
      <c r="M370" s="3" t="n">
        <v>0</v>
      </c>
      <c r="N370" s="4" t="n">
        <f aca="false">IF(OR(L370="",M370=""),"",IFERROR(IF($K370="%",M370-L370,M370/L370-1),""))</f>
        <v>-1</v>
      </c>
      <c r="O370" s="5" t="str">
        <f aca="false">IF(OR(L370="",M370=""),"",IF($F370="Maior Melhor",IF(M370&gt;=L370,"Sim","Não"),IF(M370&lt;=L370,"Sim","Não")))</f>
        <v>Não</v>
      </c>
      <c r="P370" s="3" t="n">
        <v>1</v>
      </c>
      <c r="Q370" s="3" t="n">
        <v>1</v>
      </c>
      <c r="R370" s="4" t="n">
        <f aca="false">IF(OR(P370="",Q370=""),"",IFERROR(IF($K370="%",Q370-P370,Q370/P370-1),""))</f>
        <v>0</v>
      </c>
      <c r="S370" s="5" t="str">
        <f aca="false">IF(OR(P370="",Q370=""),"",IF($F370="Maior Melhor",IF(Q370&gt;=P370,"Sim","Não"),IF(Q370&lt;=P370,"Sim","Não")))</f>
        <v>Sim</v>
      </c>
      <c r="T370" s="3" t="n">
        <v>1</v>
      </c>
      <c r="U370" s="3" t="n">
        <v>1</v>
      </c>
      <c r="V370" s="4" t="n">
        <f aca="false">IF(OR(T370="",U370=""),"",IFERROR(IF($K370="%",U370-T370,U370/T370-1),""))</f>
        <v>0</v>
      </c>
      <c r="W370" s="5" t="str">
        <f aca="false">IF(OR(T370="",U370=""),"",IF($F370="Maior Melhor",IF(U370&gt;=T370,"Sim","Não"),IF(U370&lt;=T370,"Sim","Não")))</f>
        <v>Sim</v>
      </c>
      <c r="X370" s="3" t="n">
        <v>1</v>
      </c>
      <c r="Y370" s="3" t="n">
        <v>1</v>
      </c>
      <c r="Z370" s="4" t="n">
        <f aca="false">IF(OR(X370="",Y370=""),"",IFERROR(IF($K370="%",Y370-X370,Y370/X370-1),""))</f>
        <v>0</v>
      </c>
      <c r="AA370" s="5" t="str">
        <f aca="false">IF(OR(X370="",Y370=""),"",IF($F370="Maior Melhor",IF(Y370&gt;=X370,"Sim","Não"),IF(Y370&lt;=X370,"Sim","Não")))</f>
        <v>Sim</v>
      </c>
      <c r="AB370" s="3" t="n">
        <v>1</v>
      </c>
      <c r="AC370" s="3" t="n">
        <v>1</v>
      </c>
      <c r="AD370" s="4" t="n">
        <f aca="false">IF(OR(AB370="",AC370=""),"",IFERROR(IF($K370="%",AC370-AB370,AC370/AB370-1),""))</f>
        <v>0</v>
      </c>
      <c r="AE370" s="5" t="str">
        <f aca="false">IF(OR(AB370="",AC370=""),"",IF($F370="Maior Melhor",IF(AC370&gt;=AB370,"Sim","Não"),IF(AC370&lt;=AB370,"Sim","Não")))</f>
        <v>Sim</v>
      </c>
      <c r="AF370" s="3" t="n">
        <v>1</v>
      </c>
      <c r="AG370" s="3" t="n">
        <v>1</v>
      </c>
      <c r="AH370" s="4" t="n">
        <f aca="false">IF(OR(AF370="",AG370=""),"",IFERROR(IF($K370="%",AG370-AF370,AG370/AF370-1),""))</f>
        <v>0</v>
      </c>
      <c r="AI370" s="5" t="str">
        <f aca="false">IF(OR(AF370="",AG370=""),"",IF($F370="Maior Melhor",IF(AG370&gt;=AF370,"Sim","Não"),IF(AG370&lt;=AF370,"Sim","Não")))</f>
        <v>Sim</v>
      </c>
      <c r="AJ370" s="3" t="n">
        <v>1</v>
      </c>
      <c r="AK370" s="3" t="n">
        <v>1</v>
      </c>
      <c r="AL370" s="4" t="n">
        <f aca="false">IF(OR(AJ370="",AK370=""),"",IFERROR(IF($K370="%",AK370-AJ370,AK370/AJ370-1),""))</f>
        <v>0</v>
      </c>
      <c r="AM370" s="5" t="str">
        <f aca="false">IF(OR(AJ370="",AK370=""),"",IF($F370="Maior Melhor",IF(AK370&gt;=AJ370,"Sim","Não"),IF(AK370&lt;=AJ370,"Sim","Não")))</f>
        <v>Sim</v>
      </c>
      <c r="AN370" s="3" t="n">
        <v>1</v>
      </c>
      <c r="AO370" s="3" t="n">
        <v>1</v>
      </c>
      <c r="AP370" s="4" t="n">
        <f aca="false">IF(OR(AN370="",AO370=""),"",IFERROR(IF($K370="%",AO370-AN370,AO370/AN370-1),""))</f>
        <v>0</v>
      </c>
      <c r="AQ370" s="5" t="str">
        <f aca="false">IF(OR(AN370="",AO370=""),"",IF($F370="Maior Melhor",IF(AO370&gt;=AN370,"Sim","Não"),IF(AO370&lt;=AN370,"Sim","Não")))</f>
        <v>Sim</v>
      </c>
      <c r="AR370" s="3" t="n">
        <v>1</v>
      </c>
      <c r="AS370" s="3" t="n">
        <v>1</v>
      </c>
      <c r="AT370" s="4" t="n">
        <f aca="false">IF(OR(AR370="",AS370=""),"",IFERROR(IF($K370="%",AS370-AR370,AS370/AR370-1),""))</f>
        <v>0</v>
      </c>
      <c r="AU370" s="5" t="str">
        <f aca="false">IF(OR(AR370="",AS370=""),"",IF($F370="Maior Melhor",IF(AS370&gt;=AR370,"Sim","Não"),IF(AS370&lt;=AR370,"Sim","Não")))</f>
        <v>Sim</v>
      </c>
      <c r="AV370" s="3" t="n">
        <v>1</v>
      </c>
      <c r="AW370" s="3" t="n">
        <v>1</v>
      </c>
      <c r="AX370" s="4" t="n">
        <f aca="false">IF(OR(AV370="",AW370=""),"",IFERROR(IF($K370="%",AW370-AV370,AW370/AV370-1),""))</f>
        <v>0</v>
      </c>
      <c r="AY370" s="5" t="str">
        <f aca="false">IF(OR(AV370="",AW370=""),"",IF($F370="Maior Melhor",IF(AW370&gt;=AV370,"Sim","Não"),IF(AW370&lt;=AV370,"Sim","Não")))</f>
        <v>Sim</v>
      </c>
      <c r="AZ370" s="3" t="n">
        <v>1</v>
      </c>
      <c r="BA370" s="3" t="n">
        <v>1</v>
      </c>
      <c r="BB370" s="4" t="n">
        <f aca="false">IF(OR(AZ370="",BA370=""),"",IFERROR(IF($K370="%",BA370-AZ370,BA370/AZ370-1),""))</f>
        <v>0</v>
      </c>
      <c r="BC370" s="5" t="str">
        <f aca="false">IF(OR(AZ370="",BA370=""),"",IF($F370="Maior Melhor",IF(BA370&gt;=AZ370,"Sim","Não"),IF(BA370&lt;=AZ370,"Sim","Não")))</f>
        <v>Sim</v>
      </c>
      <c r="BD370" s="3" t="n">
        <v>1</v>
      </c>
      <c r="BE370" s="3" t="n">
        <v>1</v>
      </c>
      <c r="BF370" s="4" t="n">
        <f aca="false">IF(OR(BD370="",BE370=""),"",IFERROR(IF($K370="%",BE370-BD370,BE370/BD370-1),""))</f>
        <v>0</v>
      </c>
      <c r="BG370" s="5" t="str">
        <f aca="false">IF(OR(BD370="",BE370=""),"",IF($F370="Maior Melhor",IF(BE370&gt;=BD370,"Sim","Não"),IF(BE370&lt;=BD370,"Sim","Não")))</f>
        <v>Sim</v>
      </c>
      <c r="BH370" s="3" t="n">
        <v>1</v>
      </c>
      <c r="BI370" s="3" t="n">
        <v>1</v>
      </c>
      <c r="BJ370" s="4" t="n">
        <f aca="false">IF(OR(BH370="",BI370=""),"",IFERROR(IF($K370="%",BI370-BH370,BI370/BH370-1),""))</f>
        <v>0</v>
      </c>
      <c r="BK370" s="5" t="str">
        <f aca="false">IF(OR(BH370="",BI370=""),"",IF($F370="Maior Melhor",IF(BI370&gt;=BH370,"Sim","Não"),IF(BI370&lt;=BH370,"Sim","Não")))</f>
        <v>Sim</v>
      </c>
      <c r="BL370" s="6"/>
      <c r="BM370" s="6"/>
      <c r="BN370" s="4" t="str">
        <f aca="false">IF(OR(BL370="",BM370=""),"",IFERROR(IF($K370="%",BM370-BL370,BM370/BL370-1),""))</f>
        <v/>
      </c>
      <c r="BO370" s="5" t="str">
        <f aca="false">IF(OR(BL370="",BM370=""),"",IF($F370="Maior Melhor",IF(BM370&gt;=BL370,"Sim","Não"),IF(BM370&lt;=BL370,"Sim","Não")))</f>
        <v/>
      </c>
      <c r="BP370" s="6"/>
      <c r="BQ370" s="6"/>
      <c r="BR370" s="4" t="str">
        <f aca="false">IF(OR(BP370="",BQ370=""),"",IFERROR(IF($K370="%",BQ370-BP370,BQ370/BP370-1),""))</f>
        <v/>
      </c>
      <c r="BS370" s="5" t="str">
        <f aca="false">IF(OR(BP370="",BQ370=""),"",IF($F370="Maior Melhor",IF(BQ370&gt;=BP370,"Sim","Não"),IF(BQ370&lt;=BP370,"Sim","Não")))</f>
        <v/>
      </c>
      <c r="BT370" s="6"/>
      <c r="BU370" s="6"/>
      <c r="BV370" s="4" t="str">
        <f aca="false">IF(OR(BT370="",BU370=""),"",IFERROR(IF($K370="%",BU370-BT370,BU370/BT370-1),""))</f>
        <v/>
      </c>
      <c r="BW370" s="5" t="str">
        <f aca="false">IF(OR(BT370="",BU370=""),"",IF($F370="Maior Melhor",IF(BU370&gt;=BT370,"Sim","Não"),IF(BU370&lt;=BT370,"Sim","Não")))</f>
        <v/>
      </c>
      <c r="BX370" s="6"/>
      <c r="BY370" s="6"/>
      <c r="BZ370" s="4" t="str">
        <f aca="false">IF(OR(BX370="",BY370=""),"",IFERROR(IF($K370="%",BY370-BX370,BY370/BX370-1),""))</f>
        <v/>
      </c>
      <c r="CA370" s="5" t="str">
        <f aca="false">IF(OR(BX370="",BY370=""),"",IF($F370="Maior Melhor",IF(BY370&gt;=BX370,"Sim","Não"),IF(BY370&lt;=BX370,"Sim","Não")))</f>
        <v/>
      </c>
      <c r="CB370" s="6"/>
      <c r="CC370" s="6"/>
      <c r="CD370" s="4" t="str">
        <f aca="false">IF(OR(CB370="",CC370=""),"",IFERROR(IF($K370="%",CC370-CB370,CC370/CB370-1),""))</f>
        <v/>
      </c>
      <c r="CE370" s="5" t="str">
        <f aca="false">IF(OR(CB370="",CC370=""),"",IF($F370="Maior Melhor",IF(CC370&gt;=CB370,"Sim","Não"),IF(CC370&lt;=CB370,"Sim","Não")))</f>
        <v/>
      </c>
      <c r="CF370" s="6"/>
      <c r="CG370" s="6"/>
      <c r="CH370" s="4" t="str">
        <f aca="false">IF(OR(CF370="",CG370=""),"",IFERROR(IF($K370="%",CG370-CF370,CG370/CF370-1),""))</f>
        <v/>
      </c>
      <c r="CI370" s="5" t="str">
        <f aca="false">IF(OR(CF370="",CG370=""),"",IF($F370="Maior Melhor",IF(CG370&gt;=CF370,"Sim","Não"),IF(CG370&lt;=CF370,"Sim","Não")))</f>
        <v/>
      </c>
      <c r="CJ370" s="6"/>
      <c r="CK370" s="6"/>
      <c r="CL370" s="4" t="str">
        <f aca="false">IF(OR(CJ370="",CK370=""),"",IFERROR(IF($K370="%",CK370-CJ370,CK370/CJ370-1),""))</f>
        <v/>
      </c>
      <c r="CM370" s="5" t="str">
        <f aca="false">IF(OR(CJ370="",CK370=""),"",IF($F370="Maior Melhor",IF(CK370&gt;=CJ370,"Sim","Não"),IF(CK370&lt;=CJ370,"Sim","Não")))</f>
        <v/>
      </c>
      <c r="CN370" s="6"/>
      <c r="CO370" s="6"/>
      <c r="CP370" s="4" t="str">
        <f aca="false">IF(OR(CN370="",CO370=""),"",IFERROR(IF($K370="%",CO370-CN370,CO370/CN370-1),""))</f>
        <v/>
      </c>
      <c r="CQ370" s="5" t="str">
        <f aca="false">IF(OR(CN370="",CO370=""),"",IF($F370="Maior Melhor",IF(CO370&gt;=CN370,"Sim","Não"),IF(CO370&lt;=CN370,"Sim","Não")))</f>
        <v/>
      </c>
      <c r="CR370" s="2" t="s">
        <v>150</v>
      </c>
    </row>
    <row r="371" customFormat="false" ht="15" hidden="false" customHeight="false" outlineLevel="0" collapsed="false">
      <c r="A371" s="2" t="s">
        <v>144</v>
      </c>
      <c r="B371" s="2" t="s">
        <v>97</v>
      </c>
      <c r="C371" s="2" t="s">
        <v>121</v>
      </c>
      <c r="D371" s="2" t="s">
        <v>204</v>
      </c>
      <c r="E371" s="2" t="str">
        <f aca="false">C371&amp;D371</f>
        <v>UTD IRECÊTaxa de Contato PP</v>
      </c>
      <c r="F371" s="2" t="s">
        <v>100</v>
      </c>
      <c r="G371" s="2" t="s">
        <v>205</v>
      </c>
      <c r="H371" s="2" t="s">
        <v>102</v>
      </c>
      <c r="I371" s="2" t="s">
        <v>103</v>
      </c>
      <c r="J371" s="2" t="n">
        <v>3</v>
      </c>
      <c r="K371" s="2" t="s">
        <v>104</v>
      </c>
      <c r="L371" s="3" t="n">
        <v>1</v>
      </c>
      <c r="M371" s="3" t="n">
        <v>1</v>
      </c>
      <c r="N371" s="4" t="n">
        <f aca="false">IF(OR(L371="",M371=""),"",IFERROR(IF($K371="%",M371-L371,M371/L371-1),""))</f>
        <v>0</v>
      </c>
      <c r="O371" s="5" t="str">
        <f aca="false">IF(OR(L371="",M371=""),"",IF($F371="Maior Melhor",IF(M371&gt;=L371,"Sim","Não"),IF(M371&lt;=L371,"Sim","Não")))</f>
        <v>Sim</v>
      </c>
      <c r="P371" s="3" t="n">
        <v>1</v>
      </c>
      <c r="Q371" s="3" t="n">
        <v>1</v>
      </c>
      <c r="R371" s="4" t="n">
        <f aca="false">IF(OR(P371="",Q371=""),"",IFERROR(IF($K371="%",Q371-P371,Q371/P371-1),""))</f>
        <v>0</v>
      </c>
      <c r="S371" s="5" t="str">
        <f aca="false">IF(OR(P371="",Q371=""),"",IF($F371="Maior Melhor",IF(Q371&gt;=P371,"Sim","Não"),IF(Q371&lt;=P371,"Sim","Não")))</f>
        <v>Sim</v>
      </c>
      <c r="T371" s="3" t="n">
        <v>1</v>
      </c>
      <c r="U371" s="3" t="n">
        <v>1</v>
      </c>
      <c r="V371" s="4" t="n">
        <f aca="false">IF(OR(T371="",U371=""),"",IFERROR(IF($K371="%",U371-T371,U371/T371-1),""))</f>
        <v>0</v>
      </c>
      <c r="W371" s="5" t="str">
        <f aca="false">IF(OR(T371="",U371=""),"",IF($F371="Maior Melhor",IF(U371&gt;=T371,"Sim","Não"),IF(U371&lt;=T371,"Sim","Não")))</f>
        <v>Sim</v>
      </c>
      <c r="X371" s="3" t="n">
        <v>1</v>
      </c>
      <c r="Y371" s="3" t="n">
        <v>1</v>
      </c>
      <c r="Z371" s="4" t="n">
        <f aca="false">IF(OR(X371="",Y371=""),"",IFERROR(IF($K371="%",Y371-X371,Y371/X371-1),""))</f>
        <v>0</v>
      </c>
      <c r="AA371" s="5" t="str">
        <f aca="false">IF(OR(X371="",Y371=""),"",IF($F371="Maior Melhor",IF(Y371&gt;=X371,"Sim","Não"),IF(Y371&lt;=X371,"Sim","Não")))</f>
        <v>Sim</v>
      </c>
      <c r="AB371" s="3" t="n">
        <v>1</v>
      </c>
      <c r="AC371" s="3" t="n">
        <v>1</v>
      </c>
      <c r="AD371" s="4" t="n">
        <f aca="false">IF(OR(AB371="",AC371=""),"",IFERROR(IF($K371="%",AC371-AB371,AC371/AB371-1),""))</f>
        <v>0</v>
      </c>
      <c r="AE371" s="5" t="str">
        <f aca="false">IF(OR(AB371="",AC371=""),"",IF($F371="Maior Melhor",IF(AC371&gt;=AB371,"Sim","Não"),IF(AC371&lt;=AB371,"Sim","Não")))</f>
        <v>Sim</v>
      </c>
      <c r="AF371" s="3" t="n">
        <v>1</v>
      </c>
      <c r="AG371" s="3" t="n">
        <v>1</v>
      </c>
      <c r="AH371" s="4" t="n">
        <f aca="false">IF(OR(AF371="",AG371=""),"",IFERROR(IF($K371="%",AG371-AF371,AG371/AF371-1),""))</f>
        <v>0</v>
      </c>
      <c r="AI371" s="5" t="str">
        <f aca="false">IF(OR(AF371="",AG371=""),"",IF($F371="Maior Melhor",IF(AG371&gt;=AF371,"Sim","Não"),IF(AG371&lt;=AF371,"Sim","Não")))</f>
        <v>Sim</v>
      </c>
      <c r="AJ371" s="3" t="n">
        <v>1</v>
      </c>
      <c r="AK371" s="3" t="n">
        <v>1</v>
      </c>
      <c r="AL371" s="4" t="n">
        <f aca="false">IF(OR(AJ371="",AK371=""),"",IFERROR(IF($K371="%",AK371-AJ371,AK371/AJ371-1),""))</f>
        <v>0</v>
      </c>
      <c r="AM371" s="5" t="str">
        <f aca="false">IF(OR(AJ371="",AK371=""),"",IF($F371="Maior Melhor",IF(AK371&gt;=AJ371,"Sim","Não"),IF(AK371&lt;=AJ371,"Sim","Não")))</f>
        <v>Sim</v>
      </c>
      <c r="AN371" s="3" t="n">
        <v>1</v>
      </c>
      <c r="AO371" s="3" t="n">
        <v>1</v>
      </c>
      <c r="AP371" s="4" t="n">
        <f aca="false">IF(OR(AN371="",AO371=""),"",IFERROR(IF($K371="%",AO371-AN371,AO371/AN371-1),""))</f>
        <v>0</v>
      </c>
      <c r="AQ371" s="5" t="str">
        <f aca="false">IF(OR(AN371="",AO371=""),"",IF($F371="Maior Melhor",IF(AO371&gt;=AN371,"Sim","Não"),IF(AO371&lt;=AN371,"Sim","Não")))</f>
        <v>Sim</v>
      </c>
      <c r="AR371" s="3" t="n">
        <v>1</v>
      </c>
      <c r="AS371" s="3" t="n">
        <v>1</v>
      </c>
      <c r="AT371" s="4" t="n">
        <f aca="false">IF(OR(AR371="",AS371=""),"",IFERROR(IF($K371="%",AS371-AR371,AS371/AR371-1),""))</f>
        <v>0</v>
      </c>
      <c r="AU371" s="5" t="str">
        <f aca="false">IF(OR(AR371="",AS371=""),"",IF($F371="Maior Melhor",IF(AS371&gt;=AR371,"Sim","Não"),IF(AS371&lt;=AR371,"Sim","Não")))</f>
        <v>Sim</v>
      </c>
      <c r="AV371" s="3" t="n">
        <v>1</v>
      </c>
      <c r="AW371" s="3" t="n">
        <v>1</v>
      </c>
      <c r="AX371" s="4" t="n">
        <f aca="false">IF(OR(AV371="",AW371=""),"",IFERROR(IF($K371="%",AW371-AV371,AW371/AV371-1),""))</f>
        <v>0</v>
      </c>
      <c r="AY371" s="5" t="str">
        <f aca="false">IF(OR(AV371="",AW371=""),"",IF($F371="Maior Melhor",IF(AW371&gt;=AV371,"Sim","Não"),IF(AW371&lt;=AV371,"Sim","Não")))</f>
        <v>Sim</v>
      </c>
      <c r="AZ371" s="3" t="n">
        <v>1</v>
      </c>
      <c r="BA371" s="3" t="n">
        <v>1</v>
      </c>
      <c r="BB371" s="4" t="n">
        <f aca="false">IF(OR(AZ371="",BA371=""),"",IFERROR(IF($K371="%",BA371-AZ371,BA371/AZ371-1),""))</f>
        <v>0</v>
      </c>
      <c r="BC371" s="5" t="str">
        <f aca="false">IF(OR(AZ371="",BA371=""),"",IF($F371="Maior Melhor",IF(BA371&gt;=AZ371,"Sim","Não"),IF(BA371&lt;=AZ371,"Sim","Não")))</f>
        <v>Sim</v>
      </c>
      <c r="BD371" s="3" t="n">
        <v>1</v>
      </c>
      <c r="BE371" s="3" t="n">
        <v>1</v>
      </c>
      <c r="BF371" s="4" t="n">
        <f aca="false">IF(OR(BD371="",BE371=""),"",IFERROR(IF($K371="%",BE371-BD371,BE371/BD371-1),""))</f>
        <v>0</v>
      </c>
      <c r="BG371" s="5" t="str">
        <f aca="false">IF(OR(BD371="",BE371=""),"",IF($F371="Maior Melhor",IF(BE371&gt;=BD371,"Sim","Não"),IF(BE371&lt;=BD371,"Sim","Não")))</f>
        <v>Sim</v>
      </c>
      <c r="BH371" s="3" t="n">
        <v>1</v>
      </c>
      <c r="BI371" s="3" t="n">
        <v>1</v>
      </c>
      <c r="BJ371" s="4" t="n">
        <f aca="false">IF(OR(BH371="",BI371=""),"",IFERROR(IF($K371="%",BI371-BH371,BI371/BH371-1),""))</f>
        <v>0</v>
      </c>
      <c r="BK371" s="5" t="str">
        <f aca="false">IF(OR(BH371="",BI371=""),"",IF($F371="Maior Melhor",IF(BI371&gt;=BH371,"Sim","Não"),IF(BI371&lt;=BH371,"Sim","Não")))</f>
        <v>Sim</v>
      </c>
      <c r="BL371" s="6"/>
      <c r="BM371" s="6"/>
      <c r="BN371" s="4" t="str">
        <f aca="false">IF(OR(BL371="",BM371=""),"",IFERROR(IF($K371="%",BM371-BL371,BM371/BL371-1),""))</f>
        <v/>
      </c>
      <c r="BO371" s="5" t="str">
        <f aca="false">IF(OR(BL371="",BM371=""),"",IF($F371="Maior Melhor",IF(BM371&gt;=BL371,"Sim","Não"),IF(BM371&lt;=BL371,"Sim","Não")))</f>
        <v/>
      </c>
      <c r="BP371" s="6"/>
      <c r="BQ371" s="6"/>
      <c r="BR371" s="4" t="str">
        <f aca="false">IF(OR(BP371="",BQ371=""),"",IFERROR(IF($K371="%",BQ371-BP371,BQ371/BP371-1),""))</f>
        <v/>
      </c>
      <c r="BS371" s="5" t="str">
        <f aca="false">IF(OR(BP371="",BQ371=""),"",IF($F371="Maior Melhor",IF(BQ371&gt;=BP371,"Sim","Não"),IF(BQ371&lt;=BP371,"Sim","Não")))</f>
        <v/>
      </c>
      <c r="BT371" s="6"/>
      <c r="BU371" s="6"/>
      <c r="BV371" s="4" t="str">
        <f aca="false">IF(OR(BT371="",BU371=""),"",IFERROR(IF($K371="%",BU371-BT371,BU371/BT371-1),""))</f>
        <v/>
      </c>
      <c r="BW371" s="5" t="str">
        <f aca="false">IF(OR(BT371="",BU371=""),"",IF($F371="Maior Melhor",IF(BU371&gt;=BT371,"Sim","Não"),IF(BU371&lt;=BT371,"Sim","Não")))</f>
        <v/>
      </c>
      <c r="BX371" s="6"/>
      <c r="BY371" s="6"/>
      <c r="BZ371" s="4" t="str">
        <f aca="false">IF(OR(BX371="",BY371=""),"",IFERROR(IF($K371="%",BY371-BX371,BY371/BX371-1),""))</f>
        <v/>
      </c>
      <c r="CA371" s="5" t="str">
        <f aca="false">IF(OR(BX371="",BY371=""),"",IF($F371="Maior Melhor",IF(BY371&gt;=BX371,"Sim","Não"),IF(BY371&lt;=BX371,"Sim","Não")))</f>
        <v/>
      </c>
      <c r="CB371" s="6"/>
      <c r="CC371" s="6"/>
      <c r="CD371" s="4" t="str">
        <f aca="false">IF(OR(CB371="",CC371=""),"",IFERROR(IF($K371="%",CC371-CB371,CC371/CB371-1),""))</f>
        <v/>
      </c>
      <c r="CE371" s="5" t="str">
        <f aca="false">IF(OR(CB371="",CC371=""),"",IF($F371="Maior Melhor",IF(CC371&gt;=CB371,"Sim","Não"),IF(CC371&lt;=CB371,"Sim","Não")))</f>
        <v/>
      </c>
      <c r="CF371" s="6"/>
      <c r="CG371" s="6"/>
      <c r="CH371" s="4" t="str">
        <f aca="false">IF(OR(CF371="",CG371=""),"",IFERROR(IF($K371="%",CG371-CF371,CG371/CF371-1),""))</f>
        <v/>
      </c>
      <c r="CI371" s="5" t="str">
        <f aca="false">IF(OR(CF371="",CG371=""),"",IF($F371="Maior Melhor",IF(CG371&gt;=CF371,"Sim","Não"),IF(CG371&lt;=CF371,"Sim","Não")))</f>
        <v/>
      </c>
      <c r="CJ371" s="6"/>
      <c r="CK371" s="6"/>
      <c r="CL371" s="4" t="str">
        <f aca="false">IF(OR(CJ371="",CK371=""),"",IFERROR(IF($K371="%",CK371-CJ371,CK371/CJ371-1),""))</f>
        <v/>
      </c>
      <c r="CM371" s="5" t="str">
        <f aca="false">IF(OR(CJ371="",CK371=""),"",IF($F371="Maior Melhor",IF(CK371&gt;=CJ371,"Sim","Não"),IF(CK371&lt;=CJ371,"Sim","Não")))</f>
        <v/>
      </c>
      <c r="CN371" s="6"/>
      <c r="CO371" s="6"/>
      <c r="CP371" s="4" t="str">
        <f aca="false">IF(OR(CN371="",CO371=""),"",IFERROR(IF($K371="%",CO371-CN371,CO371/CN371-1),""))</f>
        <v/>
      </c>
      <c r="CQ371" s="5" t="str">
        <f aca="false">IF(OR(CN371="",CO371=""),"",IF($F371="Maior Melhor",IF(CO371&gt;=CN371,"Sim","Não"),IF(CO371&lt;=CN371,"Sim","Não")))</f>
        <v/>
      </c>
      <c r="CR371" s="2" t="s">
        <v>105</v>
      </c>
    </row>
    <row r="372" customFormat="false" ht="15" hidden="false" customHeight="false" outlineLevel="0" collapsed="false">
      <c r="A372" s="2" t="s">
        <v>144</v>
      </c>
      <c r="B372" s="2" t="s">
        <v>97</v>
      </c>
      <c r="C372" s="2" t="s">
        <v>122</v>
      </c>
      <c r="D372" s="2" t="s">
        <v>204</v>
      </c>
      <c r="E372" s="2" t="str">
        <f aca="false">C372&amp;D372</f>
        <v>UTD ITABERABATaxa de Contato PP</v>
      </c>
      <c r="F372" s="2" t="s">
        <v>100</v>
      </c>
      <c r="G372" s="2" t="s">
        <v>205</v>
      </c>
      <c r="H372" s="2" t="s">
        <v>102</v>
      </c>
      <c r="I372" s="2" t="s">
        <v>103</v>
      </c>
      <c r="J372" s="2" t="n">
        <v>3</v>
      </c>
      <c r="K372" s="2" t="s">
        <v>104</v>
      </c>
      <c r="L372" s="3" t="n">
        <v>1</v>
      </c>
      <c r="M372" s="3" t="n">
        <v>1</v>
      </c>
      <c r="N372" s="4" t="n">
        <f aca="false">IF(OR(L372="",M372=""),"",IFERROR(IF($K372="%",M372-L372,M372/L372-1),""))</f>
        <v>0</v>
      </c>
      <c r="O372" s="5" t="str">
        <f aca="false">IF(OR(L372="",M372=""),"",IF($F372="Maior Melhor",IF(M372&gt;=L372,"Sim","Não"),IF(M372&lt;=L372,"Sim","Não")))</f>
        <v>Sim</v>
      </c>
      <c r="P372" s="3" t="n">
        <v>1</v>
      </c>
      <c r="Q372" s="3" t="n">
        <v>0.88</v>
      </c>
      <c r="R372" s="4" t="n">
        <f aca="false">IF(OR(P372="",Q372=""),"",IFERROR(IF($K372="%",Q372-P372,Q372/P372-1),""))</f>
        <v>-0.12</v>
      </c>
      <c r="S372" s="5" t="str">
        <f aca="false">IF(OR(P372="",Q372=""),"",IF($F372="Maior Melhor",IF(Q372&gt;=P372,"Sim","Não"),IF(Q372&lt;=P372,"Sim","Não")))</f>
        <v>Não</v>
      </c>
      <c r="T372" s="3" t="n">
        <v>1</v>
      </c>
      <c r="U372" s="3" t="n">
        <v>1</v>
      </c>
      <c r="V372" s="4" t="n">
        <f aca="false">IF(OR(T372="",U372=""),"",IFERROR(IF($K372="%",U372-T372,U372/T372-1),""))</f>
        <v>0</v>
      </c>
      <c r="W372" s="5" t="str">
        <f aca="false">IF(OR(T372="",U372=""),"",IF($F372="Maior Melhor",IF(U372&gt;=T372,"Sim","Não"),IF(U372&lt;=T372,"Sim","Não")))</f>
        <v>Sim</v>
      </c>
      <c r="X372" s="3" t="n">
        <v>1</v>
      </c>
      <c r="Y372" s="3" t="n">
        <v>1</v>
      </c>
      <c r="Z372" s="4" t="n">
        <f aca="false">IF(OR(X372="",Y372=""),"",IFERROR(IF($K372="%",Y372-X372,Y372/X372-1),""))</f>
        <v>0</v>
      </c>
      <c r="AA372" s="5" t="str">
        <f aca="false">IF(OR(X372="",Y372=""),"",IF($F372="Maior Melhor",IF(Y372&gt;=X372,"Sim","Não"),IF(Y372&lt;=X372,"Sim","Não")))</f>
        <v>Sim</v>
      </c>
      <c r="AB372" s="3" t="n">
        <v>1</v>
      </c>
      <c r="AC372" s="3" t="n">
        <v>1</v>
      </c>
      <c r="AD372" s="4" t="n">
        <f aca="false">IF(OR(AB372="",AC372=""),"",IFERROR(IF($K372="%",AC372-AB372,AC372/AB372-1),""))</f>
        <v>0</v>
      </c>
      <c r="AE372" s="5" t="str">
        <f aca="false">IF(OR(AB372="",AC372=""),"",IF($F372="Maior Melhor",IF(AC372&gt;=AB372,"Sim","Não"),IF(AC372&lt;=AB372,"Sim","Não")))</f>
        <v>Sim</v>
      </c>
      <c r="AF372" s="3" t="n">
        <v>1</v>
      </c>
      <c r="AG372" s="3" t="n">
        <v>1</v>
      </c>
      <c r="AH372" s="4" t="n">
        <f aca="false">IF(OR(AF372="",AG372=""),"",IFERROR(IF($K372="%",AG372-AF372,AG372/AF372-1),""))</f>
        <v>0</v>
      </c>
      <c r="AI372" s="5" t="str">
        <f aca="false">IF(OR(AF372="",AG372=""),"",IF($F372="Maior Melhor",IF(AG372&gt;=AF372,"Sim","Não"),IF(AG372&lt;=AF372,"Sim","Não")))</f>
        <v>Sim</v>
      </c>
      <c r="AJ372" s="3" t="n">
        <v>1</v>
      </c>
      <c r="AK372" s="3" t="n">
        <v>1</v>
      </c>
      <c r="AL372" s="4" t="n">
        <f aca="false">IF(OR(AJ372="",AK372=""),"",IFERROR(IF($K372="%",AK372-AJ372,AK372/AJ372-1),""))</f>
        <v>0</v>
      </c>
      <c r="AM372" s="5" t="str">
        <f aca="false">IF(OR(AJ372="",AK372=""),"",IF($F372="Maior Melhor",IF(AK372&gt;=AJ372,"Sim","Não"),IF(AK372&lt;=AJ372,"Sim","Não")))</f>
        <v>Sim</v>
      </c>
      <c r="AN372" s="3" t="n">
        <v>1</v>
      </c>
      <c r="AO372" s="3" t="n">
        <v>1</v>
      </c>
      <c r="AP372" s="4" t="n">
        <f aca="false">IF(OR(AN372="",AO372=""),"",IFERROR(IF($K372="%",AO372-AN372,AO372/AN372-1),""))</f>
        <v>0</v>
      </c>
      <c r="AQ372" s="5" t="str">
        <f aca="false">IF(OR(AN372="",AO372=""),"",IF($F372="Maior Melhor",IF(AO372&gt;=AN372,"Sim","Não"),IF(AO372&lt;=AN372,"Sim","Não")))</f>
        <v>Sim</v>
      </c>
      <c r="AR372" s="3" t="n">
        <v>1</v>
      </c>
      <c r="AS372" s="3" t="n">
        <v>1</v>
      </c>
      <c r="AT372" s="4" t="n">
        <f aca="false">IF(OR(AR372="",AS372=""),"",IFERROR(IF($K372="%",AS372-AR372,AS372/AR372-1),""))</f>
        <v>0</v>
      </c>
      <c r="AU372" s="5" t="str">
        <f aca="false">IF(OR(AR372="",AS372=""),"",IF($F372="Maior Melhor",IF(AS372&gt;=AR372,"Sim","Não"),IF(AS372&lt;=AR372,"Sim","Não")))</f>
        <v>Sim</v>
      </c>
      <c r="AV372" s="3" t="n">
        <v>1</v>
      </c>
      <c r="AW372" s="3" t="n">
        <v>1</v>
      </c>
      <c r="AX372" s="4" t="n">
        <f aca="false">IF(OR(AV372="",AW372=""),"",IFERROR(IF($K372="%",AW372-AV372,AW372/AV372-1),""))</f>
        <v>0</v>
      </c>
      <c r="AY372" s="5" t="str">
        <f aca="false">IF(OR(AV372="",AW372=""),"",IF($F372="Maior Melhor",IF(AW372&gt;=AV372,"Sim","Não"),IF(AW372&lt;=AV372,"Sim","Não")))</f>
        <v>Sim</v>
      </c>
      <c r="AZ372" s="3" t="n">
        <v>1</v>
      </c>
      <c r="BA372" s="3" t="n">
        <v>1</v>
      </c>
      <c r="BB372" s="4" t="n">
        <f aca="false">IF(OR(AZ372="",BA372=""),"",IFERROR(IF($K372="%",BA372-AZ372,BA372/AZ372-1),""))</f>
        <v>0</v>
      </c>
      <c r="BC372" s="5" t="str">
        <f aca="false">IF(OR(AZ372="",BA372=""),"",IF($F372="Maior Melhor",IF(BA372&gt;=AZ372,"Sim","Não"),IF(BA372&lt;=AZ372,"Sim","Não")))</f>
        <v>Sim</v>
      </c>
      <c r="BD372" s="3" t="n">
        <v>1</v>
      </c>
      <c r="BE372" s="3" t="n">
        <v>1</v>
      </c>
      <c r="BF372" s="4" t="n">
        <f aca="false">IF(OR(BD372="",BE372=""),"",IFERROR(IF($K372="%",BE372-BD372,BE372/BD372-1),""))</f>
        <v>0</v>
      </c>
      <c r="BG372" s="5" t="str">
        <f aca="false">IF(OR(BD372="",BE372=""),"",IF($F372="Maior Melhor",IF(BE372&gt;=BD372,"Sim","Não"),IF(BE372&lt;=BD372,"Sim","Não")))</f>
        <v>Sim</v>
      </c>
      <c r="BH372" s="3" t="n">
        <v>1</v>
      </c>
      <c r="BI372" s="3" t="n">
        <v>1</v>
      </c>
      <c r="BJ372" s="4" t="n">
        <f aca="false">IF(OR(BH372="",BI372=""),"",IFERROR(IF($K372="%",BI372-BH372,BI372/BH372-1),""))</f>
        <v>0</v>
      </c>
      <c r="BK372" s="5" t="str">
        <f aca="false">IF(OR(BH372="",BI372=""),"",IF($F372="Maior Melhor",IF(BI372&gt;=BH372,"Sim","Não"),IF(BI372&lt;=BH372,"Sim","Não")))</f>
        <v>Sim</v>
      </c>
      <c r="BL372" s="6"/>
      <c r="BM372" s="6"/>
      <c r="BN372" s="4" t="str">
        <f aca="false">IF(OR(BL372="",BM372=""),"",IFERROR(IF($K372="%",BM372-BL372,BM372/BL372-1),""))</f>
        <v/>
      </c>
      <c r="BO372" s="5" t="str">
        <f aca="false">IF(OR(BL372="",BM372=""),"",IF($F372="Maior Melhor",IF(BM372&gt;=BL372,"Sim","Não"),IF(BM372&lt;=BL372,"Sim","Não")))</f>
        <v/>
      </c>
      <c r="BP372" s="6"/>
      <c r="BQ372" s="6"/>
      <c r="BR372" s="4" t="str">
        <f aca="false">IF(OR(BP372="",BQ372=""),"",IFERROR(IF($K372="%",BQ372-BP372,BQ372/BP372-1),""))</f>
        <v/>
      </c>
      <c r="BS372" s="5" t="str">
        <f aca="false">IF(OR(BP372="",BQ372=""),"",IF($F372="Maior Melhor",IF(BQ372&gt;=BP372,"Sim","Não"),IF(BQ372&lt;=BP372,"Sim","Não")))</f>
        <v/>
      </c>
      <c r="BT372" s="6"/>
      <c r="BU372" s="6"/>
      <c r="BV372" s="4" t="str">
        <f aca="false">IF(OR(BT372="",BU372=""),"",IFERROR(IF($K372="%",BU372-BT372,BU372/BT372-1),""))</f>
        <v/>
      </c>
      <c r="BW372" s="5" t="str">
        <f aca="false">IF(OR(BT372="",BU372=""),"",IF($F372="Maior Melhor",IF(BU372&gt;=BT372,"Sim","Não"),IF(BU372&lt;=BT372,"Sim","Não")))</f>
        <v/>
      </c>
      <c r="BX372" s="6"/>
      <c r="BY372" s="6"/>
      <c r="BZ372" s="4" t="str">
        <f aca="false">IF(OR(BX372="",BY372=""),"",IFERROR(IF($K372="%",BY372-BX372,BY372/BX372-1),""))</f>
        <v/>
      </c>
      <c r="CA372" s="5" t="str">
        <f aca="false">IF(OR(BX372="",BY372=""),"",IF($F372="Maior Melhor",IF(BY372&gt;=BX372,"Sim","Não"),IF(BY372&lt;=BX372,"Sim","Não")))</f>
        <v/>
      </c>
      <c r="CB372" s="6"/>
      <c r="CC372" s="6"/>
      <c r="CD372" s="4" t="str">
        <f aca="false">IF(OR(CB372="",CC372=""),"",IFERROR(IF($K372="%",CC372-CB372,CC372/CB372-1),""))</f>
        <v/>
      </c>
      <c r="CE372" s="5" t="str">
        <f aca="false">IF(OR(CB372="",CC372=""),"",IF($F372="Maior Melhor",IF(CC372&gt;=CB372,"Sim","Não"),IF(CC372&lt;=CB372,"Sim","Não")))</f>
        <v/>
      </c>
      <c r="CF372" s="6"/>
      <c r="CG372" s="6"/>
      <c r="CH372" s="4" t="str">
        <f aca="false">IF(OR(CF372="",CG372=""),"",IFERROR(IF($K372="%",CG372-CF372,CG372/CF372-1),""))</f>
        <v/>
      </c>
      <c r="CI372" s="5" t="str">
        <f aca="false">IF(OR(CF372="",CG372=""),"",IF($F372="Maior Melhor",IF(CG372&gt;=CF372,"Sim","Não"),IF(CG372&lt;=CF372,"Sim","Não")))</f>
        <v/>
      </c>
      <c r="CJ372" s="6"/>
      <c r="CK372" s="6"/>
      <c r="CL372" s="4" t="str">
        <f aca="false">IF(OR(CJ372="",CK372=""),"",IFERROR(IF($K372="%",CK372-CJ372,CK372/CJ372-1),""))</f>
        <v/>
      </c>
      <c r="CM372" s="5" t="str">
        <f aca="false">IF(OR(CJ372="",CK372=""),"",IF($F372="Maior Melhor",IF(CK372&gt;=CJ372,"Sim","Não"),IF(CK372&lt;=CJ372,"Sim","Não")))</f>
        <v/>
      </c>
      <c r="CN372" s="6"/>
      <c r="CO372" s="6"/>
      <c r="CP372" s="4" t="str">
        <f aca="false">IF(OR(CN372="",CO372=""),"",IFERROR(IF($K372="%",CO372-CN372,CO372/CN372-1),""))</f>
        <v/>
      </c>
      <c r="CQ372" s="5" t="str">
        <f aca="false">IF(OR(CN372="",CO372=""),"",IF($F372="Maior Melhor",IF(CO372&gt;=CN372,"Sim","Não"),IF(CO372&lt;=CN372,"Sim","Não")))</f>
        <v/>
      </c>
      <c r="CR372" s="2" t="s">
        <v>159</v>
      </c>
    </row>
    <row r="373" customFormat="false" ht="15" hidden="false" customHeight="false" outlineLevel="0" collapsed="false">
      <c r="A373" s="2" t="s">
        <v>144</v>
      </c>
      <c r="B373" s="2" t="s">
        <v>108</v>
      </c>
      <c r="C373" s="2" t="s">
        <v>124</v>
      </c>
      <c r="D373" s="2" t="s">
        <v>204</v>
      </c>
      <c r="E373" s="2" t="str">
        <f aca="false">C373&amp;D373</f>
        <v>UTD ITAPETINGATaxa de Contato PP</v>
      </c>
      <c r="F373" s="2" t="s">
        <v>100</v>
      </c>
      <c r="G373" s="2" t="s">
        <v>205</v>
      </c>
      <c r="H373" s="2" t="s">
        <v>102</v>
      </c>
      <c r="I373" s="2" t="s">
        <v>103</v>
      </c>
      <c r="J373" s="2" t="n">
        <v>3</v>
      </c>
      <c r="K373" s="2" t="s">
        <v>104</v>
      </c>
      <c r="L373" s="3" t="n">
        <v>1</v>
      </c>
      <c r="M373" s="3" t="n">
        <v>0</v>
      </c>
      <c r="N373" s="4" t="n">
        <f aca="false">IF(OR(L373="",M373=""),"",IFERROR(IF($K373="%",M373-L373,M373/L373-1),""))</f>
        <v>-1</v>
      </c>
      <c r="O373" s="5" t="str">
        <f aca="false">IF(OR(L373="",M373=""),"",IF($F373="Maior Melhor",IF(M373&gt;=L373,"Sim","Não"),IF(M373&lt;=L373,"Sim","Não")))</f>
        <v>Não</v>
      </c>
      <c r="P373" s="3" t="n">
        <v>1</v>
      </c>
      <c r="Q373" s="3" t="n">
        <v>1</v>
      </c>
      <c r="R373" s="4" t="n">
        <f aca="false">IF(OR(P373="",Q373=""),"",IFERROR(IF($K373="%",Q373-P373,Q373/P373-1),""))</f>
        <v>0</v>
      </c>
      <c r="S373" s="5" t="str">
        <f aca="false">IF(OR(P373="",Q373=""),"",IF($F373="Maior Melhor",IF(Q373&gt;=P373,"Sim","Não"),IF(Q373&lt;=P373,"Sim","Não")))</f>
        <v>Sim</v>
      </c>
      <c r="T373" s="3" t="n">
        <v>1</v>
      </c>
      <c r="U373" s="3" t="n">
        <v>1</v>
      </c>
      <c r="V373" s="4" t="n">
        <f aca="false">IF(OR(T373="",U373=""),"",IFERROR(IF($K373="%",U373-T373,U373/T373-1),""))</f>
        <v>0</v>
      </c>
      <c r="W373" s="5" t="str">
        <f aca="false">IF(OR(T373="",U373=""),"",IF($F373="Maior Melhor",IF(U373&gt;=T373,"Sim","Não"),IF(U373&lt;=T373,"Sim","Não")))</f>
        <v>Sim</v>
      </c>
      <c r="X373" s="3" t="n">
        <v>1</v>
      </c>
      <c r="Y373" s="3" t="n">
        <v>1</v>
      </c>
      <c r="Z373" s="4" t="n">
        <f aca="false">IF(OR(X373="",Y373=""),"",IFERROR(IF($K373="%",Y373-X373,Y373/X373-1),""))</f>
        <v>0</v>
      </c>
      <c r="AA373" s="5" t="str">
        <f aca="false">IF(OR(X373="",Y373=""),"",IF($F373="Maior Melhor",IF(Y373&gt;=X373,"Sim","Não"),IF(Y373&lt;=X373,"Sim","Não")))</f>
        <v>Sim</v>
      </c>
      <c r="AB373" s="3" t="n">
        <v>1</v>
      </c>
      <c r="AC373" s="3" t="n">
        <v>1</v>
      </c>
      <c r="AD373" s="4" t="n">
        <f aca="false">IF(OR(AB373="",AC373=""),"",IFERROR(IF($K373="%",AC373-AB373,AC373/AB373-1),""))</f>
        <v>0</v>
      </c>
      <c r="AE373" s="5" t="str">
        <f aca="false">IF(OR(AB373="",AC373=""),"",IF($F373="Maior Melhor",IF(AC373&gt;=AB373,"Sim","Não"),IF(AC373&lt;=AB373,"Sim","Não")))</f>
        <v>Sim</v>
      </c>
      <c r="AF373" s="3" t="n">
        <v>1</v>
      </c>
      <c r="AG373" s="3" t="n">
        <v>1</v>
      </c>
      <c r="AH373" s="4" t="n">
        <f aca="false">IF(OR(AF373="",AG373=""),"",IFERROR(IF($K373="%",AG373-AF373,AG373/AF373-1),""))</f>
        <v>0</v>
      </c>
      <c r="AI373" s="5" t="str">
        <f aca="false">IF(OR(AF373="",AG373=""),"",IF($F373="Maior Melhor",IF(AG373&gt;=AF373,"Sim","Não"),IF(AG373&lt;=AF373,"Sim","Não")))</f>
        <v>Sim</v>
      </c>
      <c r="AJ373" s="3" t="n">
        <v>1</v>
      </c>
      <c r="AK373" s="3" t="n">
        <v>1</v>
      </c>
      <c r="AL373" s="4" t="n">
        <f aca="false">IF(OR(AJ373="",AK373=""),"",IFERROR(IF($K373="%",AK373-AJ373,AK373/AJ373-1),""))</f>
        <v>0</v>
      </c>
      <c r="AM373" s="5" t="str">
        <f aca="false">IF(OR(AJ373="",AK373=""),"",IF($F373="Maior Melhor",IF(AK373&gt;=AJ373,"Sim","Não"),IF(AK373&lt;=AJ373,"Sim","Não")))</f>
        <v>Sim</v>
      </c>
      <c r="AN373" s="3" t="n">
        <v>1</v>
      </c>
      <c r="AO373" s="3" t="n">
        <v>1</v>
      </c>
      <c r="AP373" s="4" t="n">
        <f aca="false">IF(OR(AN373="",AO373=""),"",IFERROR(IF($K373="%",AO373-AN373,AO373/AN373-1),""))</f>
        <v>0</v>
      </c>
      <c r="AQ373" s="5" t="str">
        <f aca="false">IF(OR(AN373="",AO373=""),"",IF($F373="Maior Melhor",IF(AO373&gt;=AN373,"Sim","Não"),IF(AO373&lt;=AN373,"Sim","Não")))</f>
        <v>Sim</v>
      </c>
      <c r="AR373" s="3" t="n">
        <v>1</v>
      </c>
      <c r="AS373" s="3" t="n">
        <v>1</v>
      </c>
      <c r="AT373" s="4" t="n">
        <f aca="false">IF(OR(AR373="",AS373=""),"",IFERROR(IF($K373="%",AS373-AR373,AS373/AR373-1),""))</f>
        <v>0</v>
      </c>
      <c r="AU373" s="5" t="str">
        <f aca="false">IF(OR(AR373="",AS373=""),"",IF($F373="Maior Melhor",IF(AS373&gt;=AR373,"Sim","Não"),IF(AS373&lt;=AR373,"Sim","Não")))</f>
        <v>Sim</v>
      </c>
      <c r="AV373" s="3" t="n">
        <v>1</v>
      </c>
      <c r="AW373" s="3" t="n">
        <v>1</v>
      </c>
      <c r="AX373" s="4" t="n">
        <f aca="false">IF(OR(AV373="",AW373=""),"",IFERROR(IF($K373="%",AW373-AV373,AW373/AV373-1),""))</f>
        <v>0</v>
      </c>
      <c r="AY373" s="5" t="str">
        <f aca="false">IF(OR(AV373="",AW373=""),"",IF($F373="Maior Melhor",IF(AW373&gt;=AV373,"Sim","Não"),IF(AW373&lt;=AV373,"Sim","Não")))</f>
        <v>Sim</v>
      </c>
      <c r="AZ373" s="3" t="n">
        <v>1</v>
      </c>
      <c r="BA373" s="3" t="n">
        <v>1</v>
      </c>
      <c r="BB373" s="4" t="n">
        <f aca="false">IF(OR(AZ373="",BA373=""),"",IFERROR(IF($K373="%",BA373-AZ373,BA373/AZ373-1),""))</f>
        <v>0</v>
      </c>
      <c r="BC373" s="5" t="str">
        <f aca="false">IF(OR(AZ373="",BA373=""),"",IF($F373="Maior Melhor",IF(BA373&gt;=AZ373,"Sim","Não"),IF(BA373&lt;=AZ373,"Sim","Não")))</f>
        <v>Sim</v>
      </c>
      <c r="BD373" s="3" t="n">
        <v>1</v>
      </c>
      <c r="BE373" s="3" t="n">
        <v>1</v>
      </c>
      <c r="BF373" s="4" t="n">
        <f aca="false">IF(OR(BD373="",BE373=""),"",IFERROR(IF($K373="%",BE373-BD373,BE373/BD373-1),""))</f>
        <v>0</v>
      </c>
      <c r="BG373" s="5" t="str">
        <f aca="false">IF(OR(BD373="",BE373=""),"",IF($F373="Maior Melhor",IF(BE373&gt;=BD373,"Sim","Não"),IF(BE373&lt;=BD373,"Sim","Não")))</f>
        <v>Sim</v>
      </c>
      <c r="BH373" s="3" t="n">
        <v>1</v>
      </c>
      <c r="BI373" s="3" t="n">
        <v>1</v>
      </c>
      <c r="BJ373" s="4" t="n">
        <f aca="false">IF(OR(BH373="",BI373=""),"",IFERROR(IF($K373="%",BI373-BH373,BI373/BH373-1),""))</f>
        <v>0</v>
      </c>
      <c r="BK373" s="5" t="str">
        <f aca="false">IF(OR(BH373="",BI373=""),"",IF($F373="Maior Melhor",IF(BI373&gt;=BH373,"Sim","Não"),IF(BI373&lt;=BH373,"Sim","Não")))</f>
        <v>Sim</v>
      </c>
      <c r="BL373" s="6"/>
      <c r="BM373" s="6"/>
      <c r="BN373" s="4" t="str">
        <f aca="false">IF(OR(BL373="",BM373=""),"",IFERROR(IF($K373="%",BM373-BL373,BM373/BL373-1),""))</f>
        <v/>
      </c>
      <c r="BO373" s="5" t="str">
        <f aca="false">IF(OR(BL373="",BM373=""),"",IF($F373="Maior Melhor",IF(BM373&gt;=BL373,"Sim","Não"),IF(BM373&lt;=BL373,"Sim","Não")))</f>
        <v/>
      </c>
      <c r="BP373" s="6"/>
      <c r="BQ373" s="6"/>
      <c r="BR373" s="4" t="str">
        <f aca="false">IF(OR(BP373="",BQ373=""),"",IFERROR(IF($K373="%",BQ373-BP373,BQ373/BP373-1),""))</f>
        <v/>
      </c>
      <c r="BS373" s="5" t="str">
        <f aca="false">IF(OR(BP373="",BQ373=""),"",IF($F373="Maior Melhor",IF(BQ373&gt;=BP373,"Sim","Não"),IF(BQ373&lt;=BP373,"Sim","Não")))</f>
        <v/>
      </c>
      <c r="BT373" s="6"/>
      <c r="BU373" s="6"/>
      <c r="BV373" s="4" t="str">
        <f aca="false">IF(OR(BT373="",BU373=""),"",IFERROR(IF($K373="%",BU373-BT373,BU373/BT373-1),""))</f>
        <v/>
      </c>
      <c r="BW373" s="5" t="str">
        <f aca="false">IF(OR(BT373="",BU373=""),"",IF($F373="Maior Melhor",IF(BU373&gt;=BT373,"Sim","Não"),IF(BU373&lt;=BT373,"Sim","Não")))</f>
        <v/>
      </c>
      <c r="BX373" s="6"/>
      <c r="BY373" s="6"/>
      <c r="BZ373" s="4" t="str">
        <f aca="false">IF(OR(BX373="",BY373=""),"",IFERROR(IF($K373="%",BY373-BX373,BY373/BX373-1),""))</f>
        <v/>
      </c>
      <c r="CA373" s="5" t="str">
        <f aca="false">IF(OR(BX373="",BY373=""),"",IF($F373="Maior Melhor",IF(BY373&gt;=BX373,"Sim","Não"),IF(BY373&lt;=BX373,"Sim","Não")))</f>
        <v/>
      </c>
      <c r="CB373" s="6"/>
      <c r="CC373" s="6"/>
      <c r="CD373" s="4" t="str">
        <f aca="false">IF(OR(CB373="",CC373=""),"",IFERROR(IF($K373="%",CC373-CB373,CC373/CB373-1),""))</f>
        <v/>
      </c>
      <c r="CE373" s="5" t="str">
        <f aca="false">IF(OR(CB373="",CC373=""),"",IF($F373="Maior Melhor",IF(CC373&gt;=CB373,"Sim","Não"),IF(CC373&lt;=CB373,"Sim","Não")))</f>
        <v/>
      </c>
      <c r="CF373" s="6"/>
      <c r="CG373" s="6"/>
      <c r="CH373" s="4" t="str">
        <f aca="false">IF(OR(CF373="",CG373=""),"",IFERROR(IF($K373="%",CG373-CF373,CG373/CF373-1),""))</f>
        <v/>
      </c>
      <c r="CI373" s="5" t="str">
        <f aca="false">IF(OR(CF373="",CG373=""),"",IF($F373="Maior Melhor",IF(CG373&gt;=CF373,"Sim","Não"),IF(CG373&lt;=CF373,"Sim","Não")))</f>
        <v/>
      </c>
      <c r="CJ373" s="6"/>
      <c r="CK373" s="6"/>
      <c r="CL373" s="4" t="str">
        <f aca="false">IF(OR(CJ373="",CK373=""),"",IFERROR(IF($K373="%",CK373-CJ373,CK373/CJ373-1),""))</f>
        <v/>
      </c>
      <c r="CM373" s="5" t="str">
        <f aca="false">IF(OR(CJ373="",CK373=""),"",IF($F373="Maior Melhor",IF(CK373&gt;=CJ373,"Sim","Não"),IF(CK373&lt;=CJ373,"Sim","Não")))</f>
        <v/>
      </c>
      <c r="CN373" s="6"/>
      <c r="CO373" s="6"/>
      <c r="CP373" s="4" t="str">
        <f aca="false">IF(OR(CN373="",CO373=""),"",IFERROR(IF($K373="%",CO373-CN373,CO373/CN373-1),""))</f>
        <v/>
      </c>
      <c r="CQ373" s="5" t="str">
        <f aca="false">IF(OR(CN373="",CO373=""),"",IF($F373="Maior Melhor",IF(CO373&gt;=CN373,"Sim","Não"),IF(CO373&lt;=CN373,"Sim","Não")))</f>
        <v/>
      </c>
      <c r="CR373" s="2" t="s">
        <v>105</v>
      </c>
    </row>
    <row r="374" customFormat="false" ht="15" hidden="false" customHeight="false" outlineLevel="0" collapsed="false">
      <c r="A374" s="2" t="s">
        <v>144</v>
      </c>
      <c r="B374" s="2" t="s">
        <v>97</v>
      </c>
      <c r="C374" s="2" t="s">
        <v>125</v>
      </c>
      <c r="D374" s="2" t="s">
        <v>204</v>
      </c>
      <c r="E374" s="2" t="str">
        <f aca="false">C374&amp;D374</f>
        <v>UTD JEQUIÉTaxa de Contato PP</v>
      </c>
      <c r="F374" s="2" t="s">
        <v>100</v>
      </c>
      <c r="G374" s="2" t="s">
        <v>205</v>
      </c>
      <c r="H374" s="2" t="s">
        <v>102</v>
      </c>
      <c r="I374" s="2" t="s">
        <v>103</v>
      </c>
      <c r="J374" s="2" t="n">
        <v>3</v>
      </c>
      <c r="K374" s="2" t="s">
        <v>104</v>
      </c>
      <c r="L374" s="3" t="n">
        <v>1</v>
      </c>
      <c r="M374" s="3" t="n">
        <v>1</v>
      </c>
      <c r="N374" s="4" t="n">
        <f aca="false">IF(OR(L374="",M374=""),"",IFERROR(IF($K374="%",M374-L374,M374/L374-1),""))</f>
        <v>0</v>
      </c>
      <c r="O374" s="5" t="str">
        <f aca="false">IF(OR(L374="",M374=""),"",IF($F374="Maior Melhor",IF(M374&gt;=L374,"Sim","Não"),IF(M374&lt;=L374,"Sim","Não")))</f>
        <v>Sim</v>
      </c>
      <c r="P374" s="3" t="n">
        <v>1</v>
      </c>
      <c r="Q374" s="3" t="n">
        <v>1</v>
      </c>
      <c r="R374" s="4" t="n">
        <f aca="false">IF(OR(P374="",Q374=""),"",IFERROR(IF($K374="%",Q374-P374,Q374/P374-1),""))</f>
        <v>0</v>
      </c>
      <c r="S374" s="5" t="str">
        <f aca="false">IF(OR(P374="",Q374=""),"",IF($F374="Maior Melhor",IF(Q374&gt;=P374,"Sim","Não"),IF(Q374&lt;=P374,"Sim","Não")))</f>
        <v>Sim</v>
      </c>
      <c r="T374" s="3" t="n">
        <v>1</v>
      </c>
      <c r="U374" s="3" t="n">
        <v>1</v>
      </c>
      <c r="V374" s="4" t="n">
        <f aca="false">IF(OR(T374="",U374=""),"",IFERROR(IF($K374="%",U374-T374,U374/T374-1),""))</f>
        <v>0</v>
      </c>
      <c r="W374" s="5" t="str">
        <f aca="false">IF(OR(T374="",U374=""),"",IF($F374="Maior Melhor",IF(U374&gt;=T374,"Sim","Não"),IF(U374&lt;=T374,"Sim","Não")))</f>
        <v>Sim</v>
      </c>
      <c r="X374" s="3" t="n">
        <v>1</v>
      </c>
      <c r="Y374" s="3" t="n">
        <v>1</v>
      </c>
      <c r="Z374" s="4" t="n">
        <f aca="false">IF(OR(X374="",Y374=""),"",IFERROR(IF($K374="%",Y374-X374,Y374/X374-1),""))</f>
        <v>0</v>
      </c>
      <c r="AA374" s="5" t="str">
        <f aca="false">IF(OR(X374="",Y374=""),"",IF($F374="Maior Melhor",IF(Y374&gt;=X374,"Sim","Não"),IF(Y374&lt;=X374,"Sim","Não")))</f>
        <v>Sim</v>
      </c>
      <c r="AB374" s="3" t="n">
        <v>1</v>
      </c>
      <c r="AC374" s="3" t="n">
        <v>1</v>
      </c>
      <c r="AD374" s="4" t="n">
        <f aca="false">IF(OR(AB374="",AC374=""),"",IFERROR(IF($K374="%",AC374-AB374,AC374/AB374-1),""))</f>
        <v>0</v>
      </c>
      <c r="AE374" s="5" t="str">
        <f aca="false">IF(OR(AB374="",AC374=""),"",IF($F374="Maior Melhor",IF(AC374&gt;=AB374,"Sim","Não"),IF(AC374&lt;=AB374,"Sim","Não")))</f>
        <v>Sim</v>
      </c>
      <c r="AF374" s="3" t="n">
        <v>1</v>
      </c>
      <c r="AG374" s="3" t="n">
        <v>1</v>
      </c>
      <c r="AH374" s="4" t="n">
        <f aca="false">IF(OR(AF374="",AG374=""),"",IFERROR(IF($K374="%",AG374-AF374,AG374/AF374-1),""))</f>
        <v>0</v>
      </c>
      <c r="AI374" s="5" t="str">
        <f aca="false">IF(OR(AF374="",AG374=""),"",IF($F374="Maior Melhor",IF(AG374&gt;=AF374,"Sim","Não"),IF(AG374&lt;=AF374,"Sim","Não")))</f>
        <v>Sim</v>
      </c>
      <c r="AJ374" s="3" t="n">
        <v>1</v>
      </c>
      <c r="AK374" s="3" t="n">
        <v>1</v>
      </c>
      <c r="AL374" s="4" t="n">
        <f aca="false">IF(OR(AJ374="",AK374=""),"",IFERROR(IF($K374="%",AK374-AJ374,AK374/AJ374-1),""))</f>
        <v>0</v>
      </c>
      <c r="AM374" s="5" t="str">
        <f aca="false">IF(OR(AJ374="",AK374=""),"",IF($F374="Maior Melhor",IF(AK374&gt;=AJ374,"Sim","Não"),IF(AK374&lt;=AJ374,"Sim","Não")))</f>
        <v>Sim</v>
      </c>
      <c r="AN374" s="3" t="n">
        <v>1</v>
      </c>
      <c r="AO374" s="3" t="n">
        <v>1</v>
      </c>
      <c r="AP374" s="4" t="n">
        <f aca="false">IF(OR(AN374="",AO374=""),"",IFERROR(IF($K374="%",AO374-AN374,AO374/AN374-1),""))</f>
        <v>0</v>
      </c>
      <c r="AQ374" s="5" t="str">
        <f aca="false">IF(OR(AN374="",AO374=""),"",IF($F374="Maior Melhor",IF(AO374&gt;=AN374,"Sim","Não"),IF(AO374&lt;=AN374,"Sim","Não")))</f>
        <v>Sim</v>
      </c>
      <c r="AR374" s="3" t="n">
        <v>1</v>
      </c>
      <c r="AS374" s="3" t="n">
        <v>1</v>
      </c>
      <c r="AT374" s="4" t="n">
        <f aca="false">IF(OR(AR374="",AS374=""),"",IFERROR(IF($K374="%",AS374-AR374,AS374/AR374-1),""))</f>
        <v>0</v>
      </c>
      <c r="AU374" s="5" t="str">
        <f aca="false">IF(OR(AR374="",AS374=""),"",IF($F374="Maior Melhor",IF(AS374&gt;=AR374,"Sim","Não"),IF(AS374&lt;=AR374,"Sim","Não")))</f>
        <v>Sim</v>
      </c>
      <c r="AV374" s="3" t="n">
        <v>1</v>
      </c>
      <c r="AW374" s="3" t="n">
        <v>0.89</v>
      </c>
      <c r="AX374" s="4" t="n">
        <f aca="false">IF(OR(AV374="",AW374=""),"",IFERROR(IF($K374="%",AW374-AV374,AW374/AV374-1),""))</f>
        <v>-0.11</v>
      </c>
      <c r="AY374" s="5" t="str">
        <f aca="false">IF(OR(AV374="",AW374=""),"",IF($F374="Maior Melhor",IF(AW374&gt;=AV374,"Sim","Não"),IF(AW374&lt;=AV374,"Sim","Não")))</f>
        <v>Não</v>
      </c>
      <c r="AZ374" s="3" t="n">
        <v>1</v>
      </c>
      <c r="BA374" s="3" t="n">
        <v>0.89</v>
      </c>
      <c r="BB374" s="4" t="n">
        <f aca="false">IF(OR(AZ374="",BA374=""),"",IFERROR(IF($K374="%",BA374-AZ374,BA374/AZ374-1),""))</f>
        <v>-0.11</v>
      </c>
      <c r="BC374" s="5" t="str">
        <f aca="false">IF(OR(AZ374="",BA374=""),"",IF($F374="Maior Melhor",IF(BA374&gt;=AZ374,"Sim","Não"),IF(BA374&lt;=AZ374,"Sim","Não")))</f>
        <v>Não</v>
      </c>
      <c r="BD374" s="3" t="n">
        <v>1</v>
      </c>
      <c r="BE374" s="3" t="n">
        <v>1</v>
      </c>
      <c r="BF374" s="4" t="n">
        <f aca="false">IF(OR(BD374="",BE374=""),"",IFERROR(IF($K374="%",BE374-BD374,BE374/BD374-1),""))</f>
        <v>0</v>
      </c>
      <c r="BG374" s="5" t="str">
        <f aca="false">IF(OR(BD374="",BE374=""),"",IF($F374="Maior Melhor",IF(BE374&gt;=BD374,"Sim","Não"),IF(BE374&lt;=BD374,"Sim","Não")))</f>
        <v>Sim</v>
      </c>
      <c r="BH374" s="3" t="n">
        <v>1</v>
      </c>
      <c r="BI374" s="3" t="n">
        <v>1</v>
      </c>
      <c r="BJ374" s="4" t="n">
        <f aca="false">IF(OR(BH374="",BI374=""),"",IFERROR(IF($K374="%",BI374-BH374,BI374/BH374-1),""))</f>
        <v>0</v>
      </c>
      <c r="BK374" s="5" t="str">
        <f aca="false">IF(OR(BH374="",BI374=""),"",IF($F374="Maior Melhor",IF(BI374&gt;=BH374,"Sim","Não"),IF(BI374&lt;=BH374,"Sim","Não")))</f>
        <v>Sim</v>
      </c>
      <c r="BL374" s="6"/>
      <c r="BM374" s="6"/>
      <c r="BN374" s="4" t="str">
        <f aca="false">IF(OR(BL374="",BM374=""),"",IFERROR(IF($K374="%",BM374-BL374,BM374/BL374-1),""))</f>
        <v/>
      </c>
      <c r="BO374" s="5" t="str">
        <f aca="false">IF(OR(BL374="",BM374=""),"",IF($F374="Maior Melhor",IF(BM374&gt;=BL374,"Sim","Não"),IF(BM374&lt;=BL374,"Sim","Não")))</f>
        <v/>
      </c>
      <c r="BP374" s="6"/>
      <c r="BQ374" s="6"/>
      <c r="BR374" s="4" t="str">
        <f aca="false">IF(OR(BP374="",BQ374=""),"",IFERROR(IF($K374="%",BQ374-BP374,BQ374/BP374-1),""))</f>
        <v/>
      </c>
      <c r="BS374" s="5" t="str">
        <f aca="false">IF(OR(BP374="",BQ374=""),"",IF($F374="Maior Melhor",IF(BQ374&gt;=BP374,"Sim","Não"),IF(BQ374&lt;=BP374,"Sim","Não")))</f>
        <v/>
      </c>
      <c r="BT374" s="6"/>
      <c r="BU374" s="6"/>
      <c r="BV374" s="4" t="str">
        <f aca="false">IF(OR(BT374="",BU374=""),"",IFERROR(IF($K374="%",BU374-BT374,BU374/BT374-1),""))</f>
        <v/>
      </c>
      <c r="BW374" s="5" t="str">
        <f aca="false">IF(OR(BT374="",BU374=""),"",IF($F374="Maior Melhor",IF(BU374&gt;=BT374,"Sim","Não"),IF(BU374&lt;=BT374,"Sim","Não")))</f>
        <v/>
      </c>
      <c r="BX374" s="6"/>
      <c r="BY374" s="6"/>
      <c r="BZ374" s="4" t="str">
        <f aca="false">IF(OR(BX374="",BY374=""),"",IFERROR(IF($K374="%",BY374-BX374,BY374/BX374-1),""))</f>
        <v/>
      </c>
      <c r="CA374" s="5" t="str">
        <f aca="false">IF(OR(BX374="",BY374=""),"",IF($F374="Maior Melhor",IF(BY374&gt;=BX374,"Sim","Não"),IF(BY374&lt;=BX374,"Sim","Não")))</f>
        <v/>
      </c>
      <c r="CB374" s="6"/>
      <c r="CC374" s="6"/>
      <c r="CD374" s="4" t="str">
        <f aca="false">IF(OR(CB374="",CC374=""),"",IFERROR(IF($K374="%",CC374-CB374,CC374/CB374-1),""))</f>
        <v/>
      </c>
      <c r="CE374" s="5" t="str">
        <f aca="false">IF(OR(CB374="",CC374=""),"",IF($F374="Maior Melhor",IF(CC374&gt;=CB374,"Sim","Não"),IF(CC374&lt;=CB374,"Sim","Não")))</f>
        <v/>
      </c>
      <c r="CF374" s="6"/>
      <c r="CG374" s="6"/>
      <c r="CH374" s="4" t="str">
        <f aca="false">IF(OR(CF374="",CG374=""),"",IFERROR(IF($K374="%",CG374-CF374,CG374/CF374-1),""))</f>
        <v/>
      </c>
      <c r="CI374" s="5" t="str">
        <f aca="false">IF(OR(CF374="",CG374=""),"",IF($F374="Maior Melhor",IF(CG374&gt;=CF374,"Sim","Não"),IF(CG374&lt;=CF374,"Sim","Não")))</f>
        <v/>
      </c>
      <c r="CJ374" s="6"/>
      <c r="CK374" s="6"/>
      <c r="CL374" s="4" t="str">
        <f aca="false">IF(OR(CJ374="",CK374=""),"",IFERROR(IF($K374="%",CK374-CJ374,CK374/CJ374-1),""))</f>
        <v/>
      </c>
      <c r="CM374" s="5" t="str">
        <f aca="false">IF(OR(CJ374="",CK374=""),"",IF($F374="Maior Melhor",IF(CK374&gt;=CJ374,"Sim","Não"),IF(CK374&lt;=CJ374,"Sim","Não")))</f>
        <v/>
      </c>
      <c r="CN374" s="6"/>
      <c r="CO374" s="6"/>
      <c r="CP374" s="4" t="str">
        <f aca="false">IF(OR(CN374="",CO374=""),"",IFERROR(IF($K374="%",CO374-CN374,CO374/CN374-1),""))</f>
        <v/>
      </c>
      <c r="CQ374" s="5" t="str">
        <f aca="false">IF(OR(CN374="",CO374=""),"",IF($F374="Maior Melhor",IF(CO374&gt;=CN374,"Sim","Não"),IF(CO374&lt;=CN374,"Sim","Não")))</f>
        <v/>
      </c>
      <c r="CR374" s="2" t="s">
        <v>105</v>
      </c>
    </row>
    <row r="375" customFormat="false" ht="15" hidden="false" customHeight="false" outlineLevel="0" collapsed="false">
      <c r="A375" s="2" t="s">
        <v>144</v>
      </c>
      <c r="B375" s="2" t="s">
        <v>97</v>
      </c>
      <c r="C375" s="2" t="s">
        <v>126</v>
      </c>
      <c r="D375" s="2" t="s">
        <v>204</v>
      </c>
      <c r="E375" s="2" t="str">
        <f aca="false">C375&amp;D375</f>
        <v>UTD LIVRAMENTO DE NOSSA SENHORATaxa de Contato PP</v>
      </c>
      <c r="F375" s="2" t="s">
        <v>100</v>
      </c>
      <c r="G375" s="2" t="s">
        <v>205</v>
      </c>
      <c r="H375" s="2" t="s">
        <v>102</v>
      </c>
      <c r="I375" s="2" t="s">
        <v>103</v>
      </c>
      <c r="J375" s="2" t="n">
        <v>3</v>
      </c>
      <c r="K375" s="2" t="s">
        <v>104</v>
      </c>
      <c r="L375" s="3" t="n">
        <v>1</v>
      </c>
      <c r="M375" s="3" t="n">
        <v>1</v>
      </c>
      <c r="N375" s="4" t="n">
        <f aca="false">IF(OR(L375="",M375=""),"",IFERROR(IF($K375="%",M375-L375,M375/L375-1),""))</f>
        <v>0</v>
      </c>
      <c r="O375" s="5" t="str">
        <f aca="false">IF(OR(L375="",M375=""),"",IF($F375="Maior Melhor",IF(M375&gt;=L375,"Sim","Não"),IF(M375&lt;=L375,"Sim","Não")))</f>
        <v>Sim</v>
      </c>
      <c r="P375" s="3" t="n">
        <v>1</v>
      </c>
      <c r="Q375" s="3" t="n">
        <v>1</v>
      </c>
      <c r="R375" s="4" t="n">
        <f aca="false">IF(OR(P375="",Q375=""),"",IFERROR(IF($K375="%",Q375-P375,Q375/P375-1),""))</f>
        <v>0</v>
      </c>
      <c r="S375" s="5" t="str">
        <f aca="false">IF(OR(P375="",Q375=""),"",IF($F375="Maior Melhor",IF(Q375&gt;=P375,"Sim","Não"),IF(Q375&lt;=P375,"Sim","Não")))</f>
        <v>Sim</v>
      </c>
      <c r="T375" s="3" t="n">
        <v>1</v>
      </c>
      <c r="U375" s="3" t="n">
        <v>1</v>
      </c>
      <c r="V375" s="4" t="n">
        <f aca="false">IF(OR(T375="",U375=""),"",IFERROR(IF($K375="%",U375-T375,U375/T375-1),""))</f>
        <v>0</v>
      </c>
      <c r="W375" s="5" t="str">
        <f aca="false">IF(OR(T375="",U375=""),"",IF($F375="Maior Melhor",IF(U375&gt;=T375,"Sim","Não"),IF(U375&lt;=T375,"Sim","Não")))</f>
        <v>Sim</v>
      </c>
      <c r="X375" s="3" t="n">
        <v>1</v>
      </c>
      <c r="Y375" s="3" t="n">
        <v>1</v>
      </c>
      <c r="Z375" s="4" t="n">
        <f aca="false">IF(OR(X375="",Y375=""),"",IFERROR(IF($K375="%",Y375-X375,Y375/X375-1),""))</f>
        <v>0</v>
      </c>
      <c r="AA375" s="5" t="str">
        <f aca="false">IF(OR(X375="",Y375=""),"",IF($F375="Maior Melhor",IF(Y375&gt;=X375,"Sim","Não"),IF(Y375&lt;=X375,"Sim","Não")))</f>
        <v>Sim</v>
      </c>
      <c r="AB375" s="3" t="n">
        <v>1</v>
      </c>
      <c r="AC375" s="3" t="n">
        <v>1</v>
      </c>
      <c r="AD375" s="4" t="n">
        <f aca="false">IF(OR(AB375="",AC375=""),"",IFERROR(IF($K375="%",AC375-AB375,AC375/AB375-1),""))</f>
        <v>0</v>
      </c>
      <c r="AE375" s="5" t="str">
        <f aca="false">IF(OR(AB375="",AC375=""),"",IF($F375="Maior Melhor",IF(AC375&gt;=AB375,"Sim","Não"),IF(AC375&lt;=AB375,"Sim","Não")))</f>
        <v>Sim</v>
      </c>
      <c r="AF375" s="3" t="n">
        <v>1</v>
      </c>
      <c r="AG375" s="3" t="n">
        <v>1</v>
      </c>
      <c r="AH375" s="4" t="n">
        <f aca="false">IF(OR(AF375="",AG375=""),"",IFERROR(IF($K375="%",AG375-AF375,AG375/AF375-1),""))</f>
        <v>0</v>
      </c>
      <c r="AI375" s="5" t="str">
        <f aca="false">IF(OR(AF375="",AG375=""),"",IF($F375="Maior Melhor",IF(AG375&gt;=AF375,"Sim","Não"),IF(AG375&lt;=AF375,"Sim","Não")))</f>
        <v>Sim</v>
      </c>
      <c r="AJ375" s="3" t="n">
        <v>1</v>
      </c>
      <c r="AK375" s="3" t="n">
        <v>1</v>
      </c>
      <c r="AL375" s="4" t="n">
        <f aca="false">IF(OR(AJ375="",AK375=""),"",IFERROR(IF($K375="%",AK375-AJ375,AK375/AJ375-1),""))</f>
        <v>0</v>
      </c>
      <c r="AM375" s="5" t="str">
        <f aca="false">IF(OR(AJ375="",AK375=""),"",IF($F375="Maior Melhor",IF(AK375&gt;=AJ375,"Sim","Não"),IF(AK375&lt;=AJ375,"Sim","Não")))</f>
        <v>Sim</v>
      </c>
      <c r="AN375" s="3" t="n">
        <v>1</v>
      </c>
      <c r="AO375" s="3" t="n">
        <v>1</v>
      </c>
      <c r="AP375" s="4" t="n">
        <f aca="false">IF(OR(AN375="",AO375=""),"",IFERROR(IF($K375="%",AO375-AN375,AO375/AN375-1),""))</f>
        <v>0</v>
      </c>
      <c r="AQ375" s="5" t="str">
        <f aca="false">IF(OR(AN375="",AO375=""),"",IF($F375="Maior Melhor",IF(AO375&gt;=AN375,"Sim","Não"),IF(AO375&lt;=AN375,"Sim","Não")))</f>
        <v>Sim</v>
      </c>
      <c r="AR375" s="3" t="n">
        <v>1</v>
      </c>
      <c r="AS375" s="3" t="n">
        <v>1</v>
      </c>
      <c r="AT375" s="4" t="n">
        <f aca="false">IF(OR(AR375="",AS375=""),"",IFERROR(IF($K375="%",AS375-AR375,AS375/AR375-1),""))</f>
        <v>0</v>
      </c>
      <c r="AU375" s="5" t="str">
        <f aca="false">IF(OR(AR375="",AS375=""),"",IF($F375="Maior Melhor",IF(AS375&gt;=AR375,"Sim","Não"),IF(AS375&lt;=AR375,"Sim","Não")))</f>
        <v>Sim</v>
      </c>
      <c r="AV375" s="3" t="n">
        <v>1</v>
      </c>
      <c r="AW375" s="3" t="n">
        <v>1</v>
      </c>
      <c r="AX375" s="4" t="n">
        <f aca="false">IF(OR(AV375="",AW375=""),"",IFERROR(IF($K375="%",AW375-AV375,AW375/AV375-1),""))</f>
        <v>0</v>
      </c>
      <c r="AY375" s="5" t="str">
        <f aca="false">IF(OR(AV375="",AW375=""),"",IF($F375="Maior Melhor",IF(AW375&gt;=AV375,"Sim","Não"),IF(AW375&lt;=AV375,"Sim","Não")))</f>
        <v>Sim</v>
      </c>
      <c r="AZ375" s="3" t="n">
        <v>1</v>
      </c>
      <c r="BA375" s="3" t="n">
        <v>1</v>
      </c>
      <c r="BB375" s="4" t="n">
        <f aca="false">IF(OR(AZ375="",BA375=""),"",IFERROR(IF($K375="%",BA375-AZ375,BA375/AZ375-1),""))</f>
        <v>0</v>
      </c>
      <c r="BC375" s="5" t="str">
        <f aca="false">IF(OR(AZ375="",BA375=""),"",IF($F375="Maior Melhor",IF(BA375&gt;=AZ375,"Sim","Não"),IF(BA375&lt;=AZ375,"Sim","Não")))</f>
        <v>Sim</v>
      </c>
      <c r="BD375" s="3" t="n">
        <v>1</v>
      </c>
      <c r="BE375" s="3" t="n">
        <v>1</v>
      </c>
      <c r="BF375" s="4" t="n">
        <f aca="false">IF(OR(BD375="",BE375=""),"",IFERROR(IF($K375="%",BE375-BD375,BE375/BD375-1),""))</f>
        <v>0</v>
      </c>
      <c r="BG375" s="5" t="str">
        <f aca="false">IF(OR(BD375="",BE375=""),"",IF($F375="Maior Melhor",IF(BE375&gt;=BD375,"Sim","Não"),IF(BE375&lt;=BD375,"Sim","Não")))</f>
        <v>Sim</v>
      </c>
      <c r="BH375" s="3" t="n">
        <v>1</v>
      </c>
      <c r="BI375" s="3" t="n">
        <v>1</v>
      </c>
      <c r="BJ375" s="4" t="n">
        <f aca="false">IF(OR(BH375="",BI375=""),"",IFERROR(IF($K375="%",BI375-BH375,BI375/BH375-1),""))</f>
        <v>0</v>
      </c>
      <c r="BK375" s="5" t="str">
        <f aca="false">IF(OR(BH375="",BI375=""),"",IF($F375="Maior Melhor",IF(BI375&gt;=BH375,"Sim","Não"),IF(BI375&lt;=BH375,"Sim","Não")))</f>
        <v>Sim</v>
      </c>
      <c r="BL375" s="6"/>
      <c r="BM375" s="6"/>
      <c r="BN375" s="4" t="str">
        <f aca="false">IF(OR(BL375="",BM375=""),"",IFERROR(IF($K375="%",BM375-BL375,BM375/BL375-1),""))</f>
        <v/>
      </c>
      <c r="BO375" s="5" t="str">
        <f aca="false">IF(OR(BL375="",BM375=""),"",IF($F375="Maior Melhor",IF(BM375&gt;=BL375,"Sim","Não"),IF(BM375&lt;=BL375,"Sim","Não")))</f>
        <v/>
      </c>
      <c r="BP375" s="6"/>
      <c r="BQ375" s="6"/>
      <c r="BR375" s="4" t="str">
        <f aca="false">IF(OR(BP375="",BQ375=""),"",IFERROR(IF($K375="%",BQ375-BP375,BQ375/BP375-1),""))</f>
        <v/>
      </c>
      <c r="BS375" s="5" t="str">
        <f aca="false">IF(OR(BP375="",BQ375=""),"",IF($F375="Maior Melhor",IF(BQ375&gt;=BP375,"Sim","Não"),IF(BQ375&lt;=BP375,"Sim","Não")))</f>
        <v/>
      </c>
      <c r="BT375" s="6"/>
      <c r="BU375" s="6"/>
      <c r="BV375" s="4" t="str">
        <f aca="false">IF(OR(BT375="",BU375=""),"",IFERROR(IF($K375="%",BU375-BT375,BU375/BT375-1),""))</f>
        <v/>
      </c>
      <c r="BW375" s="5" t="str">
        <f aca="false">IF(OR(BT375="",BU375=""),"",IF($F375="Maior Melhor",IF(BU375&gt;=BT375,"Sim","Não"),IF(BU375&lt;=BT375,"Sim","Não")))</f>
        <v/>
      </c>
      <c r="BX375" s="6"/>
      <c r="BY375" s="6"/>
      <c r="BZ375" s="4" t="str">
        <f aca="false">IF(OR(BX375="",BY375=""),"",IFERROR(IF($K375="%",BY375-BX375,BY375/BX375-1),""))</f>
        <v/>
      </c>
      <c r="CA375" s="5" t="str">
        <f aca="false">IF(OR(BX375="",BY375=""),"",IF($F375="Maior Melhor",IF(BY375&gt;=BX375,"Sim","Não"),IF(BY375&lt;=BX375,"Sim","Não")))</f>
        <v/>
      </c>
      <c r="CB375" s="6"/>
      <c r="CC375" s="6"/>
      <c r="CD375" s="4" t="str">
        <f aca="false">IF(OR(CB375="",CC375=""),"",IFERROR(IF($K375="%",CC375-CB375,CC375/CB375-1),""))</f>
        <v/>
      </c>
      <c r="CE375" s="5" t="str">
        <f aca="false">IF(OR(CB375="",CC375=""),"",IF($F375="Maior Melhor",IF(CC375&gt;=CB375,"Sim","Não"),IF(CC375&lt;=CB375,"Sim","Não")))</f>
        <v/>
      </c>
      <c r="CF375" s="6"/>
      <c r="CG375" s="6"/>
      <c r="CH375" s="4" t="str">
        <f aca="false">IF(OR(CF375="",CG375=""),"",IFERROR(IF($K375="%",CG375-CF375,CG375/CF375-1),""))</f>
        <v/>
      </c>
      <c r="CI375" s="5" t="str">
        <f aca="false">IF(OR(CF375="",CG375=""),"",IF($F375="Maior Melhor",IF(CG375&gt;=CF375,"Sim","Não"),IF(CG375&lt;=CF375,"Sim","Não")))</f>
        <v/>
      </c>
      <c r="CJ375" s="6"/>
      <c r="CK375" s="6"/>
      <c r="CL375" s="4" t="str">
        <f aca="false">IF(OR(CJ375="",CK375=""),"",IFERROR(IF($K375="%",CK375-CJ375,CK375/CJ375-1),""))</f>
        <v/>
      </c>
      <c r="CM375" s="5" t="str">
        <f aca="false">IF(OR(CJ375="",CK375=""),"",IF($F375="Maior Melhor",IF(CK375&gt;=CJ375,"Sim","Não"),IF(CK375&lt;=CJ375,"Sim","Não")))</f>
        <v/>
      </c>
      <c r="CN375" s="6"/>
      <c r="CO375" s="6"/>
      <c r="CP375" s="4" t="str">
        <f aca="false">IF(OR(CN375="",CO375=""),"",IFERROR(IF($K375="%",CO375-CN375,CO375/CN375-1),""))</f>
        <v/>
      </c>
      <c r="CQ375" s="5" t="str">
        <f aca="false">IF(OR(CN375="",CO375=""),"",IF($F375="Maior Melhor",IF(CO375&gt;=CN375,"Sim","Não"),IF(CO375&lt;=CN375,"Sim","Não")))</f>
        <v/>
      </c>
      <c r="CR375" s="2" t="s">
        <v>105</v>
      </c>
    </row>
    <row r="376" customFormat="false" ht="15" hidden="false" customHeight="false" outlineLevel="0" collapsed="false">
      <c r="A376" s="2" t="s">
        <v>144</v>
      </c>
      <c r="B376" s="2" t="s">
        <v>106</v>
      </c>
      <c r="C376" s="2" t="s">
        <v>127</v>
      </c>
      <c r="D376" s="2" t="s">
        <v>204</v>
      </c>
      <c r="E376" s="2" t="str">
        <f aca="false">C376&amp;D376</f>
        <v>UTD LUIS EDUARDO MAGALHAESTaxa de Contato PP</v>
      </c>
      <c r="F376" s="2" t="s">
        <v>100</v>
      </c>
      <c r="G376" s="2" t="s">
        <v>205</v>
      </c>
      <c r="H376" s="2" t="s">
        <v>102</v>
      </c>
      <c r="I376" s="2" t="s">
        <v>103</v>
      </c>
      <c r="J376" s="2" t="n">
        <v>3</v>
      </c>
      <c r="K376" s="2" t="s">
        <v>104</v>
      </c>
      <c r="L376" s="3" t="n">
        <v>1</v>
      </c>
      <c r="M376" s="3" t="n">
        <v>1</v>
      </c>
      <c r="N376" s="4" t="n">
        <f aca="false">IF(OR(L376="",M376=""),"",IFERROR(IF($K376="%",M376-L376,M376/L376-1),""))</f>
        <v>0</v>
      </c>
      <c r="O376" s="5" t="str">
        <f aca="false">IF(OR(L376="",M376=""),"",IF($F376="Maior Melhor",IF(M376&gt;=L376,"Sim","Não"),IF(M376&lt;=L376,"Sim","Não")))</f>
        <v>Sim</v>
      </c>
      <c r="P376" s="3" t="n">
        <v>1</v>
      </c>
      <c r="Q376" s="3" t="n">
        <v>0.89</v>
      </c>
      <c r="R376" s="4" t="n">
        <f aca="false">IF(OR(P376="",Q376=""),"",IFERROR(IF($K376="%",Q376-P376,Q376/P376-1),""))</f>
        <v>-0.11</v>
      </c>
      <c r="S376" s="5" t="str">
        <f aca="false">IF(OR(P376="",Q376=""),"",IF($F376="Maior Melhor",IF(Q376&gt;=P376,"Sim","Não"),IF(Q376&lt;=P376,"Sim","Não")))</f>
        <v>Não</v>
      </c>
      <c r="T376" s="3" t="n">
        <v>1</v>
      </c>
      <c r="U376" s="3" t="n">
        <v>1</v>
      </c>
      <c r="V376" s="4" t="n">
        <f aca="false">IF(OR(T376="",U376=""),"",IFERROR(IF($K376="%",U376-T376,U376/T376-1),""))</f>
        <v>0</v>
      </c>
      <c r="W376" s="5" t="str">
        <f aca="false">IF(OR(T376="",U376=""),"",IF($F376="Maior Melhor",IF(U376&gt;=T376,"Sim","Não"),IF(U376&lt;=T376,"Sim","Não")))</f>
        <v>Sim</v>
      </c>
      <c r="X376" s="3" t="n">
        <v>1</v>
      </c>
      <c r="Y376" s="3" t="n">
        <v>1</v>
      </c>
      <c r="Z376" s="4" t="n">
        <f aca="false">IF(OR(X376="",Y376=""),"",IFERROR(IF($K376="%",Y376-X376,Y376/X376-1),""))</f>
        <v>0</v>
      </c>
      <c r="AA376" s="5" t="str">
        <f aca="false">IF(OR(X376="",Y376=""),"",IF($F376="Maior Melhor",IF(Y376&gt;=X376,"Sim","Não"),IF(Y376&lt;=X376,"Sim","Não")))</f>
        <v>Sim</v>
      </c>
      <c r="AB376" s="3" t="n">
        <v>1</v>
      </c>
      <c r="AC376" s="3" t="n">
        <v>1</v>
      </c>
      <c r="AD376" s="4" t="n">
        <f aca="false">IF(OR(AB376="",AC376=""),"",IFERROR(IF($K376="%",AC376-AB376,AC376/AB376-1),""))</f>
        <v>0</v>
      </c>
      <c r="AE376" s="5" t="str">
        <f aca="false">IF(OR(AB376="",AC376=""),"",IF($F376="Maior Melhor",IF(AC376&gt;=AB376,"Sim","Não"),IF(AC376&lt;=AB376,"Sim","Não")))</f>
        <v>Sim</v>
      </c>
      <c r="AF376" s="3" t="n">
        <v>1</v>
      </c>
      <c r="AG376" s="3" t="n">
        <v>1</v>
      </c>
      <c r="AH376" s="4" t="n">
        <f aca="false">IF(OR(AF376="",AG376=""),"",IFERROR(IF($K376="%",AG376-AF376,AG376/AF376-1),""))</f>
        <v>0</v>
      </c>
      <c r="AI376" s="5" t="str">
        <f aca="false">IF(OR(AF376="",AG376=""),"",IF($F376="Maior Melhor",IF(AG376&gt;=AF376,"Sim","Não"),IF(AG376&lt;=AF376,"Sim","Não")))</f>
        <v>Sim</v>
      </c>
      <c r="AJ376" s="3" t="n">
        <v>1</v>
      </c>
      <c r="AK376" s="3" t="n">
        <v>1</v>
      </c>
      <c r="AL376" s="4" t="n">
        <f aca="false">IF(OR(AJ376="",AK376=""),"",IFERROR(IF($K376="%",AK376-AJ376,AK376/AJ376-1),""))</f>
        <v>0</v>
      </c>
      <c r="AM376" s="5" t="str">
        <f aca="false">IF(OR(AJ376="",AK376=""),"",IF($F376="Maior Melhor",IF(AK376&gt;=AJ376,"Sim","Não"),IF(AK376&lt;=AJ376,"Sim","Não")))</f>
        <v>Sim</v>
      </c>
      <c r="AN376" s="3" t="n">
        <v>1</v>
      </c>
      <c r="AO376" s="3" t="n">
        <v>1</v>
      </c>
      <c r="AP376" s="4" t="n">
        <f aca="false">IF(OR(AN376="",AO376=""),"",IFERROR(IF($K376="%",AO376-AN376,AO376/AN376-1),""))</f>
        <v>0</v>
      </c>
      <c r="AQ376" s="5" t="str">
        <f aca="false">IF(OR(AN376="",AO376=""),"",IF($F376="Maior Melhor",IF(AO376&gt;=AN376,"Sim","Não"),IF(AO376&lt;=AN376,"Sim","Não")))</f>
        <v>Sim</v>
      </c>
      <c r="AR376" s="3" t="n">
        <v>1</v>
      </c>
      <c r="AS376" s="3" t="n">
        <v>1</v>
      </c>
      <c r="AT376" s="4" t="n">
        <f aca="false">IF(OR(AR376="",AS376=""),"",IFERROR(IF($K376="%",AS376-AR376,AS376/AR376-1),""))</f>
        <v>0</v>
      </c>
      <c r="AU376" s="5" t="str">
        <f aca="false">IF(OR(AR376="",AS376=""),"",IF($F376="Maior Melhor",IF(AS376&gt;=AR376,"Sim","Não"),IF(AS376&lt;=AR376,"Sim","Não")))</f>
        <v>Sim</v>
      </c>
      <c r="AV376" s="3" t="n">
        <v>1</v>
      </c>
      <c r="AW376" s="3" t="n">
        <v>0</v>
      </c>
      <c r="AX376" s="4" t="n">
        <f aca="false">IF(OR(AV376="",AW376=""),"",IFERROR(IF($K376="%",AW376-AV376,AW376/AV376-1),""))</f>
        <v>-1</v>
      </c>
      <c r="AY376" s="5" t="str">
        <f aca="false">IF(OR(AV376="",AW376=""),"",IF($F376="Maior Melhor",IF(AW376&gt;=AV376,"Sim","Não"),IF(AW376&lt;=AV376,"Sim","Não")))</f>
        <v>Não</v>
      </c>
      <c r="AZ376" s="3" t="n">
        <v>1</v>
      </c>
      <c r="BA376" s="3" t="n">
        <v>0</v>
      </c>
      <c r="BB376" s="4" t="n">
        <f aca="false">IF(OR(AZ376="",BA376=""),"",IFERROR(IF($K376="%",BA376-AZ376,BA376/AZ376-1),""))</f>
        <v>-1</v>
      </c>
      <c r="BC376" s="5" t="str">
        <f aca="false">IF(OR(AZ376="",BA376=""),"",IF($F376="Maior Melhor",IF(BA376&gt;=AZ376,"Sim","Não"),IF(BA376&lt;=AZ376,"Sim","Não")))</f>
        <v>Não</v>
      </c>
      <c r="BD376" s="3" t="n">
        <v>1</v>
      </c>
      <c r="BE376" s="3" t="n">
        <v>0.89</v>
      </c>
      <c r="BF376" s="4" t="n">
        <f aca="false">IF(OR(BD376="",BE376=""),"",IFERROR(IF($K376="%",BE376-BD376,BE376/BD376-1),""))</f>
        <v>-0.11</v>
      </c>
      <c r="BG376" s="5" t="str">
        <f aca="false">IF(OR(BD376="",BE376=""),"",IF($F376="Maior Melhor",IF(BE376&gt;=BD376,"Sim","Não"),IF(BE376&lt;=BD376,"Sim","Não")))</f>
        <v>Não</v>
      </c>
      <c r="BH376" s="3" t="n">
        <v>1</v>
      </c>
      <c r="BI376" s="3" t="n">
        <v>0.89</v>
      </c>
      <c r="BJ376" s="4" t="n">
        <f aca="false">IF(OR(BH376="",BI376=""),"",IFERROR(IF($K376="%",BI376-BH376,BI376/BH376-1),""))</f>
        <v>-0.11</v>
      </c>
      <c r="BK376" s="5" t="str">
        <f aca="false">IF(OR(BH376="",BI376=""),"",IF($F376="Maior Melhor",IF(BI376&gt;=BH376,"Sim","Não"),IF(BI376&lt;=BH376,"Sim","Não")))</f>
        <v>Não</v>
      </c>
      <c r="BL376" s="6"/>
      <c r="BM376" s="6"/>
      <c r="BN376" s="4" t="str">
        <f aca="false">IF(OR(BL376="",BM376=""),"",IFERROR(IF($K376="%",BM376-BL376,BM376/BL376-1),""))</f>
        <v/>
      </c>
      <c r="BO376" s="5" t="str">
        <f aca="false">IF(OR(BL376="",BM376=""),"",IF($F376="Maior Melhor",IF(BM376&gt;=BL376,"Sim","Não"),IF(BM376&lt;=BL376,"Sim","Não")))</f>
        <v/>
      </c>
      <c r="BP376" s="6"/>
      <c r="BQ376" s="6"/>
      <c r="BR376" s="4" t="str">
        <f aca="false">IF(OR(BP376="",BQ376=""),"",IFERROR(IF($K376="%",BQ376-BP376,BQ376/BP376-1),""))</f>
        <v/>
      </c>
      <c r="BS376" s="5" t="str">
        <f aca="false">IF(OR(BP376="",BQ376=""),"",IF($F376="Maior Melhor",IF(BQ376&gt;=BP376,"Sim","Não"),IF(BQ376&lt;=BP376,"Sim","Não")))</f>
        <v/>
      </c>
      <c r="BT376" s="6"/>
      <c r="BU376" s="6"/>
      <c r="BV376" s="4" t="str">
        <f aca="false">IF(OR(BT376="",BU376=""),"",IFERROR(IF($K376="%",BU376-BT376,BU376/BT376-1),""))</f>
        <v/>
      </c>
      <c r="BW376" s="5" t="str">
        <f aca="false">IF(OR(BT376="",BU376=""),"",IF($F376="Maior Melhor",IF(BU376&gt;=BT376,"Sim","Não"),IF(BU376&lt;=BT376,"Sim","Não")))</f>
        <v/>
      </c>
      <c r="BX376" s="6"/>
      <c r="BY376" s="6"/>
      <c r="BZ376" s="4" t="str">
        <f aca="false">IF(OR(BX376="",BY376=""),"",IFERROR(IF($K376="%",BY376-BX376,BY376/BX376-1),""))</f>
        <v/>
      </c>
      <c r="CA376" s="5" t="str">
        <f aca="false">IF(OR(BX376="",BY376=""),"",IF($F376="Maior Melhor",IF(BY376&gt;=BX376,"Sim","Não"),IF(BY376&lt;=BX376,"Sim","Não")))</f>
        <v/>
      </c>
      <c r="CB376" s="6"/>
      <c r="CC376" s="6"/>
      <c r="CD376" s="4" t="str">
        <f aca="false">IF(OR(CB376="",CC376=""),"",IFERROR(IF($K376="%",CC376-CB376,CC376/CB376-1),""))</f>
        <v/>
      </c>
      <c r="CE376" s="5" t="str">
        <f aca="false">IF(OR(CB376="",CC376=""),"",IF($F376="Maior Melhor",IF(CC376&gt;=CB376,"Sim","Não"),IF(CC376&lt;=CB376,"Sim","Não")))</f>
        <v/>
      </c>
      <c r="CF376" s="6"/>
      <c r="CG376" s="6"/>
      <c r="CH376" s="4" t="str">
        <f aca="false">IF(OR(CF376="",CG376=""),"",IFERROR(IF($K376="%",CG376-CF376,CG376/CF376-1),""))</f>
        <v/>
      </c>
      <c r="CI376" s="5" t="str">
        <f aca="false">IF(OR(CF376="",CG376=""),"",IF($F376="Maior Melhor",IF(CG376&gt;=CF376,"Sim","Não"),IF(CG376&lt;=CF376,"Sim","Não")))</f>
        <v/>
      </c>
      <c r="CJ376" s="6"/>
      <c r="CK376" s="6"/>
      <c r="CL376" s="4" t="str">
        <f aca="false">IF(OR(CJ376="",CK376=""),"",IFERROR(IF($K376="%",CK376-CJ376,CK376/CJ376-1),""))</f>
        <v/>
      </c>
      <c r="CM376" s="5" t="str">
        <f aca="false">IF(OR(CJ376="",CK376=""),"",IF($F376="Maior Melhor",IF(CK376&gt;=CJ376,"Sim","Não"),IF(CK376&lt;=CJ376,"Sim","Não")))</f>
        <v/>
      </c>
      <c r="CN376" s="6"/>
      <c r="CO376" s="6"/>
      <c r="CP376" s="4" t="str">
        <f aca="false">IF(OR(CN376="",CO376=""),"",IFERROR(IF($K376="%",CO376-CN376,CO376/CN376-1),""))</f>
        <v/>
      </c>
      <c r="CQ376" s="5" t="str">
        <f aca="false">IF(OR(CN376="",CO376=""),"",IF($F376="Maior Melhor",IF(CO376&gt;=CN376,"Sim","Não"),IF(CO376&lt;=CN376,"Sim","Não")))</f>
        <v/>
      </c>
      <c r="CR376" s="2" t="s">
        <v>105</v>
      </c>
    </row>
    <row r="377" customFormat="false" ht="15" hidden="false" customHeight="false" outlineLevel="0" collapsed="false">
      <c r="A377" s="2" t="s">
        <v>144</v>
      </c>
      <c r="B377" s="2" t="s">
        <v>106</v>
      </c>
      <c r="C377" s="2" t="s">
        <v>128</v>
      </c>
      <c r="D377" s="2" t="s">
        <v>204</v>
      </c>
      <c r="E377" s="2" t="str">
        <f aca="false">C377&amp;D377</f>
        <v>UTD SANTA MARIA DA VITORIATaxa de Contato PP</v>
      </c>
      <c r="F377" s="2" t="s">
        <v>100</v>
      </c>
      <c r="G377" s="2" t="s">
        <v>205</v>
      </c>
      <c r="H377" s="2" t="s">
        <v>102</v>
      </c>
      <c r="I377" s="2" t="s">
        <v>103</v>
      </c>
      <c r="J377" s="2" t="n">
        <v>3</v>
      </c>
      <c r="K377" s="2" t="s">
        <v>104</v>
      </c>
      <c r="L377" s="3" t="n">
        <v>1</v>
      </c>
      <c r="M377" s="3" t="n">
        <v>0</v>
      </c>
      <c r="N377" s="4" t="n">
        <f aca="false">IF(OR(L377="",M377=""),"",IFERROR(IF($K377="%",M377-L377,M377/L377-1),""))</f>
        <v>-1</v>
      </c>
      <c r="O377" s="5" t="str">
        <f aca="false">IF(OR(L377="",M377=""),"",IF($F377="Maior Melhor",IF(M377&gt;=L377,"Sim","Não"),IF(M377&lt;=L377,"Sim","Não")))</f>
        <v>Não</v>
      </c>
      <c r="P377" s="3" t="n">
        <v>1</v>
      </c>
      <c r="Q377" s="3" t="n">
        <v>1</v>
      </c>
      <c r="R377" s="4" t="n">
        <f aca="false">IF(OR(P377="",Q377=""),"",IFERROR(IF($K377="%",Q377-P377,Q377/P377-1),""))</f>
        <v>0</v>
      </c>
      <c r="S377" s="5" t="str">
        <f aca="false">IF(OR(P377="",Q377=""),"",IF($F377="Maior Melhor",IF(Q377&gt;=P377,"Sim","Não"),IF(Q377&lt;=P377,"Sim","Não")))</f>
        <v>Sim</v>
      </c>
      <c r="T377" s="3" t="n">
        <v>1</v>
      </c>
      <c r="U377" s="3" t="n">
        <v>1</v>
      </c>
      <c r="V377" s="4" t="n">
        <f aca="false">IF(OR(T377="",U377=""),"",IFERROR(IF($K377="%",U377-T377,U377/T377-1),""))</f>
        <v>0</v>
      </c>
      <c r="W377" s="5" t="str">
        <f aca="false">IF(OR(T377="",U377=""),"",IF($F377="Maior Melhor",IF(U377&gt;=T377,"Sim","Não"),IF(U377&lt;=T377,"Sim","Não")))</f>
        <v>Sim</v>
      </c>
      <c r="X377" s="3" t="n">
        <v>1</v>
      </c>
      <c r="Y377" s="3" t="n">
        <v>1</v>
      </c>
      <c r="Z377" s="4" t="n">
        <f aca="false">IF(OR(X377="",Y377=""),"",IFERROR(IF($K377="%",Y377-X377,Y377/X377-1),""))</f>
        <v>0</v>
      </c>
      <c r="AA377" s="5" t="str">
        <f aca="false">IF(OR(X377="",Y377=""),"",IF($F377="Maior Melhor",IF(Y377&gt;=X377,"Sim","Não"),IF(Y377&lt;=X377,"Sim","Não")))</f>
        <v>Sim</v>
      </c>
      <c r="AB377" s="3" t="n">
        <v>1</v>
      </c>
      <c r="AC377" s="3" t="n">
        <v>1</v>
      </c>
      <c r="AD377" s="4" t="n">
        <f aca="false">IF(OR(AB377="",AC377=""),"",IFERROR(IF($K377="%",AC377-AB377,AC377/AB377-1),""))</f>
        <v>0</v>
      </c>
      <c r="AE377" s="5" t="str">
        <f aca="false">IF(OR(AB377="",AC377=""),"",IF($F377="Maior Melhor",IF(AC377&gt;=AB377,"Sim","Não"),IF(AC377&lt;=AB377,"Sim","Não")))</f>
        <v>Sim</v>
      </c>
      <c r="AF377" s="3" t="n">
        <v>1</v>
      </c>
      <c r="AG377" s="3" t="n">
        <v>1</v>
      </c>
      <c r="AH377" s="4" t="n">
        <f aca="false">IF(OR(AF377="",AG377=""),"",IFERROR(IF($K377="%",AG377-AF377,AG377/AF377-1),""))</f>
        <v>0</v>
      </c>
      <c r="AI377" s="5" t="str">
        <f aca="false">IF(OR(AF377="",AG377=""),"",IF($F377="Maior Melhor",IF(AG377&gt;=AF377,"Sim","Não"),IF(AG377&lt;=AF377,"Sim","Não")))</f>
        <v>Sim</v>
      </c>
      <c r="AJ377" s="3" t="n">
        <v>1</v>
      </c>
      <c r="AK377" s="3" t="n">
        <v>1</v>
      </c>
      <c r="AL377" s="4" t="n">
        <f aca="false">IF(OR(AJ377="",AK377=""),"",IFERROR(IF($K377="%",AK377-AJ377,AK377/AJ377-1),""))</f>
        <v>0</v>
      </c>
      <c r="AM377" s="5" t="str">
        <f aca="false">IF(OR(AJ377="",AK377=""),"",IF($F377="Maior Melhor",IF(AK377&gt;=AJ377,"Sim","Não"),IF(AK377&lt;=AJ377,"Sim","Não")))</f>
        <v>Sim</v>
      </c>
      <c r="AN377" s="3" t="n">
        <v>1</v>
      </c>
      <c r="AO377" s="3" t="n">
        <v>1</v>
      </c>
      <c r="AP377" s="4" t="n">
        <f aca="false">IF(OR(AN377="",AO377=""),"",IFERROR(IF($K377="%",AO377-AN377,AO377/AN377-1),""))</f>
        <v>0</v>
      </c>
      <c r="AQ377" s="5" t="str">
        <f aca="false">IF(OR(AN377="",AO377=""),"",IF($F377="Maior Melhor",IF(AO377&gt;=AN377,"Sim","Não"),IF(AO377&lt;=AN377,"Sim","Não")))</f>
        <v>Sim</v>
      </c>
      <c r="AR377" s="3" t="n">
        <v>1</v>
      </c>
      <c r="AS377" s="3" t="n">
        <v>1</v>
      </c>
      <c r="AT377" s="4" t="n">
        <f aca="false">IF(OR(AR377="",AS377=""),"",IFERROR(IF($K377="%",AS377-AR377,AS377/AR377-1),""))</f>
        <v>0</v>
      </c>
      <c r="AU377" s="5" t="str">
        <f aca="false">IF(OR(AR377="",AS377=""),"",IF($F377="Maior Melhor",IF(AS377&gt;=AR377,"Sim","Não"),IF(AS377&lt;=AR377,"Sim","Não")))</f>
        <v>Sim</v>
      </c>
      <c r="AV377" s="3" t="n">
        <v>1</v>
      </c>
      <c r="AW377" s="3" t="n">
        <v>1</v>
      </c>
      <c r="AX377" s="4" t="n">
        <f aca="false">IF(OR(AV377="",AW377=""),"",IFERROR(IF($K377="%",AW377-AV377,AW377/AV377-1),""))</f>
        <v>0</v>
      </c>
      <c r="AY377" s="5" t="str">
        <f aca="false">IF(OR(AV377="",AW377=""),"",IF($F377="Maior Melhor",IF(AW377&gt;=AV377,"Sim","Não"),IF(AW377&lt;=AV377,"Sim","Não")))</f>
        <v>Sim</v>
      </c>
      <c r="AZ377" s="3" t="n">
        <v>1</v>
      </c>
      <c r="BA377" s="3" t="n">
        <v>1</v>
      </c>
      <c r="BB377" s="4" t="n">
        <f aca="false">IF(OR(AZ377="",BA377=""),"",IFERROR(IF($K377="%",BA377-AZ377,BA377/AZ377-1),""))</f>
        <v>0</v>
      </c>
      <c r="BC377" s="5" t="str">
        <f aca="false">IF(OR(AZ377="",BA377=""),"",IF($F377="Maior Melhor",IF(BA377&gt;=AZ377,"Sim","Não"),IF(BA377&lt;=AZ377,"Sim","Não")))</f>
        <v>Sim</v>
      </c>
      <c r="BD377" s="3" t="n">
        <v>1</v>
      </c>
      <c r="BE377" s="3" t="n">
        <v>1</v>
      </c>
      <c r="BF377" s="4" t="n">
        <f aca="false">IF(OR(BD377="",BE377=""),"",IFERROR(IF($K377="%",BE377-BD377,BE377/BD377-1),""))</f>
        <v>0</v>
      </c>
      <c r="BG377" s="5" t="str">
        <f aca="false">IF(OR(BD377="",BE377=""),"",IF($F377="Maior Melhor",IF(BE377&gt;=BD377,"Sim","Não"),IF(BE377&lt;=BD377,"Sim","Não")))</f>
        <v>Sim</v>
      </c>
      <c r="BH377" s="3" t="n">
        <v>1</v>
      </c>
      <c r="BI377" s="3" t="n">
        <v>1</v>
      </c>
      <c r="BJ377" s="4" t="n">
        <f aca="false">IF(OR(BH377="",BI377=""),"",IFERROR(IF($K377="%",BI377-BH377,BI377/BH377-1),""))</f>
        <v>0</v>
      </c>
      <c r="BK377" s="5" t="str">
        <f aca="false">IF(OR(BH377="",BI377=""),"",IF($F377="Maior Melhor",IF(BI377&gt;=BH377,"Sim","Não"),IF(BI377&lt;=BH377,"Sim","Não")))</f>
        <v>Sim</v>
      </c>
      <c r="BL377" s="6"/>
      <c r="BM377" s="6"/>
      <c r="BN377" s="4" t="str">
        <f aca="false">IF(OR(BL377="",BM377=""),"",IFERROR(IF($K377="%",BM377-BL377,BM377/BL377-1),""))</f>
        <v/>
      </c>
      <c r="BO377" s="5" t="str">
        <f aca="false">IF(OR(BL377="",BM377=""),"",IF($F377="Maior Melhor",IF(BM377&gt;=BL377,"Sim","Não"),IF(BM377&lt;=BL377,"Sim","Não")))</f>
        <v/>
      </c>
      <c r="BP377" s="6"/>
      <c r="BQ377" s="6"/>
      <c r="BR377" s="4" t="str">
        <f aca="false">IF(OR(BP377="",BQ377=""),"",IFERROR(IF($K377="%",BQ377-BP377,BQ377/BP377-1),""))</f>
        <v/>
      </c>
      <c r="BS377" s="5" t="str">
        <f aca="false">IF(OR(BP377="",BQ377=""),"",IF($F377="Maior Melhor",IF(BQ377&gt;=BP377,"Sim","Não"),IF(BQ377&lt;=BP377,"Sim","Não")))</f>
        <v/>
      </c>
      <c r="BT377" s="6"/>
      <c r="BU377" s="6"/>
      <c r="BV377" s="4" t="str">
        <f aca="false">IF(OR(BT377="",BU377=""),"",IFERROR(IF($K377="%",BU377-BT377,BU377/BT377-1),""))</f>
        <v/>
      </c>
      <c r="BW377" s="5" t="str">
        <f aca="false">IF(OR(BT377="",BU377=""),"",IF($F377="Maior Melhor",IF(BU377&gt;=BT377,"Sim","Não"),IF(BU377&lt;=BT377,"Sim","Não")))</f>
        <v/>
      </c>
      <c r="BX377" s="6"/>
      <c r="BY377" s="6"/>
      <c r="BZ377" s="4" t="str">
        <f aca="false">IF(OR(BX377="",BY377=""),"",IFERROR(IF($K377="%",BY377-BX377,BY377/BX377-1),""))</f>
        <v/>
      </c>
      <c r="CA377" s="5" t="str">
        <f aca="false">IF(OR(BX377="",BY377=""),"",IF($F377="Maior Melhor",IF(BY377&gt;=BX377,"Sim","Não"),IF(BY377&lt;=BX377,"Sim","Não")))</f>
        <v/>
      </c>
      <c r="CB377" s="6"/>
      <c r="CC377" s="6"/>
      <c r="CD377" s="4" t="str">
        <f aca="false">IF(OR(CB377="",CC377=""),"",IFERROR(IF($K377="%",CC377-CB377,CC377/CB377-1),""))</f>
        <v/>
      </c>
      <c r="CE377" s="5" t="str">
        <f aca="false">IF(OR(CB377="",CC377=""),"",IF($F377="Maior Melhor",IF(CC377&gt;=CB377,"Sim","Não"),IF(CC377&lt;=CB377,"Sim","Não")))</f>
        <v/>
      </c>
      <c r="CF377" s="6"/>
      <c r="CG377" s="6"/>
      <c r="CH377" s="4" t="str">
        <f aca="false">IF(OR(CF377="",CG377=""),"",IFERROR(IF($K377="%",CG377-CF377,CG377/CF377-1),""))</f>
        <v/>
      </c>
      <c r="CI377" s="5" t="str">
        <f aca="false">IF(OR(CF377="",CG377=""),"",IF($F377="Maior Melhor",IF(CG377&gt;=CF377,"Sim","Não"),IF(CG377&lt;=CF377,"Sim","Não")))</f>
        <v/>
      </c>
      <c r="CJ377" s="6"/>
      <c r="CK377" s="6"/>
      <c r="CL377" s="4" t="str">
        <f aca="false">IF(OR(CJ377="",CK377=""),"",IFERROR(IF($K377="%",CK377-CJ377,CK377/CJ377-1),""))</f>
        <v/>
      </c>
      <c r="CM377" s="5" t="str">
        <f aca="false">IF(OR(CJ377="",CK377=""),"",IF($F377="Maior Melhor",IF(CK377&gt;=CJ377,"Sim","Não"),IF(CK377&lt;=CJ377,"Sim","Não")))</f>
        <v/>
      </c>
      <c r="CN377" s="6"/>
      <c r="CO377" s="6"/>
      <c r="CP377" s="4" t="str">
        <f aca="false">IF(OR(CN377="",CO377=""),"",IFERROR(IF($K377="%",CO377-CN377,CO377/CN377-1),""))</f>
        <v/>
      </c>
      <c r="CQ377" s="5" t="str">
        <f aca="false">IF(OR(CN377="",CO377=""),"",IF($F377="Maior Melhor",IF(CO377&gt;=CN377,"Sim","Não"),IF(CO377&lt;=CN377,"Sim","Não")))</f>
        <v/>
      </c>
      <c r="CR377" s="2" t="s">
        <v>160</v>
      </c>
    </row>
    <row r="378" customFormat="false" ht="15" hidden="false" customHeight="false" outlineLevel="0" collapsed="false">
      <c r="A378" s="2" t="s">
        <v>144</v>
      </c>
      <c r="B378" s="2" t="s">
        <v>97</v>
      </c>
      <c r="C378" s="2" t="s">
        <v>130</v>
      </c>
      <c r="D378" s="2" t="s">
        <v>204</v>
      </c>
      <c r="E378" s="2" t="str">
        <f aca="false">C378&amp;D378</f>
        <v>UTD SEABRATaxa de Contato PP</v>
      </c>
      <c r="F378" s="2" t="s">
        <v>100</v>
      </c>
      <c r="G378" s="2" t="s">
        <v>205</v>
      </c>
      <c r="H378" s="2" t="s">
        <v>102</v>
      </c>
      <c r="I378" s="2" t="s">
        <v>103</v>
      </c>
      <c r="J378" s="2" t="n">
        <v>3</v>
      </c>
      <c r="K378" s="2" t="s">
        <v>104</v>
      </c>
      <c r="L378" s="3" t="n">
        <v>1</v>
      </c>
      <c r="M378" s="3" t="n">
        <v>0.4</v>
      </c>
      <c r="N378" s="4" t="n">
        <f aca="false">IF(OR(L378="",M378=""),"",IFERROR(IF($K378="%",M378-L378,M378/L378-1),""))</f>
        <v>-0.6</v>
      </c>
      <c r="O378" s="5" t="str">
        <f aca="false">IF(OR(L378="",M378=""),"",IF($F378="Maior Melhor",IF(M378&gt;=L378,"Sim","Não"),IF(M378&lt;=L378,"Sim","Não")))</f>
        <v>Não</v>
      </c>
      <c r="P378" s="3" t="n">
        <v>1</v>
      </c>
      <c r="Q378" s="3" t="n">
        <v>1</v>
      </c>
      <c r="R378" s="4" t="n">
        <f aca="false">IF(OR(P378="",Q378=""),"",IFERROR(IF($K378="%",Q378-P378,Q378/P378-1),""))</f>
        <v>0</v>
      </c>
      <c r="S378" s="5" t="str">
        <f aca="false">IF(OR(P378="",Q378=""),"",IF($F378="Maior Melhor",IF(Q378&gt;=P378,"Sim","Não"),IF(Q378&lt;=P378,"Sim","Não")))</f>
        <v>Sim</v>
      </c>
      <c r="T378" s="3" t="n">
        <v>1</v>
      </c>
      <c r="U378" s="3" t="n">
        <v>1</v>
      </c>
      <c r="V378" s="4" t="n">
        <f aca="false">IF(OR(T378="",U378=""),"",IFERROR(IF($K378="%",U378-T378,U378/T378-1),""))</f>
        <v>0</v>
      </c>
      <c r="W378" s="5" t="str">
        <f aca="false">IF(OR(T378="",U378=""),"",IF($F378="Maior Melhor",IF(U378&gt;=T378,"Sim","Não"),IF(U378&lt;=T378,"Sim","Não")))</f>
        <v>Sim</v>
      </c>
      <c r="X378" s="3" t="n">
        <v>1</v>
      </c>
      <c r="Y378" s="3" t="n">
        <v>1</v>
      </c>
      <c r="Z378" s="4" t="n">
        <f aca="false">IF(OR(X378="",Y378=""),"",IFERROR(IF($K378="%",Y378-X378,Y378/X378-1),""))</f>
        <v>0</v>
      </c>
      <c r="AA378" s="5" t="str">
        <f aca="false">IF(OR(X378="",Y378=""),"",IF($F378="Maior Melhor",IF(Y378&gt;=X378,"Sim","Não"),IF(Y378&lt;=X378,"Sim","Não")))</f>
        <v>Sim</v>
      </c>
      <c r="AB378" s="3" t="n">
        <v>1</v>
      </c>
      <c r="AC378" s="3" t="n">
        <v>1</v>
      </c>
      <c r="AD378" s="4" t="n">
        <f aca="false">IF(OR(AB378="",AC378=""),"",IFERROR(IF($K378="%",AC378-AB378,AC378/AB378-1),""))</f>
        <v>0</v>
      </c>
      <c r="AE378" s="5" t="str">
        <f aca="false">IF(OR(AB378="",AC378=""),"",IF($F378="Maior Melhor",IF(AC378&gt;=AB378,"Sim","Não"),IF(AC378&lt;=AB378,"Sim","Não")))</f>
        <v>Sim</v>
      </c>
      <c r="AF378" s="3" t="n">
        <v>1</v>
      </c>
      <c r="AG378" s="3" t="n">
        <v>1</v>
      </c>
      <c r="AH378" s="4" t="n">
        <f aca="false">IF(OR(AF378="",AG378=""),"",IFERROR(IF($K378="%",AG378-AF378,AG378/AF378-1),""))</f>
        <v>0</v>
      </c>
      <c r="AI378" s="5" t="str">
        <f aca="false">IF(OR(AF378="",AG378=""),"",IF($F378="Maior Melhor",IF(AG378&gt;=AF378,"Sim","Não"),IF(AG378&lt;=AF378,"Sim","Não")))</f>
        <v>Sim</v>
      </c>
      <c r="AJ378" s="3" t="n">
        <v>1</v>
      </c>
      <c r="AK378" s="3" t="n">
        <v>1</v>
      </c>
      <c r="AL378" s="4" t="n">
        <f aca="false">IF(OR(AJ378="",AK378=""),"",IFERROR(IF($K378="%",AK378-AJ378,AK378/AJ378-1),""))</f>
        <v>0</v>
      </c>
      <c r="AM378" s="5" t="str">
        <f aca="false">IF(OR(AJ378="",AK378=""),"",IF($F378="Maior Melhor",IF(AK378&gt;=AJ378,"Sim","Não"),IF(AK378&lt;=AJ378,"Sim","Não")))</f>
        <v>Sim</v>
      </c>
      <c r="AN378" s="3" t="n">
        <v>1</v>
      </c>
      <c r="AO378" s="3" t="n">
        <v>1</v>
      </c>
      <c r="AP378" s="4" t="n">
        <f aca="false">IF(OR(AN378="",AO378=""),"",IFERROR(IF($K378="%",AO378-AN378,AO378/AN378-1),""))</f>
        <v>0</v>
      </c>
      <c r="AQ378" s="5" t="str">
        <f aca="false">IF(OR(AN378="",AO378=""),"",IF($F378="Maior Melhor",IF(AO378&gt;=AN378,"Sim","Não"),IF(AO378&lt;=AN378,"Sim","Não")))</f>
        <v>Sim</v>
      </c>
      <c r="AR378" s="3" t="n">
        <v>1</v>
      </c>
      <c r="AS378" s="3" t="n">
        <v>1</v>
      </c>
      <c r="AT378" s="4" t="n">
        <f aca="false">IF(OR(AR378="",AS378=""),"",IFERROR(IF($K378="%",AS378-AR378,AS378/AR378-1),""))</f>
        <v>0</v>
      </c>
      <c r="AU378" s="5" t="str">
        <f aca="false">IF(OR(AR378="",AS378=""),"",IF($F378="Maior Melhor",IF(AS378&gt;=AR378,"Sim","Não"),IF(AS378&lt;=AR378,"Sim","Não")))</f>
        <v>Sim</v>
      </c>
      <c r="AV378" s="3" t="n">
        <v>1</v>
      </c>
      <c r="AW378" s="3" t="n">
        <v>1</v>
      </c>
      <c r="AX378" s="4" t="n">
        <f aca="false">IF(OR(AV378="",AW378=""),"",IFERROR(IF($K378="%",AW378-AV378,AW378/AV378-1),""))</f>
        <v>0</v>
      </c>
      <c r="AY378" s="5" t="str">
        <f aca="false">IF(OR(AV378="",AW378=""),"",IF($F378="Maior Melhor",IF(AW378&gt;=AV378,"Sim","Não"),IF(AW378&lt;=AV378,"Sim","Não")))</f>
        <v>Sim</v>
      </c>
      <c r="AZ378" s="3" t="n">
        <v>1</v>
      </c>
      <c r="BA378" s="3" t="n">
        <v>1</v>
      </c>
      <c r="BB378" s="4" t="n">
        <f aca="false">IF(OR(AZ378="",BA378=""),"",IFERROR(IF($K378="%",BA378-AZ378,BA378/AZ378-1),""))</f>
        <v>0</v>
      </c>
      <c r="BC378" s="5" t="str">
        <f aca="false">IF(OR(AZ378="",BA378=""),"",IF($F378="Maior Melhor",IF(BA378&gt;=AZ378,"Sim","Não"),IF(BA378&lt;=AZ378,"Sim","Não")))</f>
        <v>Sim</v>
      </c>
      <c r="BD378" s="3" t="n">
        <v>1</v>
      </c>
      <c r="BE378" s="3" t="n">
        <v>1</v>
      </c>
      <c r="BF378" s="4" t="n">
        <f aca="false">IF(OR(BD378="",BE378=""),"",IFERROR(IF($K378="%",BE378-BD378,BE378/BD378-1),""))</f>
        <v>0</v>
      </c>
      <c r="BG378" s="5" t="str">
        <f aca="false">IF(OR(BD378="",BE378=""),"",IF($F378="Maior Melhor",IF(BE378&gt;=BD378,"Sim","Não"),IF(BE378&lt;=BD378,"Sim","Não")))</f>
        <v>Sim</v>
      </c>
      <c r="BH378" s="3" t="n">
        <v>1</v>
      </c>
      <c r="BI378" s="3" t="n">
        <v>1</v>
      </c>
      <c r="BJ378" s="4" t="n">
        <f aca="false">IF(OR(BH378="",BI378=""),"",IFERROR(IF($K378="%",BI378-BH378,BI378/BH378-1),""))</f>
        <v>0</v>
      </c>
      <c r="BK378" s="5" t="str">
        <f aca="false">IF(OR(BH378="",BI378=""),"",IF($F378="Maior Melhor",IF(BI378&gt;=BH378,"Sim","Não"),IF(BI378&lt;=BH378,"Sim","Não")))</f>
        <v>Sim</v>
      </c>
      <c r="BL378" s="6"/>
      <c r="BM378" s="6"/>
      <c r="BN378" s="4" t="str">
        <f aca="false">IF(OR(BL378="",BM378=""),"",IFERROR(IF($K378="%",BM378-BL378,BM378/BL378-1),""))</f>
        <v/>
      </c>
      <c r="BO378" s="5" t="str">
        <f aca="false">IF(OR(BL378="",BM378=""),"",IF($F378="Maior Melhor",IF(BM378&gt;=BL378,"Sim","Não"),IF(BM378&lt;=BL378,"Sim","Não")))</f>
        <v/>
      </c>
      <c r="BP378" s="6"/>
      <c r="BQ378" s="6"/>
      <c r="BR378" s="4" t="str">
        <f aca="false">IF(OR(BP378="",BQ378=""),"",IFERROR(IF($K378="%",BQ378-BP378,BQ378/BP378-1),""))</f>
        <v/>
      </c>
      <c r="BS378" s="5" t="str">
        <f aca="false">IF(OR(BP378="",BQ378=""),"",IF($F378="Maior Melhor",IF(BQ378&gt;=BP378,"Sim","Não"),IF(BQ378&lt;=BP378,"Sim","Não")))</f>
        <v/>
      </c>
      <c r="BT378" s="6"/>
      <c r="BU378" s="6"/>
      <c r="BV378" s="4" t="str">
        <f aca="false">IF(OR(BT378="",BU378=""),"",IFERROR(IF($K378="%",BU378-BT378,BU378/BT378-1),""))</f>
        <v/>
      </c>
      <c r="BW378" s="5" t="str">
        <f aca="false">IF(OR(BT378="",BU378=""),"",IF($F378="Maior Melhor",IF(BU378&gt;=BT378,"Sim","Não"),IF(BU378&lt;=BT378,"Sim","Não")))</f>
        <v/>
      </c>
      <c r="BX378" s="6"/>
      <c r="BY378" s="6"/>
      <c r="BZ378" s="4" t="str">
        <f aca="false">IF(OR(BX378="",BY378=""),"",IFERROR(IF($K378="%",BY378-BX378,BY378/BX378-1),""))</f>
        <v/>
      </c>
      <c r="CA378" s="5" t="str">
        <f aca="false">IF(OR(BX378="",BY378=""),"",IF($F378="Maior Melhor",IF(BY378&gt;=BX378,"Sim","Não"),IF(BY378&lt;=BX378,"Sim","Não")))</f>
        <v/>
      </c>
      <c r="CB378" s="6"/>
      <c r="CC378" s="6"/>
      <c r="CD378" s="4" t="str">
        <f aca="false">IF(OR(CB378="",CC378=""),"",IFERROR(IF($K378="%",CC378-CB378,CC378/CB378-1),""))</f>
        <v/>
      </c>
      <c r="CE378" s="5" t="str">
        <f aca="false">IF(OR(CB378="",CC378=""),"",IF($F378="Maior Melhor",IF(CC378&gt;=CB378,"Sim","Não"),IF(CC378&lt;=CB378,"Sim","Não")))</f>
        <v/>
      </c>
      <c r="CF378" s="6"/>
      <c r="CG378" s="6"/>
      <c r="CH378" s="4" t="str">
        <f aca="false">IF(OR(CF378="",CG378=""),"",IFERROR(IF($K378="%",CG378-CF378,CG378/CF378-1),""))</f>
        <v/>
      </c>
      <c r="CI378" s="5" t="str">
        <f aca="false">IF(OR(CF378="",CG378=""),"",IF($F378="Maior Melhor",IF(CG378&gt;=CF378,"Sim","Não"),IF(CG378&lt;=CF378,"Sim","Não")))</f>
        <v/>
      </c>
      <c r="CJ378" s="6"/>
      <c r="CK378" s="6"/>
      <c r="CL378" s="4" t="str">
        <f aca="false">IF(OR(CJ378="",CK378=""),"",IFERROR(IF($K378="%",CK378-CJ378,CK378/CJ378-1),""))</f>
        <v/>
      </c>
      <c r="CM378" s="5" t="str">
        <f aca="false">IF(OR(CJ378="",CK378=""),"",IF($F378="Maior Melhor",IF(CK378&gt;=CJ378,"Sim","Não"),IF(CK378&lt;=CJ378,"Sim","Não")))</f>
        <v/>
      </c>
      <c r="CN378" s="6"/>
      <c r="CO378" s="6"/>
      <c r="CP378" s="4" t="str">
        <f aca="false">IF(OR(CN378="",CO378=""),"",IFERROR(IF($K378="%",CO378-CN378,CO378/CN378-1),""))</f>
        <v/>
      </c>
      <c r="CQ378" s="5" t="str">
        <f aca="false">IF(OR(CN378="",CO378=""),"",IF($F378="Maior Melhor",IF(CO378&gt;=CN378,"Sim","Não"),IF(CO378&lt;=CN378,"Sim","Não")))</f>
        <v/>
      </c>
      <c r="CR378" s="2" t="s">
        <v>105</v>
      </c>
    </row>
    <row r="379" customFormat="false" ht="15" hidden="false" customHeight="false" outlineLevel="0" collapsed="false">
      <c r="A379" s="2" t="s">
        <v>144</v>
      </c>
      <c r="B379" s="2" t="s">
        <v>108</v>
      </c>
      <c r="C379" s="2" t="s">
        <v>131</v>
      </c>
      <c r="D379" s="2" t="s">
        <v>204</v>
      </c>
      <c r="E379" s="2" t="str">
        <f aca="false">C379&amp;D379</f>
        <v>UTD VITORIA DA CONQUISTATaxa de Contato PP</v>
      </c>
      <c r="F379" s="2" t="s">
        <v>100</v>
      </c>
      <c r="G379" s="2" t="s">
        <v>205</v>
      </c>
      <c r="H379" s="2" t="s">
        <v>102</v>
      </c>
      <c r="I379" s="2" t="s">
        <v>103</v>
      </c>
      <c r="J379" s="2" t="n">
        <v>3</v>
      </c>
      <c r="K379" s="2" t="s">
        <v>104</v>
      </c>
      <c r="L379" s="3" t="n">
        <v>1</v>
      </c>
      <c r="M379" s="3" t="n">
        <v>0.93</v>
      </c>
      <c r="N379" s="4" t="n">
        <f aca="false">IF(OR(L379="",M379=""),"",IFERROR(IF($K379="%",M379-L379,M379/L379-1),""))</f>
        <v>-0.07</v>
      </c>
      <c r="O379" s="5" t="str">
        <f aca="false">IF(OR(L379="",M379=""),"",IF($F379="Maior Melhor",IF(M379&gt;=L379,"Sim","Não"),IF(M379&lt;=L379,"Sim","Não")))</f>
        <v>Não</v>
      </c>
      <c r="P379" s="3" t="n">
        <v>1</v>
      </c>
      <c r="Q379" s="3" t="n">
        <v>1</v>
      </c>
      <c r="R379" s="4" t="n">
        <f aca="false">IF(OR(P379="",Q379=""),"",IFERROR(IF($K379="%",Q379-P379,Q379/P379-1),""))</f>
        <v>0</v>
      </c>
      <c r="S379" s="5" t="str">
        <f aca="false">IF(OR(P379="",Q379=""),"",IF($F379="Maior Melhor",IF(Q379&gt;=P379,"Sim","Não"),IF(Q379&lt;=P379,"Sim","Não")))</f>
        <v>Sim</v>
      </c>
      <c r="T379" s="3" t="n">
        <v>1</v>
      </c>
      <c r="U379" s="3" t="n">
        <v>1</v>
      </c>
      <c r="V379" s="4" t="n">
        <f aca="false">IF(OR(T379="",U379=""),"",IFERROR(IF($K379="%",U379-T379,U379/T379-1),""))</f>
        <v>0</v>
      </c>
      <c r="W379" s="5" t="str">
        <f aca="false">IF(OR(T379="",U379=""),"",IF($F379="Maior Melhor",IF(U379&gt;=T379,"Sim","Não"),IF(U379&lt;=T379,"Sim","Não")))</f>
        <v>Sim</v>
      </c>
      <c r="X379" s="3" t="n">
        <v>1</v>
      </c>
      <c r="Y379" s="3" t="n">
        <v>1</v>
      </c>
      <c r="Z379" s="4" t="n">
        <f aca="false">IF(OR(X379="",Y379=""),"",IFERROR(IF($K379="%",Y379-X379,Y379/X379-1),""))</f>
        <v>0</v>
      </c>
      <c r="AA379" s="5" t="str">
        <f aca="false">IF(OR(X379="",Y379=""),"",IF($F379="Maior Melhor",IF(Y379&gt;=X379,"Sim","Não"),IF(Y379&lt;=X379,"Sim","Não")))</f>
        <v>Sim</v>
      </c>
      <c r="AB379" s="3" t="n">
        <v>1</v>
      </c>
      <c r="AC379" s="3" t="n">
        <v>1</v>
      </c>
      <c r="AD379" s="4" t="n">
        <f aca="false">IF(OR(AB379="",AC379=""),"",IFERROR(IF($K379="%",AC379-AB379,AC379/AB379-1),""))</f>
        <v>0</v>
      </c>
      <c r="AE379" s="5" t="str">
        <f aca="false">IF(OR(AB379="",AC379=""),"",IF($F379="Maior Melhor",IF(AC379&gt;=AB379,"Sim","Não"),IF(AC379&lt;=AB379,"Sim","Não")))</f>
        <v>Sim</v>
      </c>
      <c r="AF379" s="3" t="n">
        <v>1</v>
      </c>
      <c r="AG379" s="3" t="n">
        <v>1</v>
      </c>
      <c r="AH379" s="4" t="n">
        <f aca="false">IF(OR(AF379="",AG379=""),"",IFERROR(IF($K379="%",AG379-AF379,AG379/AF379-1),""))</f>
        <v>0</v>
      </c>
      <c r="AI379" s="5" t="str">
        <f aca="false">IF(OR(AF379="",AG379=""),"",IF($F379="Maior Melhor",IF(AG379&gt;=AF379,"Sim","Não"),IF(AG379&lt;=AF379,"Sim","Não")))</f>
        <v>Sim</v>
      </c>
      <c r="AJ379" s="3" t="n">
        <v>1</v>
      </c>
      <c r="AK379" s="3" t="n">
        <v>1</v>
      </c>
      <c r="AL379" s="4" t="n">
        <f aca="false">IF(OR(AJ379="",AK379=""),"",IFERROR(IF($K379="%",AK379-AJ379,AK379/AJ379-1),""))</f>
        <v>0</v>
      </c>
      <c r="AM379" s="5" t="str">
        <f aca="false">IF(OR(AJ379="",AK379=""),"",IF($F379="Maior Melhor",IF(AK379&gt;=AJ379,"Sim","Não"),IF(AK379&lt;=AJ379,"Sim","Não")))</f>
        <v>Sim</v>
      </c>
      <c r="AN379" s="3" t="n">
        <v>1</v>
      </c>
      <c r="AO379" s="3" t="n">
        <v>1</v>
      </c>
      <c r="AP379" s="4" t="n">
        <f aca="false">IF(OR(AN379="",AO379=""),"",IFERROR(IF($K379="%",AO379-AN379,AO379/AN379-1),""))</f>
        <v>0</v>
      </c>
      <c r="AQ379" s="5" t="str">
        <f aca="false">IF(OR(AN379="",AO379=""),"",IF($F379="Maior Melhor",IF(AO379&gt;=AN379,"Sim","Não"),IF(AO379&lt;=AN379,"Sim","Não")))</f>
        <v>Sim</v>
      </c>
      <c r="AR379" s="3" t="n">
        <v>1</v>
      </c>
      <c r="AS379" s="3" t="n">
        <v>1</v>
      </c>
      <c r="AT379" s="4" t="n">
        <f aca="false">IF(OR(AR379="",AS379=""),"",IFERROR(IF($K379="%",AS379-AR379,AS379/AR379-1),""))</f>
        <v>0</v>
      </c>
      <c r="AU379" s="5" t="str">
        <f aca="false">IF(OR(AR379="",AS379=""),"",IF($F379="Maior Melhor",IF(AS379&gt;=AR379,"Sim","Não"),IF(AS379&lt;=AR379,"Sim","Não")))</f>
        <v>Sim</v>
      </c>
      <c r="AV379" s="3" t="n">
        <v>1</v>
      </c>
      <c r="AW379" s="3" t="n">
        <v>1</v>
      </c>
      <c r="AX379" s="4" t="n">
        <f aca="false">IF(OR(AV379="",AW379=""),"",IFERROR(IF($K379="%",AW379-AV379,AW379/AV379-1),""))</f>
        <v>0</v>
      </c>
      <c r="AY379" s="5" t="str">
        <f aca="false">IF(OR(AV379="",AW379=""),"",IF($F379="Maior Melhor",IF(AW379&gt;=AV379,"Sim","Não"),IF(AW379&lt;=AV379,"Sim","Não")))</f>
        <v>Sim</v>
      </c>
      <c r="AZ379" s="3" t="n">
        <v>1</v>
      </c>
      <c r="BA379" s="3" t="n">
        <v>1</v>
      </c>
      <c r="BB379" s="4" t="n">
        <f aca="false">IF(OR(AZ379="",BA379=""),"",IFERROR(IF($K379="%",BA379-AZ379,BA379/AZ379-1),""))</f>
        <v>0</v>
      </c>
      <c r="BC379" s="5" t="str">
        <f aca="false">IF(OR(AZ379="",BA379=""),"",IF($F379="Maior Melhor",IF(BA379&gt;=AZ379,"Sim","Não"),IF(BA379&lt;=AZ379,"Sim","Não")))</f>
        <v>Sim</v>
      </c>
      <c r="BD379" s="3" t="n">
        <v>1</v>
      </c>
      <c r="BE379" s="3" t="n">
        <v>1</v>
      </c>
      <c r="BF379" s="4" t="n">
        <f aca="false">IF(OR(BD379="",BE379=""),"",IFERROR(IF($K379="%",BE379-BD379,BE379/BD379-1),""))</f>
        <v>0</v>
      </c>
      <c r="BG379" s="5" t="str">
        <f aca="false">IF(OR(BD379="",BE379=""),"",IF($F379="Maior Melhor",IF(BE379&gt;=BD379,"Sim","Não"),IF(BE379&lt;=BD379,"Sim","Não")))</f>
        <v>Sim</v>
      </c>
      <c r="BH379" s="3" t="n">
        <v>1</v>
      </c>
      <c r="BI379" s="3" t="n">
        <v>1</v>
      </c>
      <c r="BJ379" s="4" t="n">
        <f aca="false">IF(OR(BH379="",BI379=""),"",IFERROR(IF($K379="%",BI379-BH379,BI379/BH379-1),""))</f>
        <v>0</v>
      </c>
      <c r="BK379" s="5" t="str">
        <f aca="false">IF(OR(BH379="",BI379=""),"",IF($F379="Maior Melhor",IF(BI379&gt;=BH379,"Sim","Não"),IF(BI379&lt;=BH379,"Sim","Não")))</f>
        <v>Sim</v>
      </c>
      <c r="BL379" s="6"/>
      <c r="BM379" s="6"/>
      <c r="BN379" s="4" t="str">
        <f aca="false">IF(OR(BL379="",BM379=""),"",IFERROR(IF($K379="%",BM379-BL379,BM379/BL379-1),""))</f>
        <v/>
      </c>
      <c r="BO379" s="5" t="str">
        <f aca="false">IF(OR(BL379="",BM379=""),"",IF($F379="Maior Melhor",IF(BM379&gt;=BL379,"Sim","Não"),IF(BM379&lt;=BL379,"Sim","Não")))</f>
        <v/>
      </c>
      <c r="BP379" s="6"/>
      <c r="BQ379" s="6"/>
      <c r="BR379" s="4" t="str">
        <f aca="false">IF(OR(BP379="",BQ379=""),"",IFERROR(IF($K379="%",BQ379-BP379,BQ379/BP379-1),""))</f>
        <v/>
      </c>
      <c r="BS379" s="5" t="str">
        <f aca="false">IF(OR(BP379="",BQ379=""),"",IF($F379="Maior Melhor",IF(BQ379&gt;=BP379,"Sim","Não"),IF(BQ379&lt;=BP379,"Sim","Não")))</f>
        <v/>
      </c>
      <c r="BT379" s="6"/>
      <c r="BU379" s="6"/>
      <c r="BV379" s="4" t="str">
        <f aca="false">IF(OR(BT379="",BU379=""),"",IFERROR(IF($K379="%",BU379-BT379,BU379/BT379-1),""))</f>
        <v/>
      </c>
      <c r="BW379" s="5" t="str">
        <f aca="false">IF(OR(BT379="",BU379=""),"",IF($F379="Maior Melhor",IF(BU379&gt;=BT379,"Sim","Não"),IF(BU379&lt;=BT379,"Sim","Não")))</f>
        <v/>
      </c>
      <c r="BX379" s="6"/>
      <c r="BY379" s="6"/>
      <c r="BZ379" s="4" t="str">
        <f aca="false">IF(OR(BX379="",BY379=""),"",IFERROR(IF($K379="%",BY379-BX379,BY379/BX379-1),""))</f>
        <v/>
      </c>
      <c r="CA379" s="5" t="str">
        <f aca="false">IF(OR(BX379="",BY379=""),"",IF($F379="Maior Melhor",IF(BY379&gt;=BX379,"Sim","Não"),IF(BY379&lt;=BX379,"Sim","Não")))</f>
        <v/>
      </c>
      <c r="CB379" s="6"/>
      <c r="CC379" s="6"/>
      <c r="CD379" s="4" t="str">
        <f aca="false">IF(OR(CB379="",CC379=""),"",IFERROR(IF($K379="%",CC379-CB379,CC379/CB379-1),""))</f>
        <v/>
      </c>
      <c r="CE379" s="5" t="str">
        <f aca="false">IF(OR(CB379="",CC379=""),"",IF($F379="Maior Melhor",IF(CC379&gt;=CB379,"Sim","Não"),IF(CC379&lt;=CB379,"Sim","Não")))</f>
        <v/>
      </c>
      <c r="CF379" s="6"/>
      <c r="CG379" s="6"/>
      <c r="CH379" s="4" t="str">
        <f aca="false">IF(OR(CF379="",CG379=""),"",IFERROR(IF($K379="%",CG379-CF379,CG379/CF379-1),""))</f>
        <v/>
      </c>
      <c r="CI379" s="5" t="str">
        <f aca="false">IF(OR(CF379="",CG379=""),"",IF($F379="Maior Melhor",IF(CG379&gt;=CF379,"Sim","Não"),IF(CG379&lt;=CF379,"Sim","Não")))</f>
        <v/>
      </c>
      <c r="CJ379" s="6"/>
      <c r="CK379" s="6"/>
      <c r="CL379" s="4" t="str">
        <f aca="false">IF(OR(CJ379="",CK379=""),"",IFERROR(IF($K379="%",CK379-CJ379,CK379/CJ379-1),""))</f>
        <v/>
      </c>
      <c r="CM379" s="5" t="str">
        <f aca="false">IF(OR(CJ379="",CK379=""),"",IF($F379="Maior Melhor",IF(CK379&gt;=CJ379,"Sim","Não"),IF(CK379&lt;=CJ379,"Sim","Não")))</f>
        <v/>
      </c>
      <c r="CN379" s="6"/>
      <c r="CO379" s="6"/>
      <c r="CP379" s="4" t="str">
        <f aca="false">IF(OR(CN379="",CO379=""),"",IFERROR(IF($K379="%",CO379-CN379,CO379/CN379-1),""))</f>
        <v/>
      </c>
      <c r="CQ379" s="5" t="str">
        <f aca="false">IF(OR(CN379="",CO379=""),"",IF($F379="Maior Melhor",IF(CO379&gt;=CN379,"Sim","Não"),IF(CO379&lt;=CN379,"Sim","Não")))</f>
        <v/>
      </c>
      <c r="CR379" s="2" t="s">
        <v>105</v>
      </c>
    </row>
    <row r="380" customFormat="false" ht="15" hidden="false" customHeight="false" outlineLevel="0" collapsed="false">
      <c r="A380" s="2" t="s">
        <v>96</v>
      </c>
      <c r="B380" s="2" t="s">
        <v>97</v>
      </c>
      <c r="C380" s="2" t="s">
        <v>98</v>
      </c>
      <c r="D380" s="2" t="s">
        <v>206</v>
      </c>
      <c r="E380" s="2" t="str">
        <f aca="false">C380&amp;D380</f>
        <v>Gerência Centro OesteTMAE</v>
      </c>
      <c r="F380" s="2" t="s">
        <v>167</v>
      </c>
      <c r="G380" s="2" t="s">
        <v>207</v>
      </c>
      <c r="H380" s="2" t="s">
        <v>102</v>
      </c>
      <c r="I380" s="2" t="s">
        <v>169</v>
      </c>
      <c r="J380" s="2" t="n">
        <v>3</v>
      </c>
      <c r="K380" s="2" t="s">
        <v>191</v>
      </c>
      <c r="L380" s="11" t="n">
        <v>604.24</v>
      </c>
      <c r="M380" s="11" t="n">
        <v>684.21</v>
      </c>
      <c r="N380" s="4" t="n">
        <f aca="false">IF(OR(L380="",M380=""),"",IFERROR(IF($K380="%",M380-L380,M380/L380-1),""))</f>
        <v>0.132348073613134</v>
      </c>
      <c r="O380" s="5" t="str">
        <f aca="false">IF(OR(L380="",M380=""),"",IF($F380="Maior Melhor",IF(M380&gt;=L380,"Sim","Não"),IF(M380&lt;=L380,"Sim","Não")))</f>
        <v>Não</v>
      </c>
      <c r="P380" s="11" t="n">
        <v>510.17</v>
      </c>
      <c r="Q380" s="11" t="n">
        <v>752.69</v>
      </c>
      <c r="R380" s="4" t="n">
        <f aca="false">IF(OR(P380="",Q380=""),"",IFERROR(IF($K380="%",Q380-P380,Q380/P380-1),""))</f>
        <v>0.475370954779779</v>
      </c>
      <c r="S380" s="5" t="str">
        <f aca="false">IF(OR(P380="",Q380=""),"",IF($F380="Maior Melhor",IF(Q380&gt;=P380,"Sim","Não"),IF(Q380&lt;=P380,"Sim","Não")))</f>
        <v>Não</v>
      </c>
      <c r="T380" s="11" t="n">
        <v>441.06</v>
      </c>
      <c r="U380" s="11" t="n">
        <v>742.63</v>
      </c>
      <c r="V380" s="4" t="n">
        <f aca="false">IF(OR(T380="",U380=""),"",IFERROR(IF($K380="%",U380-T380,U380/T380-1),""))</f>
        <v>0.683739173808552</v>
      </c>
      <c r="W380" s="5" t="str">
        <f aca="false">IF(OR(T380="",U380=""),"",IF($F380="Maior Melhor",IF(U380&gt;=T380,"Sim","Não"),IF(U380&lt;=T380,"Sim","Não")))</f>
        <v>Não</v>
      </c>
      <c r="X380" s="11" t="n">
        <v>437.14</v>
      </c>
      <c r="Y380" s="11" t="n">
        <v>460.48</v>
      </c>
      <c r="Z380" s="4" t="n">
        <f aca="false">IF(OR(X380="",Y380=""),"",IFERROR(IF($K380="%",Y380-X380,Y380/X380-1),""))</f>
        <v>0.0533925058333715</v>
      </c>
      <c r="AA380" s="5" t="str">
        <f aca="false">IF(OR(X380="",Y380=""),"",IF($F380="Maior Melhor",IF(Y380&gt;=X380,"Sim","Não"),IF(Y380&lt;=X380,"Sim","Não")))</f>
        <v>Não</v>
      </c>
      <c r="AB380" s="11" t="n">
        <v>505.85</v>
      </c>
      <c r="AC380" s="11" t="n">
        <v>675.42</v>
      </c>
      <c r="AD380" s="4" t="n">
        <f aca="false">IF(OR(AB380="",AC380=""),"",IFERROR(IF($K380="%",AC380-AB380,AC380/AB380-1),""))</f>
        <v>0.335217949985173</v>
      </c>
      <c r="AE380" s="5" t="str">
        <f aca="false">IF(OR(AB380="",AC380=""),"",IF($F380="Maior Melhor",IF(AC380&gt;=AB380,"Sim","Não"),IF(AC380&lt;=AB380,"Sim","Não")))</f>
        <v>Não</v>
      </c>
      <c r="AF380" s="11" t="n">
        <v>421.38</v>
      </c>
      <c r="AG380" s="11" t="n">
        <v>438.13</v>
      </c>
      <c r="AH380" s="4" t="n">
        <f aca="false">IF(OR(AF380="",AG380=""),"",IFERROR(IF($K380="%",AG380-AF380,AG380/AF380-1),""))</f>
        <v>0.0397503441074565</v>
      </c>
      <c r="AI380" s="5" t="str">
        <f aca="false">IF(OR(AF380="",AG380=""),"",IF($F380="Maior Melhor",IF(AG380&gt;=AF380,"Sim","Não"),IF(AG380&lt;=AF380,"Sim","Não")))</f>
        <v>Não</v>
      </c>
      <c r="AJ380" s="11" t="n">
        <v>490.14</v>
      </c>
      <c r="AK380" s="11" t="n">
        <v>636.71</v>
      </c>
      <c r="AL380" s="4" t="n">
        <f aca="false">IF(OR(AJ380="",AK380=""),"",IFERROR(IF($K380="%",AK380-AJ380,AK380/AJ380-1),""))</f>
        <v>0.299037009833925</v>
      </c>
      <c r="AM380" s="5" t="str">
        <f aca="false">IF(OR(AJ380="",AK380=""),"",IF($F380="Maior Melhor",IF(AK380&gt;=AJ380,"Sim","Não"),IF(AK380&lt;=AJ380,"Sim","Não")))</f>
        <v>Não</v>
      </c>
      <c r="AN380" s="11" t="n">
        <v>436.06</v>
      </c>
      <c r="AO380" s="11" t="n">
        <v>452.71</v>
      </c>
      <c r="AP380" s="4" t="n">
        <f aca="false">IF(OR(AN380="",AO380=""),"",IFERROR(IF($K380="%",AO380-AN380,AO380/AN380-1),""))</f>
        <v>0.0381828188781359</v>
      </c>
      <c r="AQ380" s="5" t="str">
        <f aca="false">IF(OR(AN380="",AO380=""),"",IF($F380="Maior Melhor",IF(AO380&gt;=AN380,"Sim","Não"),IF(AO380&lt;=AN380,"Sim","Não")))</f>
        <v>Não</v>
      </c>
      <c r="AR380" s="11" t="n">
        <v>482.78</v>
      </c>
      <c r="AS380" s="11" t="n">
        <v>610.82</v>
      </c>
      <c r="AT380" s="4" t="n">
        <f aca="false">IF(OR(AR380="",AS380=""),"",IFERROR(IF($K380="%",AS380-AR380,AS380/AR380-1),""))</f>
        <v>0.265213969095655</v>
      </c>
      <c r="AU380" s="5" t="str">
        <f aca="false">IF(OR(AR380="",AS380=""),"",IF($F380="Maior Melhor",IF(AS380&gt;=AR380,"Sim","Não"),IF(AS380&lt;=AR380,"Sim","Não")))</f>
        <v>Não</v>
      </c>
      <c r="AV380" s="11" t="n">
        <v>417.18</v>
      </c>
      <c r="AW380" s="11" t="n">
        <v>402.83</v>
      </c>
      <c r="AX380" s="4" t="n">
        <f aca="false">IF(OR(AV380="",AW380=""),"",IFERROR(IF($K380="%",AW380-AV380,AW380/AV380-1),""))</f>
        <v>-0.0343976221295365</v>
      </c>
      <c r="AY380" s="5" t="str">
        <f aca="false">IF(OR(AV380="",AW380=""),"",IF($F380="Maior Melhor",IF(AW380&gt;=AV380,"Sim","Não"),IF(AW380&lt;=AV380,"Sim","Não")))</f>
        <v>Sim</v>
      </c>
      <c r="AZ380" s="11" t="n">
        <v>474.9</v>
      </c>
      <c r="BA380" s="11" t="n">
        <v>585.2</v>
      </c>
      <c r="BB380" s="4" t="n">
        <f aca="false">IF(OR(AZ380="",BA380=""),"",IFERROR(IF($K380="%",BA380-AZ380,BA380/AZ380-1),""))</f>
        <v>0.232259423036429</v>
      </c>
      <c r="BC380" s="5" t="str">
        <f aca="false">IF(OR(AZ380="",BA380=""),"",IF($F380="Maior Melhor",IF(BA380&gt;=AZ380,"Sim","Não"),IF(BA380&lt;=AZ380,"Sim","Não")))</f>
        <v>Não</v>
      </c>
      <c r="BD380" s="11" t="n">
        <v>389.9</v>
      </c>
      <c r="BE380" s="11" t="n">
        <v>389.9</v>
      </c>
      <c r="BF380" s="4" t="n">
        <f aca="false">IF(OR(BD380="",BE380=""),"",IFERROR(IF($K380="%",BE380-BD380,BE380/BD380-1),""))</f>
        <v>0</v>
      </c>
      <c r="BG380" s="5" t="str">
        <f aca="false">IF(OR(BD380="",BE380=""),"",IF($F380="Maior Melhor",IF(BE380&gt;=BD380,"Sim","Não"),IF(BE380&lt;=BD380,"Sim","Não")))</f>
        <v>Sim</v>
      </c>
      <c r="BH380" s="11" t="n">
        <v>565.59</v>
      </c>
      <c r="BI380" s="11" t="n">
        <v>564.4</v>
      </c>
      <c r="BJ380" s="4" t="n">
        <f aca="false">IF(OR(BH380="",BI380=""),"",IFERROR(IF($K380="%",BI380-BH380,BI380/BH380-1),""))</f>
        <v>-0.00210399759543145</v>
      </c>
      <c r="BK380" s="5" t="str">
        <f aca="false">IF(OR(BH380="",BI380=""),"",IF($F380="Maior Melhor",IF(BI380&gt;=BH380,"Sim","Não"),IF(BI380&lt;=BH380,"Sim","Não")))</f>
        <v>Sim</v>
      </c>
      <c r="BL380" s="12"/>
      <c r="BM380" s="12"/>
      <c r="BN380" s="4" t="str">
        <f aca="false">IF(OR(BL380="",BM380=""),"",IFERROR(IF($K380="%",BM380-BL380,BM380/BL380-1),""))</f>
        <v/>
      </c>
      <c r="BO380" s="5" t="str">
        <f aca="false">IF(OR(BL380="",BM380=""),"",IF($F380="Maior Melhor",IF(BM380&gt;=BL380,"Sim","Não"),IF(BM380&lt;=BL380,"Sim","Não")))</f>
        <v/>
      </c>
      <c r="BP380" s="12"/>
      <c r="BQ380" s="12"/>
      <c r="BR380" s="4" t="str">
        <f aca="false">IF(OR(BP380="",BQ380=""),"",IFERROR(IF($K380="%",BQ380-BP380,BQ380/BP380-1),""))</f>
        <v/>
      </c>
      <c r="BS380" s="5" t="str">
        <f aca="false">IF(OR(BP380="",BQ380=""),"",IF($F380="Maior Melhor",IF(BQ380&gt;=BP380,"Sim","Não"),IF(BQ380&lt;=BP380,"Sim","Não")))</f>
        <v/>
      </c>
      <c r="BT380" s="12"/>
      <c r="BU380" s="12"/>
      <c r="BV380" s="4" t="str">
        <f aca="false">IF(OR(BT380="",BU380=""),"",IFERROR(IF($K380="%",BU380-BT380,BU380/BT380-1),""))</f>
        <v/>
      </c>
      <c r="BW380" s="5" t="str">
        <f aca="false">IF(OR(BT380="",BU380=""),"",IF($F380="Maior Melhor",IF(BU380&gt;=BT380,"Sim","Não"),IF(BU380&lt;=BT380,"Sim","Não")))</f>
        <v/>
      </c>
      <c r="BX380" s="12"/>
      <c r="BY380" s="12"/>
      <c r="BZ380" s="4" t="str">
        <f aca="false">IF(OR(BX380="",BY380=""),"",IFERROR(IF($K380="%",BY380-BX380,BY380/BX380-1),""))</f>
        <v/>
      </c>
      <c r="CA380" s="5" t="str">
        <f aca="false">IF(OR(BX380="",BY380=""),"",IF($F380="Maior Melhor",IF(BY380&gt;=BX380,"Sim","Não"),IF(BY380&lt;=BX380,"Sim","Não")))</f>
        <v/>
      </c>
      <c r="CB380" s="12"/>
      <c r="CC380" s="12"/>
      <c r="CD380" s="4" t="str">
        <f aca="false">IF(OR(CB380="",CC380=""),"",IFERROR(IF($K380="%",CC380-CB380,CC380/CB380-1),""))</f>
        <v/>
      </c>
      <c r="CE380" s="5" t="str">
        <f aca="false">IF(OR(CB380="",CC380=""),"",IF($F380="Maior Melhor",IF(CC380&gt;=CB380,"Sim","Não"),IF(CC380&lt;=CB380,"Sim","Não")))</f>
        <v/>
      </c>
      <c r="CF380" s="12"/>
      <c r="CG380" s="12"/>
      <c r="CH380" s="4" t="str">
        <f aca="false">IF(OR(CF380="",CG380=""),"",IFERROR(IF($K380="%",CG380-CF380,CG380/CF380-1),""))</f>
        <v/>
      </c>
      <c r="CI380" s="5" t="str">
        <f aca="false">IF(OR(CF380="",CG380=""),"",IF($F380="Maior Melhor",IF(CG380&gt;=CF380,"Sim","Não"),IF(CG380&lt;=CF380,"Sim","Não")))</f>
        <v/>
      </c>
      <c r="CJ380" s="12"/>
      <c r="CK380" s="12"/>
      <c r="CL380" s="4" t="str">
        <f aca="false">IF(OR(CJ380="",CK380=""),"",IFERROR(IF($K380="%",CK380-CJ380,CK380/CJ380-1),""))</f>
        <v/>
      </c>
      <c r="CM380" s="5" t="str">
        <f aca="false">IF(OR(CJ380="",CK380=""),"",IF($F380="Maior Melhor",IF(CK380&gt;=CJ380,"Sim","Não"),IF(CK380&lt;=CJ380,"Sim","Não")))</f>
        <v/>
      </c>
      <c r="CN380" s="12"/>
      <c r="CO380" s="12"/>
      <c r="CP380" s="4" t="str">
        <f aca="false">IF(OR(CN380="",CO380=""),"",IFERROR(IF($K380="%",CO380-CN380,CO380/CN380-1),""))</f>
        <v/>
      </c>
      <c r="CQ380" s="5" t="str">
        <f aca="false">IF(OR(CN380="",CO380=""),"",IF($F380="Maior Melhor",IF(CO380&gt;=CN380,"Sim","Não"),IF(CO380&lt;=CN380,"Sim","Não")))</f>
        <v/>
      </c>
      <c r="CR380" s="2" t="s">
        <v>105</v>
      </c>
    </row>
    <row r="381" customFormat="false" ht="15" hidden="false" customHeight="false" outlineLevel="0" collapsed="false">
      <c r="A381" s="2" t="s">
        <v>96</v>
      </c>
      <c r="B381" s="2" t="s">
        <v>106</v>
      </c>
      <c r="C381" s="2" t="s">
        <v>107</v>
      </c>
      <c r="D381" s="2" t="s">
        <v>206</v>
      </c>
      <c r="E381" s="2" t="str">
        <f aca="false">C381&amp;D381</f>
        <v>Gerência OesteTMAE</v>
      </c>
      <c r="F381" s="2" t="s">
        <v>167</v>
      </c>
      <c r="G381" s="2" t="s">
        <v>207</v>
      </c>
      <c r="H381" s="2" t="s">
        <v>102</v>
      </c>
      <c r="I381" s="2" t="s">
        <v>169</v>
      </c>
      <c r="J381" s="2" t="n">
        <v>3</v>
      </c>
      <c r="K381" s="2" t="s">
        <v>191</v>
      </c>
      <c r="L381" s="11" t="n">
        <v>800.3</v>
      </c>
      <c r="M381" s="11" t="n">
        <v>814.6</v>
      </c>
      <c r="N381" s="4" t="n">
        <f aca="false">IF(OR(L381="",M381=""),"",IFERROR(IF($K381="%",M381-L381,M381/L381-1),""))</f>
        <v>0.0178682993877297</v>
      </c>
      <c r="O381" s="5" t="str">
        <f aca="false">IF(OR(L381="",M381=""),"",IF($F381="Maior Melhor",IF(M381&gt;=L381,"Sim","Não"),IF(M381&lt;=L381,"Sim","Não")))</f>
        <v>Não</v>
      </c>
      <c r="P381" s="11" t="n">
        <v>604.39</v>
      </c>
      <c r="Q381" s="11" t="n">
        <v>920.75</v>
      </c>
      <c r="R381" s="4" t="n">
        <f aca="false">IF(OR(P381="",Q381=""),"",IFERROR(IF($K381="%",Q381-P381,Q381/P381-1),""))</f>
        <v>0.523436853687189</v>
      </c>
      <c r="S381" s="5" t="str">
        <f aca="false">IF(OR(P381="",Q381=""),"",IF($F381="Maior Melhor",IF(Q381&gt;=P381,"Sim","Não"),IF(Q381&lt;=P381,"Sim","Não")))</f>
        <v>Não</v>
      </c>
      <c r="T381" s="11" t="n">
        <v>620.04</v>
      </c>
      <c r="U381" s="11" t="n">
        <v>805.97</v>
      </c>
      <c r="V381" s="4" t="n">
        <f aca="false">IF(OR(T381="",U381=""),"",IFERROR(IF($K381="%",U381-T381,U381/T381-1),""))</f>
        <v>0.299867750467712</v>
      </c>
      <c r="W381" s="5" t="str">
        <f aca="false">IF(OR(T381="",U381=""),"",IF($F381="Maior Melhor",IF(U381&gt;=T381,"Sim","Não"),IF(U381&lt;=T381,"Sim","Não")))</f>
        <v>Não</v>
      </c>
      <c r="X381" s="11" t="n">
        <v>577.58</v>
      </c>
      <c r="Y381" s="11" t="n">
        <v>609.61</v>
      </c>
      <c r="Z381" s="4" t="n">
        <f aca="false">IF(OR(X381="",Y381=""),"",IFERROR(IF($K381="%",Y381-X381,Y381/X381-1),""))</f>
        <v>0.0554555213130648</v>
      </c>
      <c r="AA381" s="5" t="str">
        <f aca="false">IF(OR(X381="",Y381=""),"",IF($F381="Maior Melhor",IF(Y381&gt;=X381,"Sim","Não"),IF(Y381&lt;=X381,"Sim","Não")))</f>
        <v>Não</v>
      </c>
      <c r="AB381" s="11" t="n">
        <v>661.8</v>
      </c>
      <c r="AC381" s="11" t="n">
        <v>795.09</v>
      </c>
      <c r="AD381" s="4" t="n">
        <f aca="false">IF(OR(AB381="",AC381=""),"",IFERROR(IF($K381="%",AC381-AB381,AC381/AB381-1),""))</f>
        <v>0.20140525838622</v>
      </c>
      <c r="AE381" s="5" t="str">
        <f aca="false">IF(OR(AB381="",AC381=""),"",IF($F381="Maior Melhor",IF(AC381&gt;=AB381,"Sim","Não"),IF(AC381&lt;=AB381,"Sim","Não")))</f>
        <v>Não</v>
      </c>
      <c r="AF381" s="11" t="n">
        <v>457.83</v>
      </c>
      <c r="AG381" s="11" t="n">
        <v>489.59</v>
      </c>
      <c r="AH381" s="4" t="n">
        <f aca="false">IF(OR(AF381="",AG381=""),"",IFERROR(IF($K381="%",AG381-AF381,AG381/AF381-1),""))</f>
        <v>0.0693707271257891</v>
      </c>
      <c r="AI381" s="5" t="str">
        <f aca="false">IF(OR(AF381="",AG381=""),"",IF($F381="Maior Melhor",IF(AG381&gt;=AF381,"Sim","Não"),IF(AG381&lt;=AF381,"Sim","Não")))</f>
        <v>Não</v>
      </c>
      <c r="AJ381" s="11" t="n">
        <v>619.76</v>
      </c>
      <c r="AK381" s="11" t="n">
        <v>745.17</v>
      </c>
      <c r="AL381" s="4" t="n">
        <f aca="false">IF(OR(AJ381="",AK381=""),"",IFERROR(IF($K381="%",AK381-AJ381,AK381/AJ381-1),""))</f>
        <v>0.202352523557506</v>
      </c>
      <c r="AM381" s="5" t="str">
        <f aca="false">IF(OR(AJ381="",AK381=""),"",IF($F381="Maior Melhor",IF(AK381&gt;=AJ381,"Sim","Não"),IF(AK381&lt;=AJ381,"Sim","Não")))</f>
        <v>Não</v>
      </c>
      <c r="AN381" s="11" t="n">
        <v>447.57</v>
      </c>
      <c r="AO381" s="11" t="n">
        <v>431.55</v>
      </c>
      <c r="AP381" s="4" t="n">
        <f aca="false">IF(OR(AN381="",AO381=""),"",IFERROR(IF($K381="%",AO381-AN381,AO381/AN381-1),""))</f>
        <v>-0.0357932837321536</v>
      </c>
      <c r="AQ381" s="5" t="str">
        <f aca="false">IF(OR(AN381="",AO381=""),"",IF($F381="Maior Melhor",IF(AO381&gt;=AN381,"Sim","Não"),IF(AO381&lt;=AN381,"Sim","Não")))</f>
        <v>Sim</v>
      </c>
      <c r="AR381" s="11" t="n">
        <v>595</v>
      </c>
      <c r="AS381" s="11" t="n">
        <v>703.49</v>
      </c>
      <c r="AT381" s="4" t="n">
        <f aca="false">IF(OR(AR381="",AS381=""),"",IFERROR(IF($K381="%",AS381-AR381,AS381/AR381-1),""))</f>
        <v>0.182336134453782</v>
      </c>
      <c r="AU381" s="5" t="str">
        <f aca="false">IF(OR(AR381="",AS381=""),"",IF($F381="Maior Melhor",IF(AS381&gt;=AR381,"Sim","Não"),IF(AS381&lt;=AR381,"Sim","Não")))</f>
        <v>Não</v>
      </c>
      <c r="AV381" s="11" t="n">
        <v>424.95</v>
      </c>
      <c r="AW381" s="11" t="n">
        <v>401.59</v>
      </c>
      <c r="AX381" s="4" t="n">
        <f aca="false">IF(OR(AV381="",AW381=""),"",IFERROR(IF($K381="%",AW381-AV381,AW381/AV381-1),""))</f>
        <v>-0.0549711730791859</v>
      </c>
      <c r="AY381" s="5" t="str">
        <f aca="false">IF(OR(AV381="",AW381=""),"",IF($F381="Maior Melhor",IF(AW381&gt;=AV381,"Sim","Não"),IF(AW381&lt;=AV381,"Sim","Não")))</f>
        <v>Sim</v>
      </c>
      <c r="AZ381" s="11" t="n">
        <v>573.22</v>
      </c>
      <c r="BA381" s="11" t="n">
        <v>668.63</v>
      </c>
      <c r="BB381" s="4" t="n">
        <f aca="false">IF(OR(AZ381="",BA381=""),"",IFERROR(IF($K381="%",BA381-AZ381,BA381/AZ381-1),""))</f>
        <v>0.166445692753219</v>
      </c>
      <c r="BC381" s="5" t="str">
        <f aca="false">IF(OR(AZ381="",BA381=""),"",IF($F381="Maior Melhor",IF(BA381&gt;=AZ381,"Sim","Não"),IF(BA381&lt;=AZ381,"Sim","Não")))</f>
        <v>Não</v>
      </c>
      <c r="BD381" s="11" t="n">
        <v>504.81</v>
      </c>
      <c r="BE381" s="11" t="n">
        <v>504.81</v>
      </c>
      <c r="BF381" s="4" t="n">
        <f aca="false">IF(OR(BD381="",BE381=""),"",IFERROR(IF($K381="%",BE381-BD381,BE381/BD381-1),""))</f>
        <v>0</v>
      </c>
      <c r="BG381" s="5" t="str">
        <f aca="false">IF(OR(BD381="",BE381=""),"",IF($F381="Maior Melhor",IF(BE381&gt;=BD381,"Sim","Não"),IF(BE381&lt;=BD381,"Sim","Não")))</f>
        <v>Sim</v>
      </c>
      <c r="BH381" s="11" t="n">
        <v>651.08</v>
      </c>
      <c r="BI381" s="11" t="n">
        <v>650.27</v>
      </c>
      <c r="BJ381" s="4" t="n">
        <f aca="false">IF(OR(BH381="",BI381=""),"",IFERROR(IF($K381="%",BI381-BH381,BI381/BH381-1),""))</f>
        <v>-0.00124408674817234</v>
      </c>
      <c r="BK381" s="5" t="str">
        <f aca="false">IF(OR(BH381="",BI381=""),"",IF($F381="Maior Melhor",IF(BI381&gt;=BH381,"Sim","Não"),IF(BI381&lt;=BH381,"Sim","Não")))</f>
        <v>Sim</v>
      </c>
      <c r="BL381" s="12"/>
      <c r="BM381" s="12"/>
      <c r="BN381" s="4" t="str">
        <f aca="false">IF(OR(BL381="",BM381=""),"",IFERROR(IF($K381="%",BM381-BL381,BM381/BL381-1),""))</f>
        <v/>
      </c>
      <c r="BO381" s="5" t="str">
        <f aca="false">IF(OR(BL381="",BM381=""),"",IF($F381="Maior Melhor",IF(BM381&gt;=BL381,"Sim","Não"),IF(BM381&lt;=BL381,"Sim","Não")))</f>
        <v/>
      </c>
      <c r="BP381" s="12"/>
      <c r="BQ381" s="12"/>
      <c r="BR381" s="4" t="str">
        <f aca="false">IF(OR(BP381="",BQ381=""),"",IFERROR(IF($K381="%",BQ381-BP381,BQ381/BP381-1),""))</f>
        <v/>
      </c>
      <c r="BS381" s="5" t="str">
        <f aca="false">IF(OR(BP381="",BQ381=""),"",IF($F381="Maior Melhor",IF(BQ381&gt;=BP381,"Sim","Não"),IF(BQ381&lt;=BP381,"Sim","Não")))</f>
        <v/>
      </c>
      <c r="BT381" s="12"/>
      <c r="BU381" s="12"/>
      <c r="BV381" s="4" t="str">
        <f aca="false">IF(OR(BT381="",BU381=""),"",IFERROR(IF($K381="%",BU381-BT381,BU381/BT381-1),""))</f>
        <v/>
      </c>
      <c r="BW381" s="5" t="str">
        <f aca="false">IF(OR(BT381="",BU381=""),"",IF($F381="Maior Melhor",IF(BU381&gt;=BT381,"Sim","Não"),IF(BU381&lt;=BT381,"Sim","Não")))</f>
        <v/>
      </c>
      <c r="BX381" s="12"/>
      <c r="BY381" s="12"/>
      <c r="BZ381" s="4" t="str">
        <f aca="false">IF(OR(BX381="",BY381=""),"",IFERROR(IF($K381="%",BY381-BX381,BY381/BX381-1),""))</f>
        <v/>
      </c>
      <c r="CA381" s="5" t="str">
        <f aca="false">IF(OR(BX381="",BY381=""),"",IF($F381="Maior Melhor",IF(BY381&gt;=BX381,"Sim","Não"),IF(BY381&lt;=BX381,"Sim","Não")))</f>
        <v/>
      </c>
      <c r="CB381" s="12"/>
      <c r="CC381" s="12"/>
      <c r="CD381" s="4" t="str">
        <f aca="false">IF(OR(CB381="",CC381=""),"",IFERROR(IF($K381="%",CC381-CB381,CC381/CB381-1),""))</f>
        <v/>
      </c>
      <c r="CE381" s="5" t="str">
        <f aca="false">IF(OR(CB381="",CC381=""),"",IF($F381="Maior Melhor",IF(CC381&gt;=CB381,"Sim","Não"),IF(CC381&lt;=CB381,"Sim","Não")))</f>
        <v/>
      </c>
      <c r="CF381" s="12"/>
      <c r="CG381" s="12"/>
      <c r="CH381" s="4" t="str">
        <f aca="false">IF(OR(CF381="",CG381=""),"",IFERROR(IF($K381="%",CG381-CF381,CG381/CF381-1),""))</f>
        <v/>
      </c>
      <c r="CI381" s="5" t="str">
        <f aca="false">IF(OR(CF381="",CG381=""),"",IF($F381="Maior Melhor",IF(CG381&gt;=CF381,"Sim","Não"),IF(CG381&lt;=CF381,"Sim","Não")))</f>
        <v/>
      </c>
      <c r="CJ381" s="12"/>
      <c r="CK381" s="12"/>
      <c r="CL381" s="4" t="str">
        <f aca="false">IF(OR(CJ381="",CK381=""),"",IFERROR(IF($K381="%",CK381-CJ381,CK381/CJ381-1),""))</f>
        <v/>
      </c>
      <c r="CM381" s="5" t="str">
        <f aca="false">IF(OR(CJ381="",CK381=""),"",IF($F381="Maior Melhor",IF(CK381&gt;=CJ381,"Sim","Não"),IF(CK381&lt;=CJ381,"Sim","Não")))</f>
        <v/>
      </c>
      <c r="CN381" s="12"/>
      <c r="CO381" s="12"/>
      <c r="CP381" s="4" t="str">
        <f aca="false">IF(OR(CN381="",CO381=""),"",IFERROR(IF($K381="%",CO381-CN381,CO381/CN381-1),""))</f>
        <v/>
      </c>
      <c r="CQ381" s="5" t="str">
        <f aca="false">IF(OR(CN381="",CO381=""),"",IF($F381="Maior Melhor",IF(CO381&gt;=CN381,"Sim","Não"),IF(CO381&lt;=CN381,"Sim","Não")))</f>
        <v/>
      </c>
      <c r="CR381" s="2" t="s">
        <v>105</v>
      </c>
    </row>
    <row r="382" customFormat="false" ht="15" hidden="false" customHeight="false" outlineLevel="0" collapsed="false">
      <c r="A382" s="2" t="s">
        <v>96</v>
      </c>
      <c r="B382" s="2" t="s">
        <v>108</v>
      </c>
      <c r="C382" s="2" t="s">
        <v>109</v>
      </c>
      <c r="D382" s="2" t="s">
        <v>206</v>
      </c>
      <c r="E382" s="2" t="str">
        <f aca="false">C382&amp;D382</f>
        <v>Gerência SudoesteTMAE</v>
      </c>
      <c r="F382" s="2" t="s">
        <v>167</v>
      </c>
      <c r="G382" s="2" t="s">
        <v>207</v>
      </c>
      <c r="H382" s="2" t="s">
        <v>102</v>
      </c>
      <c r="I382" s="2" t="s">
        <v>169</v>
      </c>
      <c r="J382" s="2" t="n">
        <v>3</v>
      </c>
      <c r="K382" s="2" t="s">
        <v>191</v>
      </c>
      <c r="L382" s="11" t="n">
        <v>736.9</v>
      </c>
      <c r="M382" s="11" t="n">
        <v>785.31</v>
      </c>
      <c r="N382" s="4" t="n">
        <f aca="false">IF(OR(L382="",M382=""),"",IFERROR(IF($K382="%",M382-L382,M382/L382-1),""))</f>
        <v>0.0656941240331117</v>
      </c>
      <c r="O382" s="5" t="str">
        <f aca="false">IF(OR(L382="",M382=""),"",IF($F382="Maior Melhor",IF(M382&gt;=L382,"Sim","Não"),IF(M382&lt;=L382,"Sim","Não")))</f>
        <v>Não</v>
      </c>
      <c r="P382" s="11" t="n">
        <v>661.87</v>
      </c>
      <c r="Q382" s="11" t="n">
        <v>874.08</v>
      </c>
      <c r="R382" s="4" t="n">
        <f aca="false">IF(OR(P382="",Q382=""),"",IFERROR(IF($K382="%",Q382-P382,Q382/P382-1),""))</f>
        <v>0.320621874386209</v>
      </c>
      <c r="S382" s="5" t="str">
        <f aca="false">IF(OR(P382="",Q382=""),"",IF($F382="Maior Melhor",IF(Q382&gt;=P382,"Sim","Não"),IF(Q382&lt;=P382,"Sim","Não")))</f>
        <v>Não</v>
      </c>
      <c r="T382" s="11" t="n">
        <v>606.35</v>
      </c>
      <c r="U382" s="11" t="n">
        <v>827.87</v>
      </c>
      <c r="V382" s="4" t="n">
        <f aca="false">IF(OR(T382="",U382=""),"",IFERROR(IF($K382="%",U382-T382,U382/T382-1),""))</f>
        <v>0.365333553228334</v>
      </c>
      <c r="W382" s="5" t="str">
        <f aca="false">IF(OR(T382="",U382=""),"",IF($F382="Maior Melhor",IF(U382&gt;=T382,"Sim","Não"),IF(U382&lt;=T382,"Sim","Não")))</f>
        <v>Não</v>
      </c>
      <c r="X382" s="11" t="n">
        <v>600.06</v>
      </c>
      <c r="Y382" s="11" t="n">
        <v>517.13</v>
      </c>
      <c r="Z382" s="4" t="n">
        <f aca="false">IF(OR(X382="",Y382=""),"",IFERROR(IF($K382="%",Y382-X382,Y382/X382-1),""))</f>
        <v>-0.138202846382028</v>
      </c>
      <c r="AA382" s="5" t="str">
        <f aca="false">IF(OR(X382="",Y382=""),"",IF($F382="Maior Melhor",IF(Y382&gt;=X382,"Sim","Não"),IF(Y382&lt;=X382,"Sim","Não")))</f>
        <v>Sim</v>
      </c>
      <c r="AB382" s="11" t="n">
        <v>658.78</v>
      </c>
      <c r="AC382" s="11" t="n">
        <v>761.22</v>
      </c>
      <c r="AD382" s="4" t="n">
        <f aca="false">IF(OR(AB382="",AC382=""),"",IFERROR(IF($K382="%",AC382-AB382,AC382/AB382-1),""))</f>
        <v>0.155499559792343</v>
      </c>
      <c r="AE382" s="5" t="str">
        <f aca="false">IF(OR(AB382="",AC382=""),"",IF($F382="Maior Melhor",IF(AC382&gt;=AB382,"Sim","Não"),IF(AC382&lt;=AB382,"Sim","Não")))</f>
        <v>Não</v>
      </c>
      <c r="AF382" s="11" t="n">
        <v>549.25</v>
      </c>
      <c r="AG382" s="11" t="n">
        <v>551.97</v>
      </c>
      <c r="AH382" s="4" t="n">
        <f aca="false">IF(OR(AF382="",AG382=""),"",IFERROR(IF($K382="%",AG382-AF382,AG382/AF382-1),""))</f>
        <v>0.00495220755575798</v>
      </c>
      <c r="AI382" s="5" t="str">
        <f aca="false">IF(OR(AF382="",AG382=""),"",IF($F382="Maior Melhor",IF(AG382&gt;=AF382,"Sim","Não"),IF(AG382&lt;=AF382,"Sim","Não")))</f>
        <v>Não</v>
      </c>
      <c r="AJ382" s="11" t="n">
        <v>639.13</v>
      </c>
      <c r="AK382" s="11" t="n">
        <v>724.51</v>
      </c>
      <c r="AL382" s="4" t="n">
        <f aca="false">IF(OR(AJ382="",AK382=""),"",IFERROR(IF($K382="%",AK382-AJ382,AK382/AJ382-1),""))</f>
        <v>0.133587845978127</v>
      </c>
      <c r="AM382" s="5" t="str">
        <f aca="false">IF(OR(AJ382="",AK382=""),"",IF($F382="Maior Melhor",IF(AK382&gt;=AJ382,"Sim","Não"),IF(AK382&lt;=AJ382,"Sim","Não")))</f>
        <v>Não</v>
      </c>
      <c r="AN382" s="11" t="n">
        <v>601.39</v>
      </c>
      <c r="AO382" s="11" t="n">
        <v>496.01</v>
      </c>
      <c r="AP382" s="4" t="n">
        <f aca="false">IF(OR(AN382="",AO382=""),"",IFERROR(IF($K382="%",AO382-AN382,AO382/AN382-1),""))</f>
        <v>-0.175227389880111</v>
      </c>
      <c r="AQ382" s="5" t="str">
        <f aca="false">IF(OR(AN382="",AO382=""),"",IF($F382="Maior Melhor",IF(AO382&gt;=AN382,"Sim","Não"),IF(AO382&lt;=AN382,"Sim","Não")))</f>
        <v>Sim</v>
      </c>
      <c r="AR382" s="11" t="n">
        <v>634.06</v>
      </c>
      <c r="AS382" s="11" t="n">
        <v>691.33</v>
      </c>
      <c r="AT382" s="4" t="n">
        <f aca="false">IF(OR(AR382="",AS382=""),"",IFERROR(IF($K382="%",AS382-AR382,AS382/AR382-1),""))</f>
        <v>0.090322682395988</v>
      </c>
      <c r="AU382" s="5" t="str">
        <f aca="false">IF(OR(AR382="",AS382=""),"",IF($F382="Maior Melhor",IF(AS382&gt;=AR382,"Sim","Não"),IF(AS382&lt;=AR382,"Sim","Não")))</f>
        <v>Não</v>
      </c>
      <c r="AV382" s="11" t="n">
        <v>591.58</v>
      </c>
      <c r="AW382" s="11" t="n">
        <v>451.03</v>
      </c>
      <c r="AX382" s="4" t="n">
        <f aca="false">IF(OR(AV382="",AW382=""),"",IFERROR(IF($K382="%",AW382-AV382,AW382/AV382-1),""))</f>
        <v>-0.237584096825451</v>
      </c>
      <c r="AY382" s="5" t="str">
        <f aca="false">IF(OR(AV382="",AW382=""),"",IF($F382="Maior Melhor",IF(AW382&gt;=AV382,"Sim","Não"),IF(AW382&lt;=AV382,"Sim","Não")))</f>
        <v>Sim</v>
      </c>
      <c r="AZ382" s="11" t="n">
        <v>628.88</v>
      </c>
      <c r="BA382" s="11" t="n">
        <v>660.39</v>
      </c>
      <c r="BB382" s="4" t="n">
        <f aca="false">IF(OR(AZ382="",BA382=""),"",IFERROR(IF($K382="%",BA382-AZ382,BA382/AZ382-1),""))</f>
        <v>0.0501049484798373</v>
      </c>
      <c r="BC382" s="5" t="str">
        <f aca="false">IF(OR(AZ382="",BA382=""),"",IF($F382="Maior Melhor",IF(BA382&gt;=AZ382,"Sim","Não"),IF(BA382&lt;=AZ382,"Sim","Não")))</f>
        <v>Não</v>
      </c>
      <c r="BD382" s="11" t="n">
        <v>429.33</v>
      </c>
      <c r="BE382" s="11" t="n">
        <v>429.33</v>
      </c>
      <c r="BF382" s="4" t="n">
        <f aca="false">IF(OR(BD382="",BE382=""),"",IFERROR(IF($K382="%",BE382-BD382,BE382/BD382-1),""))</f>
        <v>0</v>
      </c>
      <c r="BG382" s="5" t="str">
        <f aca="false">IF(OR(BD382="",BE382=""),"",IF($F382="Maior Melhor",IF(BE382&gt;=BD382,"Sim","Não"),IF(BE382&lt;=BD382,"Sim","Não")))</f>
        <v>Sim</v>
      </c>
      <c r="BH382" s="11" t="n">
        <v>634.54</v>
      </c>
      <c r="BI382" s="11" t="n">
        <v>634.19</v>
      </c>
      <c r="BJ382" s="4" t="n">
        <f aca="false">IF(OR(BH382="",BI382=""),"",IFERROR(IF($K382="%",BI382-BH382,BI382/BH382-1),""))</f>
        <v>-0.000551580672613072</v>
      </c>
      <c r="BK382" s="5" t="str">
        <f aca="false">IF(OR(BH382="",BI382=""),"",IF($F382="Maior Melhor",IF(BI382&gt;=BH382,"Sim","Não"),IF(BI382&lt;=BH382,"Sim","Não")))</f>
        <v>Sim</v>
      </c>
      <c r="BL382" s="12"/>
      <c r="BM382" s="12"/>
      <c r="BN382" s="4" t="str">
        <f aca="false">IF(OR(BL382="",BM382=""),"",IFERROR(IF($K382="%",BM382-BL382,BM382/BL382-1),""))</f>
        <v/>
      </c>
      <c r="BO382" s="5" t="str">
        <f aca="false">IF(OR(BL382="",BM382=""),"",IF($F382="Maior Melhor",IF(BM382&gt;=BL382,"Sim","Não"),IF(BM382&lt;=BL382,"Sim","Não")))</f>
        <v/>
      </c>
      <c r="BP382" s="12"/>
      <c r="BQ382" s="12"/>
      <c r="BR382" s="4" t="str">
        <f aca="false">IF(OR(BP382="",BQ382=""),"",IFERROR(IF($K382="%",BQ382-BP382,BQ382/BP382-1),""))</f>
        <v/>
      </c>
      <c r="BS382" s="5" t="str">
        <f aca="false">IF(OR(BP382="",BQ382=""),"",IF($F382="Maior Melhor",IF(BQ382&gt;=BP382,"Sim","Não"),IF(BQ382&lt;=BP382,"Sim","Não")))</f>
        <v/>
      </c>
      <c r="BT382" s="12"/>
      <c r="BU382" s="12"/>
      <c r="BV382" s="4" t="str">
        <f aca="false">IF(OR(BT382="",BU382=""),"",IFERROR(IF($K382="%",BU382-BT382,BU382/BT382-1),""))</f>
        <v/>
      </c>
      <c r="BW382" s="5" t="str">
        <f aca="false">IF(OR(BT382="",BU382=""),"",IF($F382="Maior Melhor",IF(BU382&gt;=BT382,"Sim","Não"),IF(BU382&lt;=BT382,"Sim","Não")))</f>
        <v/>
      </c>
      <c r="BX382" s="12"/>
      <c r="BY382" s="12"/>
      <c r="BZ382" s="4" t="str">
        <f aca="false">IF(OR(BX382="",BY382=""),"",IFERROR(IF($K382="%",BY382-BX382,BY382/BX382-1),""))</f>
        <v/>
      </c>
      <c r="CA382" s="5" t="str">
        <f aca="false">IF(OR(BX382="",BY382=""),"",IF($F382="Maior Melhor",IF(BY382&gt;=BX382,"Sim","Não"),IF(BY382&lt;=BX382,"Sim","Não")))</f>
        <v/>
      </c>
      <c r="CB382" s="12"/>
      <c r="CC382" s="12"/>
      <c r="CD382" s="4" t="str">
        <f aca="false">IF(OR(CB382="",CC382=""),"",IFERROR(IF($K382="%",CC382-CB382,CC382/CB382-1),""))</f>
        <v/>
      </c>
      <c r="CE382" s="5" t="str">
        <f aca="false">IF(OR(CB382="",CC382=""),"",IF($F382="Maior Melhor",IF(CC382&gt;=CB382,"Sim","Não"),IF(CC382&lt;=CB382,"Sim","Não")))</f>
        <v/>
      </c>
      <c r="CF382" s="12"/>
      <c r="CG382" s="12"/>
      <c r="CH382" s="4" t="str">
        <f aca="false">IF(OR(CF382="",CG382=""),"",IFERROR(IF($K382="%",CG382-CF382,CG382/CF382-1),""))</f>
        <v/>
      </c>
      <c r="CI382" s="5" t="str">
        <f aca="false">IF(OR(CF382="",CG382=""),"",IF($F382="Maior Melhor",IF(CG382&gt;=CF382,"Sim","Não"),IF(CG382&lt;=CF382,"Sim","Não")))</f>
        <v/>
      </c>
      <c r="CJ382" s="12"/>
      <c r="CK382" s="12"/>
      <c r="CL382" s="4" t="str">
        <f aca="false">IF(OR(CJ382="",CK382=""),"",IFERROR(IF($K382="%",CK382-CJ382,CK382/CJ382-1),""))</f>
        <v/>
      </c>
      <c r="CM382" s="5" t="str">
        <f aca="false">IF(OR(CJ382="",CK382=""),"",IF($F382="Maior Melhor",IF(CK382&gt;=CJ382,"Sim","Não"),IF(CK382&lt;=CJ382,"Sim","Não")))</f>
        <v/>
      </c>
      <c r="CN382" s="12"/>
      <c r="CO382" s="12"/>
      <c r="CP382" s="4" t="str">
        <f aca="false">IF(OR(CN382="",CO382=""),"",IFERROR(IF($K382="%",CO382-CN382,CO382/CN382-1),""))</f>
        <v/>
      </c>
      <c r="CQ382" s="5" t="str">
        <f aca="false">IF(OR(CN382="",CO382=""),"",IF($F382="Maior Melhor",IF(CO382&gt;=CN382,"Sim","Não"),IF(CO382&lt;=CN382,"Sim","Não")))</f>
        <v/>
      </c>
      <c r="CR382" s="2" t="s">
        <v>105</v>
      </c>
    </row>
    <row r="383" customFormat="false" ht="15" hidden="false" customHeight="false" outlineLevel="0" collapsed="false">
      <c r="A383" s="2" t="s">
        <v>96</v>
      </c>
      <c r="B383" s="2" t="s">
        <v>110</v>
      </c>
      <c r="C383" s="2" t="s">
        <v>110</v>
      </c>
      <c r="D383" s="2" t="s">
        <v>206</v>
      </c>
      <c r="E383" s="2" t="str">
        <f aca="false">C383&amp;D383</f>
        <v>Sup OesteTMAE</v>
      </c>
      <c r="F383" s="2" t="s">
        <v>167</v>
      </c>
      <c r="G383" s="2" t="s">
        <v>207</v>
      </c>
      <c r="H383" s="2" t="s">
        <v>102</v>
      </c>
      <c r="I383" s="2" t="s">
        <v>169</v>
      </c>
      <c r="J383" s="2" t="n">
        <v>3</v>
      </c>
      <c r="K383" s="2" t="s">
        <v>191</v>
      </c>
      <c r="L383" s="11" t="n">
        <v>716.87</v>
      </c>
      <c r="M383" s="11" t="n">
        <v>760.12</v>
      </c>
      <c r="N383" s="4" t="n">
        <f aca="false">IF(OR(L383="",M383=""),"",IFERROR(IF($K383="%",M383-L383,M383/L383-1),""))</f>
        <v>0.0603317198376274</v>
      </c>
      <c r="O383" s="5" t="str">
        <f aca="false">IF(OR(L383="",M383=""),"",IF($F383="Maior Melhor",IF(M383&gt;=L383,"Sim","Não"),IF(M383&lt;=L383,"Sim","Não")))</f>
        <v>Não</v>
      </c>
      <c r="P383" s="11" t="n">
        <v>596.86</v>
      </c>
      <c r="Q383" s="11" t="n">
        <v>847.7</v>
      </c>
      <c r="R383" s="4" t="n">
        <f aca="false">IF(OR(P383="",Q383=""),"",IFERROR(IF($K383="%",Q383-P383,Q383/P383-1),""))</f>
        <v>0.420266059042322</v>
      </c>
      <c r="S383" s="5" t="str">
        <f aca="false">IF(OR(P383="",Q383=""),"",IF($F383="Maior Melhor",IF(Q383&gt;=P383,"Sim","Não"),IF(Q383&lt;=P383,"Sim","Não")))</f>
        <v>Não</v>
      </c>
      <c r="T383" s="11" t="n">
        <v>561.06</v>
      </c>
      <c r="U383" s="11" t="n">
        <v>793.12</v>
      </c>
      <c r="V383" s="4" t="n">
        <f aca="false">IF(OR(T383="",U383=""),"",IFERROR(IF($K383="%",U383-T383,U383/T383-1),""))</f>
        <v>0.413609952589741</v>
      </c>
      <c r="W383" s="5" t="str">
        <f aca="false">IF(OR(T383="",U383=""),"",IF($F383="Maior Melhor",IF(U383&gt;=T383,"Sim","Não"),IF(U383&lt;=T383,"Sim","Não")))</f>
        <v>Não</v>
      </c>
      <c r="X383" s="11" t="n">
        <v>540.64</v>
      </c>
      <c r="Y383" s="11" t="n">
        <v>529.93</v>
      </c>
      <c r="Z383" s="4" t="n">
        <f aca="false">IF(OR(X383="",Y383=""),"",IFERROR(IF($K383="%",Y383-X383,Y383/X383-1),""))</f>
        <v>-0.0198098549866825</v>
      </c>
      <c r="AA383" s="5" t="str">
        <f aca="false">IF(OR(X383="",Y383=""),"",IF($F383="Maior Melhor",IF(Y383&gt;=X383,"Sim","Não"),IF(Y383&lt;=X383,"Sim","Não")))</f>
        <v>Sim</v>
      </c>
      <c r="AB383" s="11" t="n">
        <v>612.99</v>
      </c>
      <c r="AC383" s="11" t="n">
        <v>743.6</v>
      </c>
      <c r="AD383" s="4" t="n">
        <f aca="false">IF(OR(AB383="",AC383=""),"",IFERROR(IF($K383="%",AC383-AB383,AC383/AB383-1),""))</f>
        <v>0.2130703600385</v>
      </c>
      <c r="AE383" s="5" t="str">
        <f aca="false">IF(OR(AB383="",AC383=""),"",IF($F383="Maior Melhor",IF(AC383&gt;=AB383,"Sim","Não"),IF(AC383&lt;=AB383,"Sim","Não")))</f>
        <v>Não</v>
      </c>
      <c r="AF383" s="11" t="n">
        <v>478.52</v>
      </c>
      <c r="AG383" s="11" t="n">
        <v>496.69</v>
      </c>
      <c r="AH383" s="4" t="n">
        <f aca="false">IF(OR(AF383="",AG383=""),"",IFERROR(IF($K383="%",AG383-AF383,AG383/AF383-1),""))</f>
        <v>0.0379712446710692</v>
      </c>
      <c r="AI383" s="5" t="str">
        <f aca="false">IF(OR(AF383="",AG383=""),"",IF($F383="Maior Melhor",IF(AG383&gt;=AF383,"Sim","Não"),IF(AG383&lt;=AF383,"Sim","Não")))</f>
        <v>Não</v>
      </c>
      <c r="AJ383" s="11" t="n">
        <v>587.41</v>
      </c>
      <c r="AK383" s="11" t="n">
        <v>702.2</v>
      </c>
      <c r="AL383" s="4" t="n">
        <f aca="false">IF(OR(AJ383="",AK383=""),"",IFERROR(IF($K383="%",AK383-AJ383,AK383/AJ383-1),""))</f>
        <v>0.195417170289917</v>
      </c>
      <c r="AM383" s="5" t="str">
        <f aca="false">IF(OR(AJ383="",AK383=""),"",IF($F383="Maior Melhor",IF(AK383&gt;=AJ383,"Sim","Não"),IF(AK383&lt;=AJ383,"Sim","Não")))</f>
        <v>Não</v>
      </c>
      <c r="AN383" s="11" t="n">
        <v>498.57</v>
      </c>
      <c r="AO383" s="11" t="n">
        <v>462.75</v>
      </c>
      <c r="AP383" s="4" t="n">
        <f aca="false">IF(OR(AN383="",AO383=""),"",IFERROR(IF($K383="%",AO383-AN383,AO383/AN383-1),""))</f>
        <v>-0.0718454780672724</v>
      </c>
      <c r="AQ383" s="5" t="str">
        <f aca="false">IF(OR(AN383="",AO383=""),"",IF($F383="Maior Melhor",IF(AO383&gt;=AN383,"Sim","Não"),IF(AO383&lt;=AN383,"Sim","Não")))</f>
        <v>Sim</v>
      </c>
      <c r="AR383" s="11" t="n">
        <v>575.15</v>
      </c>
      <c r="AS383" s="11" t="n">
        <v>668.7</v>
      </c>
      <c r="AT383" s="4" t="n">
        <f aca="false">IF(OR(AR383="",AS383=""),"",IFERROR(IF($K383="%",AS383-AR383,AS383/AR383-1),""))</f>
        <v>0.162653220898896</v>
      </c>
      <c r="AU383" s="5" t="str">
        <f aca="false">IF(OR(AR383="",AS383=""),"",IF($F383="Maior Melhor",IF(AS383&gt;=AR383,"Sim","Não"),IF(AS383&lt;=AR383,"Sim","Não")))</f>
        <v>Não</v>
      </c>
      <c r="AV383" s="11" t="n">
        <v>482.49</v>
      </c>
      <c r="AW383" s="11" t="n">
        <v>420.9</v>
      </c>
      <c r="AX383" s="4" t="n">
        <f aca="false">IF(OR(AV383="",AW383=""),"",IFERROR(IF($K383="%",AW383-AV383,AW383/AV383-1),""))</f>
        <v>-0.127650313996145</v>
      </c>
      <c r="AY383" s="5" t="str">
        <f aca="false">IF(OR(AV383="",AW383=""),"",IF($F383="Maior Melhor",IF(AW383&gt;=AV383,"Sim","Não"),IF(AW383&lt;=AV383,"Sim","Não")))</f>
        <v>Sim</v>
      </c>
      <c r="AZ383" s="11" t="n">
        <v>563.71</v>
      </c>
      <c r="BA383" s="11" t="n">
        <v>638.26</v>
      </c>
      <c r="BB383" s="4" t="n">
        <f aca="false">IF(OR(AZ383="",BA383=""),"",IFERROR(IF($K383="%",BA383-AZ383,BA383/AZ383-1),""))</f>
        <v>0.132248851359742</v>
      </c>
      <c r="BC383" s="5" t="str">
        <f aca="false">IF(OR(AZ383="",BA383=""),"",IF($F383="Maior Melhor",IF(BA383&gt;=AZ383,"Sim","Não"),IF(BA383&lt;=AZ383,"Sim","Não")))</f>
        <v>Não</v>
      </c>
      <c r="BD383" s="11" t="n">
        <v>423.56</v>
      </c>
      <c r="BE383" s="11" t="n">
        <v>440.46</v>
      </c>
      <c r="BF383" s="4" t="n">
        <f aca="false">IF(OR(BD383="",BE383=""),"",IFERROR(IF($K383="%",BE383-BD383,BE383/BD383-1),""))</f>
        <v>0.0398998961186137</v>
      </c>
      <c r="BG383" s="5" t="str">
        <f aca="false">IF(OR(BD383="",BE383=""),"",IF($F383="Maior Melhor",IF(BE383&gt;=BD383,"Sim","Não"),IF(BE383&lt;=BD383,"Sim","Não")))</f>
        <v>Não</v>
      </c>
      <c r="BH383" s="11" t="n">
        <v>548.31</v>
      </c>
      <c r="BI383" s="11" t="n">
        <v>616.35</v>
      </c>
      <c r="BJ383" s="4" t="n">
        <f aca="false">IF(OR(BH383="",BI383=""),"",IFERROR(IF($K383="%",BI383-BH383,BI383/BH383-1),""))</f>
        <v>0.124090386824971</v>
      </c>
      <c r="BK383" s="5" t="str">
        <f aca="false">IF(OR(BH383="",BI383=""),"",IF($F383="Maior Melhor",IF(BI383&gt;=BH383,"Sim","Não"),IF(BI383&lt;=BH383,"Sim","Não")))</f>
        <v>Não</v>
      </c>
      <c r="BL383" s="12"/>
      <c r="BM383" s="12"/>
      <c r="BN383" s="4" t="str">
        <f aca="false">IF(OR(BL383="",BM383=""),"",IFERROR(IF($K383="%",BM383-BL383,BM383/BL383-1),""))</f>
        <v/>
      </c>
      <c r="BO383" s="5" t="str">
        <f aca="false">IF(OR(BL383="",BM383=""),"",IF($F383="Maior Melhor",IF(BM383&gt;=BL383,"Sim","Não"),IF(BM383&lt;=BL383,"Sim","Não")))</f>
        <v/>
      </c>
      <c r="BP383" s="12"/>
      <c r="BQ383" s="12"/>
      <c r="BR383" s="4" t="str">
        <f aca="false">IF(OR(BP383="",BQ383=""),"",IFERROR(IF($K383="%",BQ383-BP383,BQ383/BP383-1),""))</f>
        <v/>
      </c>
      <c r="BS383" s="5" t="str">
        <f aca="false">IF(OR(BP383="",BQ383=""),"",IF($F383="Maior Melhor",IF(BQ383&gt;=BP383,"Sim","Não"),IF(BQ383&lt;=BP383,"Sim","Não")))</f>
        <v/>
      </c>
      <c r="BT383" s="12"/>
      <c r="BU383" s="12"/>
      <c r="BV383" s="4" t="str">
        <f aca="false">IF(OR(BT383="",BU383=""),"",IFERROR(IF($K383="%",BU383-BT383,BU383/BT383-1),""))</f>
        <v/>
      </c>
      <c r="BW383" s="5" t="str">
        <f aca="false">IF(OR(BT383="",BU383=""),"",IF($F383="Maior Melhor",IF(BU383&gt;=BT383,"Sim","Não"),IF(BU383&lt;=BT383,"Sim","Não")))</f>
        <v/>
      </c>
      <c r="BX383" s="12"/>
      <c r="BY383" s="12"/>
      <c r="BZ383" s="4" t="str">
        <f aca="false">IF(OR(BX383="",BY383=""),"",IFERROR(IF($K383="%",BY383-BX383,BY383/BX383-1),""))</f>
        <v/>
      </c>
      <c r="CA383" s="5" t="str">
        <f aca="false">IF(OR(BX383="",BY383=""),"",IF($F383="Maior Melhor",IF(BY383&gt;=BX383,"Sim","Não"),IF(BY383&lt;=BX383,"Sim","Não")))</f>
        <v/>
      </c>
      <c r="CB383" s="12"/>
      <c r="CC383" s="12"/>
      <c r="CD383" s="4" t="str">
        <f aca="false">IF(OR(CB383="",CC383=""),"",IFERROR(IF($K383="%",CC383-CB383,CC383/CB383-1),""))</f>
        <v/>
      </c>
      <c r="CE383" s="5" t="str">
        <f aca="false">IF(OR(CB383="",CC383=""),"",IF($F383="Maior Melhor",IF(CC383&gt;=CB383,"Sim","Não"),IF(CC383&lt;=CB383,"Sim","Não")))</f>
        <v/>
      </c>
      <c r="CF383" s="12"/>
      <c r="CG383" s="12"/>
      <c r="CH383" s="4" t="str">
        <f aca="false">IF(OR(CF383="",CG383=""),"",IFERROR(IF($K383="%",CG383-CF383,CG383/CF383-1),""))</f>
        <v/>
      </c>
      <c r="CI383" s="5" t="str">
        <f aca="false">IF(OR(CF383="",CG383=""),"",IF($F383="Maior Melhor",IF(CG383&gt;=CF383,"Sim","Não"),IF(CG383&lt;=CF383,"Sim","Não")))</f>
        <v/>
      </c>
      <c r="CJ383" s="12"/>
      <c r="CK383" s="12"/>
      <c r="CL383" s="4" t="str">
        <f aca="false">IF(OR(CJ383="",CK383=""),"",IFERROR(IF($K383="%",CK383-CJ383,CK383/CJ383-1),""))</f>
        <v/>
      </c>
      <c r="CM383" s="5" t="str">
        <f aca="false">IF(OR(CJ383="",CK383=""),"",IF($F383="Maior Melhor",IF(CK383&gt;=CJ383,"Sim","Não"),IF(CK383&lt;=CJ383,"Sim","Não")))</f>
        <v/>
      </c>
      <c r="CN383" s="12"/>
      <c r="CO383" s="12"/>
      <c r="CP383" s="4" t="str">
        <f aca="false">IF(OR(CN383="",CO383=""),"",IFERROR(IF($K383="%",CO383-CN383,CO383/CN383-1),""))</f>
        <v/>
      </c>
      <c r="CQ383" s="5" t="str">
        <f aca="false">IF(OR(CN383="",CO383=""),"",IF($F383="Maior Melhor",IF(CO383&gt;=CN383,"Sim","Não"),IF(CO383&lt;=CN383,"Sim","Não")))</f>
        <v/>
      </c>
      <c r="CR383" s="2" t="s">
        <v>105</v>
      </c>
    </row>
    <row r="384" customFormat="false" ht="15" hidden="false" customHeight="false" outlineLevel="0" collapsed="false">
      <c r="A384" s="2" t="s">
        <v>96</v>
      </c>
      <c r="B384" s="2" t="s">
        <v>106</v>
      </c>
      <c r="C384" s="2" t="s">
        <v>111</v>
      </c>
      <c r="D384" s="2" t="s">
        <v>206</v>
      </c>
      <c r="E384" s="2" t="str">
        <f aca="false">C384&amp;D384</f>
        <v>UTD BARREIRASTMAE</v>
      </c>
      <c r="F384" s="2" t="s">
        <v>167</v>
      </c>
      <c r="G384" s="2" t="s">
        <v>207</v>
      </c>
      <c r="H384" s="2" t="s">
        <v>102</v>
      </c>
      <c r="I384" s="2" t="s">
        <v>169</v>
      </c>
      <c r="J384" s="2" t="n">
        <v>3</v>
      </c>
      <c r="K384" s="2" t="s">
        <v>191</v>
      </c>
      <c r="L384" s="11" t="n">
        <v>730.27</v>
      </c>
      <c r="M384" s="11" t="n">
        <v>661.52</v>
      </c>
      <c r="N384" s="4" t="n">
        <f aca="false">IF(OR(L384="",M384=""),"",IFERROR(IF($K384="%",M384-L384,M384/L384-1),""))</f>
        <v>-0.0941432620811481</v>
      </c>
      <c r="O384" s="5" t="str">
        <f aca="false">IF(OR(L384="",M384=""),"",IF($F384="Maior Melhor",IF(M384&gt;=L384,"Sim","Não"),IF(M384&lt;=L384,"Sim","Não")))</f>
        <v>Sim</v>
      </c>
      <c r="P384" s="11" t="n">
        <v>495.81</v>
      </c>
      <c r="Q384" s="11" t="n">
        <v>839.38</v>
      </c>
      <c r="R384" s="4" t="n">
        <f aca="false">IF(OR(P384="",Q384=""),"",IFERROR(IF($K384="%",Q384-P384,Q384/P384-1),""))</f>
        <v>0.692946894979932</v>
      </c>
      <c r="S384" s="5" t="str">
        <f aca="false">IF(OR(P384="",Q384=""),"",IF($F384="Maior Melhor",IF(Q384&gt;=P384,"Sim","Não"),IF(Q384&lt;=P384,"Sim","Não")))</f>
        <v>Não</v>
      </c>
      <c r="T384" s="11" t="n">
        <v>681.86</v>
      </c>
      <c r="U384" s="11" t="n">
        <v>725.77</v>
      </c>
      <c r="V384" s="4" t="n">
        <f aca="false">IF(OR(T384="",U384=""),"",IFERROR(IF($K384="%",U384-T384,U384/T384-1),""))</f>
        <v>0.0643973836271374</v>
      </c>
      <c r="W384" s="5" t="str">
        <f aca="false">IF(OR(T384="",U384=""),"",IF($F384="Maior Melhor",IF(U384&gt;=T384,"Sim","Não"),IF(U384&lt;=T384,"Sim","Não")))</f>
        <v>Não</v>
      </c>
      <c r="X384" s="11" t="n">
        <v>543.07</v>
      </c>
      <c r="Y384" s="11" t="n">
        <v>579.78</v>
      </c>
      <c r="Z384" s="4" t="n">
        <f aca="false">IF(OR(X384="",Y384=""),"",IFERROR(IF($K384="%",Y384-X384,Y384/X384-1),""))</f>
        <v>0.0675971790008654</v>
      </c>
      <c r="AA384" s="5" t="str">
        <f aca="false">IF(OR(X384="",Y384=""),"",IF($F384="Maior Melhor",IF(Y384&gt;=X384,"Sim","Não"),IF(Y384&lt;=X384,"Sim","Não")))</f>
        <v>Não</v>
      </c>
      <c r="AB384" s="11" t="n">
        <v>624.49</v>
      </c>
      <c r="AC384" s="11" t="n">
        <v>724.13</v>
      </c>
      <c r="AD384" s="4" t="n">
        <f aca="false">IF(OR(AB384="",AC384=""),"",IFERROR(IF($K384="%",AC384-AB384,AC384/AB384-1),""))</f>
        <v>0.159554196224119</v>
      </c>
      <c r="AE384" s="5" t="str">
        <f aca="false">IF(OR(AB384="",AC384=""),"",IF($F384="Maior Melhor",IF(AC384&gt;=AB384,"Sim","Não"),IF(AC384&lt;=AB384,"Sim","Não")))</f>
        <v>Não</v>
      </c>
      <c r="AF384" s="11" t="n">
        <v>449.8</v>
      </c>
      <c r="AG384" s="11" t="n">
        <v>442.57</v>
      </c>
      <c r="AH384" s="4" t="n">
        <f aca="false">IF(OR(AF384="",AG384=""),"",IFERROR(IF($K384="%",AG384-AF384,AG384/AF384-1),""))</f>
        <v>-0.0160738105824811</v>
      </c>
      <c r="AI384" s="5" t="str">
        <f aca="false">IF(OR(AF384="",AG384=""),"",IF($F384="Maior Melhor",IF(AG384&gt;=AF384,"Sim","Não"),IF(AG384&lt;=AF384,"Sim","Não")))</f>
        <v>Sim</v>
      </c>
      <c r="AJ384" s="11" t="n">
        <v>590.55</v>
      </c>
      <c r="AK384" s="11" t="n">
        <v>674.49</v>
      </c>
      <c r="AL384" s="4" t="n">
        <f aca="false">IF(OR(AJ384="",AK384=""),"",IFERROR(IF($K384="%",AK384-AJ384,AK384/AJ384-1),""))</f>
        <v>0.142138684277369</v>
      </c>
      <c r="AM384" s="5" t="str">
        <f aca="false">IF(OR(AJ384="",AK384=""),"",IF($F384="Maior Melhor",IF(AK384&gt;=AJ384,"Sim","Não"),IF(AK384&lt;=AJ384,"Sim","Não")))</f>
        <v>Não</v>
      </c>
      <c r="AN384" s="11" t="n">
        <v>539.65</v>
      </c>
      <c r="AO384" s="11" t="n">
        <v>430.28</v>
      </c>
      <c r="AP384" s="4" t="n">
        <f aca="false">IF(OR(AN384="",AO384=""),"",IFERROR(IF($K384="%",AO384-AN384,AO384/AN384-1),""))</f>
        <v>-0.202668396182711</v>
      </c>
      <c r="AQ384" s="5" t="str">
        <f aca="false">IF(OR(AN384="",AO384=""),"",IF($F384="Maior Melhor",IF(AO384&gt;=AN384,"Sim","Não"),IF(AO384&lt;=AN384,"Sim","Não")))</f>
        <v>Sim</v>
      </c>
      <c r="AR384" s="11" t="n">
        <v>583.87</v>
      </c>
      <c r="AS384" s="11" t="n">
        <v>642.33</v>
      </c>
      <c r="AT384" s="4" t="n">
        <f aca="false">IF(OR(AR384="",AS384=""),"",IFERROR(IF($K384="%",AS384-AR384,AS384/AR384-1),""))</f>
        <v>0.100125027831538</v>
      </c>
      <c r="AU384" s="5" t="str">
        <f aca="false">IF(OR(AR384="",AS384=""),"",IF($F384="Maior Melhor",IF(AS384&gt;=AR384,"Sim","Não"),IF(AS384&lt;=AR384,"Sim","Não")))</f>
        <v>Não</v>
      </c>
      <c r="AV384" s="11" t="n">
        <v>500.9</v>
      </c>
      <c r="AW384" s="11" t="n">
        <v>393.34</v>
      </c>
      <c r="AX384" s="4" t="n">
        <f aca="false">IF(OR(AV384="",AW384=""),"",IFERROR(IF($K384="%",AW384-AV384,AW384/AV384-1),""))</f>
        <v>-0.214733479736474</v>
      </c>
      <c r="AY384" s="5" t="str">
        <f aca="false">IF(OR(AV384="",AW384=""),"",IF($F384="Maior Melhor",IF(AW384&gt;=AV384,"Sim","Não"),IF(AW384&lt;=AV384,"Sim","Não")))</f>
        <v>Sim</v>
      </c>
      <c r="AZ384" s="11" t="n">
        <v>574.35</v>
      </c>
      <c r="BA384" s="11" t="n">
        <v>611.93</v>
      </c>
      <c r="BB384" s="4" t="n">
        <f aca="false">IF(OR(AZ384="",BA384=""),"",IFERROR(IF($K384="%",BA384-AZ384,BA384/AZ384-1),""))</f>
        <v>0.0654304866370679</v>
      </c>
      <c r="BC384" s="5" t="str">
        <f aca="false">IF(OR(AZ384="",BA384=""),"",IF($F384="Maior Melhor",IF(BA384&gt;=AZ384,"Sim","Não"),IF(BA384&lt;=AZ384,"Sim","Não")))</f>
        <v>Não</v>
      </c>
      <c r="BD384" s="11" t="n">
        <v>499.39</v>
      </c>
      <c r="BE384" s="11" t="n">
        <v>499.39</v>
      </c>
      <c r="BF384" s="4" t="n">
        <f aca="false">IF(OR(BD384="",BE384=""),"",IFERROR(IF($K384="%",BE384-BD384,BE384/BD384-1),""))</f>
        <v>0</v>
      </c>
      <c r="BG384" s="5" t="str">
        <f aca="false">IF(OR(BD384="",BE384=""),"",IF($F384="Maior Melhor",IF(BE384&gt;=BD384,"Sim","Não"),IF(BE384&lt;=BD384,"Sim","Não")))</f>
        <v>Sim</v>
      </c>
      <c r="BH384" s="11" t="n">
        <v>599.28</v>
      </c>
      <c r="BI384" s="11" t="n">
        <v>598.35</v>
      </c>
      <c r="BJ384" s="4" t="n">
        <f aca="false">IF(OR(BH384="",BI384=""),"",IFERROR(IF($K384="%",BI384-BH384,BI384/BH384-1),""))</f>
        <v>-0.00155186223468151</v>
      </c>
      <c r="BK384" s="5" t="str">
        <f aca="false">IF(OR(BH384="",BI384=""),"",IF($F384="Maior Melhor",IF(BI384&gt;=BH384,"Sim","Não"),IF(BI384&lt;=BH384,"Sim","Não")))</f>
        <v>Sim</v>
      </c>
      <c r="BL384" s="12"/>
      <c r="BM384" s="12"/>
      <c r="BN384" s="4" t="str">
        <f aca="false">IF(OR(BL384="",BM384=""),"",IFERROR(IF($K384="%",BM384-BL384,BM384/BL384-1),""))</f>
        <v/>
      </c>
      <c r="BO384" s="5" t="str">
        <f aca="false">IF(OR(BL384="",BM384=""),"",IF($F384="Maior Melhor",IF(BM384&gt;=BL384,"Sim","Não"),IF(BM384&lt;=BL384,"Sim","Não")))</f>
        <v/>
      </c>
      <c r="BP384" s="12"/>
      <c r="BQ384" s="12"/>
      <c r="BR384" s="4" t="str">
        <f aca="false">IF(OR(BP384="",BQ384=""),"",IFERROR(IF($K384="%",BQ384-BP384,BQ384/BP384-1),""))</f>
        <v/>
      </c>
      <c r="BS384" s="5" t="str">
        <f aca="false">IF(OR(BP384="",BQ384=""),"",IF($F384="Maior Melhor",IF(BQ384&gt;=BP384,"Sim","Não"),IF(BQ384&lt;=BP384,"Sim","Não")))</f>
        <v/>
      </c>
      <c r="BT384" s="12"/>
      <c r="BU384" s="12"/>
      <c r="BV384" s="4" t="str">
        <f aca="false">IF(OR(BT384="",BU384=""),"",IFERROR(IF($K384="%",BU384-BT384,BU384/BT384-1),""))</f>
        <v/>
      </c>
      <c r="BW384" s="5" t="str">
        <f aca="false">IF(OR(BT384="",BU384=""),"",IF($F384="Maior Melhor",IF(BU384&gt;=BT384,"Sim","Não"),IF(BU384&lt;=BT384,"Sim","Não")))</f>
        <v/>
      </c>
      <c r="BX384" s="12"/>
      <c r="BY384" s="12"/>
      <c r="BZ384" s="4" t="str">
        <f aca="false">IF(OR(BX384="",BY384=""),"",IFERROR(IF($K384="%",BY384-BX384,BY384/BX384-1),""))</f>
        <v/>
      </c>
      <c r="CA384" s="5" t="str">
        <f aca="false">IF(OR(BX384="",BY384=""),"",IF($F384="Maior Melhor",IF(BY384&gt;=BX384,"Sim","Não"),IF(BY384&lt;=BX384,"Sim","Não")))</f>
        <v/>
      </c>
      <c r="CB384" s="12"/>
      <c r="CC384" s="12"/>
      <c r="CD384" s="4" t="str">
        <f aca="false">IF(OR(CB384="",CC384=""),"",IFERROR(IF($K384="%",CC384-CB384,CC384/CB384-1),""))</f>
        <v/>
      </c>
      <c r="CE384" s="5" t="str">
        <f aca="false">IF(OR(CB384="",CC384=""),"",IF($F384="Maior Melhor",IF(CC384&gt;=CB384,"Sim","Não"),IF(CC384&lt;=CB384,"Sim","Não")))</f>
        <v/>
      </c>
      <c r="CF384" s="12"/>
      <c r="CG384" s="12"/>
      <c r="CH384" s="4" t="str">
        <f aca="false">IF(OR(CF384="",CG384=""),"",IFERROR(IF($K384="%",CG384-CF384,CG384/CF384-1),""))</f>
        <v/>
      </c>
      <c r="CI384" s="5" t="str">
        <f aca="false">IF(OR(CF384="",CG384=""),"",IF($F384="Maior Melhor",IF(CG384&gt;=CF384,"Sim","Não"),IF(CG384&lt;=CF384,"Sim","Não")))</f>
        <v/>
      </c>
      <c r="CJ384" s="12"/>
      <c r="CK384" s="12"/>
      <c r="CL384" s="4" t="str">
        <f aca="false">IF(OR(CJ384="",CK384=""),"",IFERROR(IF($K384="%",CK384-CJ384,CK384/CJ384-1),""))</f>
        <v/>
      </c>
      <c r="CM384" s="5" t="str">
        <f aca="false">IF(OR(CJ384="",CK384=""),"",IF($F384="Maior Melhor",IF(CK384&gt;=CJ384,"Sim","Não"),IF(CK384&lt;=CJ384,"Sim","Não")))</f>
        <v/>
      </c>
      <c r="CN384" s="12"/>
      <c r="CO384" s="12"/>
      <c r="CP384" s="4" t="str">
        <f aca="false">IF(OR(CN384="",CO384=""),"",IFERROR(IF($K384="%",CO384-CN384,CO384/CN384-1),""))</f>
        <v/>
      </c>
      <c r="CQ384" s="5" t="str">
        <f aca="false">IF(OR(CN384="",CO384=""),"",IF($F384="Maior Melhor",IF(CO384&gt;=CN384,"Sim","Não"),IF(CO384&lt;=CN384,"Sim","Não")))</f>
        <v/>
      </c>
      <c r="CR384" s="2" t="s">
        <v>148</v>
      </c>
    </row>
    <row r="385" customFormat="false" ht="15" hidden="false" customHeight="false" outlineLevel="0" collapsed="false">
      <c r="A385" s="2" t="s">
        <v>96</v>
      </c>
      <c r="B385" s="2" t="s">
        <v>106</v>
      </c>
      <c r="C385" s="2" t="s">
        <v>113</v>
      </c>
      <c r="D385" s="2" t="s">
        <v>206</v>
      </c>
      <c r="E385" s="2" t="str">
        <f aca="false">C385&amp;D385</f>
        <v>UTD BOM JESUS DA LAPATMAE</v>
      </c>
      <c r="F385" s="2" t="s">
        <v>167</v>
      </c>
      <c r="G385" s="2" t="s">
        <v>207</v>
      </c>
      <c r="H385" s="2" t="s">
        <v>102</v>
      </c>
      <c r="I385" s="2" t="s">
        <v>169</v>
      </c>
      <c r="J385" s="2" t="n">
        <v>3</v>
      </c>
      <c r="K385" s="2" t="s">
        <v>191</v>
      </c>
      <c r="L385" s="11" t="n">
        <v>676.1</v>
      </c>
      <c r="M385" s="11" t="n">
        <v>689.98</v>
      </c>
      <c r="N385" s="4" t="n">
        <f aca="false">IF(OR(L385="",M385=""),"",IFERROR(IF($K385="%",M385-L385,M385/L385-1),""))</f>
        <v>0.0205295074693093</v>
      </c>
      <c r="O385" s="5" t="str">
        <f aca="false">IF(OR(L385="",M385=""),"",IF($F385="Maior Melhor",IF(M385&gt;=L385,"Sim","Não"),IF(M385&lt;=L385,"Sim","Não")))</f>
        <v>Não</v>
      </c>
      <c r="P385" s="11" t="n">
        <v>571.68</v>
      </c>
      <c r="Q385" s="11" t="n">
        <v>905.82</v>
      </c>
      <c r="R385" s="4" t="n">
        <f aca="false">IF(OR(P385="",Q385=""),"",IFERROR(IF($K385="%",Q385-P385,Q385/P385-1),""))</f>
        <v>0.584487825356843</v>
      </c>
      <c r="S385" s="5" t="str">
        <f aca="false">IF(OR(P385="",Q385=""),"",IF($F385="Maior Melhor",IF(Q385&gt;=P385,"Sim","Não"),IF(Q385&lt;=P385,"Sim","Não")))</f>
        <v>Não</v>
      </c>
      <c r="T385" s="11" t="n">
        <v>561.07</v>
      </c>
      <c r="U385" s="11" t="n">
        <v>783.16</v>
      </c>
      <c r="V385" s="4" t="n">
        <f aca="false">IF(OR(T385="",U385=""),"",IFERROR(IF($K385="%",U385-T385,U385/T385-1),""))</f>
        <v>0.395832962018999</v>
      </c>
      <c r="W385" s="5" t="str">
        <f aca="false">IF(OR(T385="",U385=""),"",IF($F385="Maior Melhor",IF(U385&gt;=T385,"Sim","Não"),IF(U385&lt;=T385,"Sim","Não")))</f>
        <v>Não</v>
      </c>
      <c r="X385" s="11" t="n">
        <v>532.75</v>
      </c>
      <c r="Y385" s="11" t="n">
        <v>387.1</v>
      </c>
      <c r="Z385" s="4" t="n">
        <f aca="false">IF(OR(X385="",Y385=""),"",IFERROR(IF($K385="%",Y385-X385,Y385/X385-1),""))</f>
        <v>-0.273392773345847</v>
      </c>
      <c r="AA385" s="5" t="str">
        <f aca="false">IF(OR(X385="",Y385=""),"",IF($F385="Maior Melhor",IF(Y385&gt;=X385,"Sim","Não"),IF(Y385&lt;=X385,"Sim","Não")))</f>
        <v>Sim</v>
      </c>
      <c r="AB385" s="11" t="n">
        <v>589.54</v>
      </c>
      <c r="AC385" s="11" t="n">
        <v>713.66</v>
      </c>
      <c r="AD385" s="4" t="n">
        <f aca="false">IF(OR(AB385="",AC385=""),"",IFERROR(IF($K385="%",AC385-AB385,AC385/AB385-1),""))</f>
        <v>0.210537028869966</v>
      </c>
      <c r="AE385" s="5" t="str">
        <f aca="false">IF(OR(AB385="",AC385=""),"",IF($F385="Maior Melhor",IF(AC385&gt;=AB385,"Sim","Não"),IF(AC385&lt;=AB385,"Sim","Não")))</f>
        <v>Não</v>
      </c>
      <c r="AF385" s="11" t="n">
        <v>453.76</v>
      </c>
      <c r="AG385" s="11" t="n">
        <v>453.63</v>
      </c>
      <c r="AH385" s="4" t="n">
        <f aca="false">IF(OR(AF385="",AG385=""),"",IFERROR(IF($K385="%",AG385-AF385,AG385/AF385-1),""))</f>
        <v>-0.000286495063469672</v>
      </c>
      <c r="AI385" s="5" t="str">
        <f aca="false">IF(OR(AF385="",AG385=""),"",IF($F385="Maior Melhor",IF(AG385&gt;=AF385,"Sim","Não"),IF(AG385&lt;=AF385,"Sim","Não")))</f>
        <v>Sim</v>
      </c>
      <c r="AJ385" s="11" t="n">
        <v>561.1</v>
      </c>
      <c r="AK385" s="11" t="n">
        <v>673.72</v>
      </c>
      <c r="AL385" s="4" t="n">
        <f aca="false">IF(OR(AJ385="",AK385=""),"",IFERROR(IF($K385="%",AK385-AJ385,AK385/AJ385-1),""))</f>
        <v>0.200712885403671</v>
      </c>
      <c r="AM385" s="5" t="str">
        <f aca="false">IF(OR(AJ385="",AK385=""),"",IF($F385="Maior Melhor",IF(AK385&gt;=AJ385,"Sim","Não"),IF(AK385&lt;=AJ385,"Sim","Não")))</f>
        <v>Não</v>
      </c>
      <c r="AN385" s="11" t="n">
        <v>472.21</v>
      </c>
      <c r="AO385" s="11" t="n">
        <v>441.74</v>
      </c>
      <c r="AP385" s="4" t="n">
        <f aca="false">IF(OR(AN385="",AO385=""),"",IFERROR(IF($K385="%",AO385-AN385,AO385/AN385-1),""))</f>
        <v>-0.0645263759767899</v>
      </c>
      <c r="AQ385" s="5" t="str">
        <f aca="false">IF(OR(AN385="",AO385=""),"",IF($F385="Maior Melhor",IF(AO385&gt;=AN385,"Sim","Não"),IF(AO385&lt;=AN385,"Sim","Não")))</f>
        <v>Sim</v>
      </c>
      <c r="AR385" s="11" t="n">
        <v>549.39</v>
      </c>
      <c r="AS385" s="11" t="n">
        <v>643.97</v>
      </c>
      <c r="AT385" s="4" t="n">
        <f aca="false">IF(OR(AR385="",AS385=""),"",IFERROR(IF($K385="%",AS385-AR385,AS385/AR385-1),""))</f>
        <v>0.172154571433772</v>
      </c>
      <c r="AU385" s="5" t="str">
        <f aca="false">IF(OR(AR385="",AS385=""),"",IF($F385="Maior Melhor",IF(AS385&gt;=AR385,"Sim","Não"),IF(AS385&lt;=AR385,"Sim","Não")))</f>
        <v>Não</v>
      </c>
      <c r="AV385" s="11" t="n">
        <v>418.07</v>
      </c>
      <c r="AW385" s="11" t="n">
        <v>391.39</v>
      </c>
      <c r="AX385" s="4" t="n">
        <f aca="false">IF(OR(AV385="",AW385=""),"",IFERROR(IF($K385="%",AW385-AV385,AW385/AV385-1),""))</f>
        <v>-0.0638170641280169</v>
      </c>
      <c r="AY385" s="5" t="str">
        <f aca="false">IF(OR(AV385="",AW385=""),"",IF($F385="Maior Melhor",IF(AW385&gt;=AV385,"Sim","Não"),IF(AW385&lt;=AV385,"Sim","Não")))</f>
        <v>Sim</v>
      </c>
      <c r="AZ385" s="11" t="n">
        <v>532.92</v>
      </c>
      <c r="BA385" s="11" t="n">
        <v>615.58</v>
      </c>
      <c r="BB385" s="4" t="n">
        <f aca="false">IF(OR(AZ385="",BA385=""),"",IFERROR(IF($K385="%",BA385-AZ385,BA385/AZ385-1),""))</f>
        <v>0.155107708474068</v>
      </c>
      <c r="BC385" s="5" t="str">
        <f aca="false">IF(OR(AZ385="",BA385=""),"",IF($F385="Maior Melhor",IF(BA385&gt;=AZ385,"Sim","Não"),IF(BA385&lt;=AZ385,"Sim","Não")))</f>
        <v>Não</v>
      </c>
      <c r="BD385" s="11" t="n">
        <v>449.02</v>
      </c>
      <c r="BE385" s="11" t="n">
        <v>449.02</v>
      </c>
      <c r="BF385" s="4" t="n">
        <f aca="false">IF(OR(BD385="",BE385=""),"",IFERROR(IF($K385="%",BE385-BD385,BE385/BD385-1),""))</f>
        <v>0</v>
      </c>
      <c r="BG385" s="5" t="str">
        <f aca="false">IF(OR(BD385="",BE385=""),"",IF($F385="Maior Melhor",IF(BE385&gt;=BD385,"Sim","Não"),IF(BE385&lt;=BD385,"Sim","Não")))</f>
        <v>Sim</v>
      </c>
      <c r="BH385" s="11" t="n">
        <v>597.46</v>
      </c>
      <c r="BI385" s="11" t="n">
        <v>596.83</v>
      </c>
      <c r="BJ385" s="4" t="n">
        <f aca="false">IF(OR(BH385="",BI385=""),"",IFERROR(IF($K385="%",BI385-BH385,BI385/BH385-1),""))</f>
        <v>-0.00105446389716468</v>
      </c>
      <c r="BK385" s="5" t="str">
        <f aca="false">IF(OR(BH385="",BI385=""),"",IF($F385="Maior Melhor",IF(BI385&gt;=BH385,"Sim","Não"),IF(BI385&lt;=BH385,"Sim","Não")))</f>
        <v>Sim</v>
      </c>
      <c r="BL385" s="12"/>
      <c r="BM385" s="12"/>
      <c r="BN385" s="4" t="str">
        <f aca="false">IF(OR(BL385="",BM385=""),"",IFERROR(IF($K385="%",BM385-BL385,BM385/BL385-1),""))</f>
        <v/>
      </c>
      <c r="BO385" s="5" t="str">
        <f aca="false">IF(OR(BL385="",BM385=""),"",IF($F385="Maior Melhor",IF(BM385&gt;=BL385,"Sim","Não"),IF(BM385&lt;=BL385,"Sim","Não")))</f>
        <v/>
      </c>
      <c r="BP385" s="12"/>
      <c r="BQ385" s="12"/>
      <c r="BR385" s="4" t="str">
        <f aca="false">IF(OR(BP385="",BQ385=""),"",IFERROR(IF($K385="%",BQ385-BP385,BQ385/BP385-1),""))</f>
        <v/>
      </c>
      <c r="BS385" s="5" t="str">
        <f aca="false">IF(OR(BP385="",BQ385=""),"",IF($F385="Maior Melhor",IF(BQ385&gt;=BP385,"Sim","Não"),IF(BQ385&lt;=BP385,"Sim","Não")))</f>
        <v/>
      </c>
      <c r="BT385" s="12"/>
      <c r="BU385" s="12"/>
      <c r="BV385" s="4" t="str">
        <f aca="false">IF(OR(BT385="",BU385=""),"",IFERROR(IF($K385="%",BU385-BT385,BU385/BT385-1),""))</f>
        <v/>
      </c>
      <c r="BW385" s="5" t="str">
        <f aca="false">IF(OR(BT385="",BU385=""),"",IF($F385="Maior Melhor",IF(BU385&gt;=BT385,"Sim","Não"),IF(BU385&lt;=BT385,"Sim","Não")))</f>
        <v/>
      </c>
      <c r="BX385" s="12"/>
      <c r="BY385" s="12"/>
      <c r="BZ385" s="4" t="str">
        <f aca="false">IF(OR(BX385="",BY385=""),"",IFERROR(IF($K385="%",BY385-BX385,BY385/BX385-1),""))</f>
        <v/>
      </c>
      <c r="CA385" s="5" t="str">
        <f aca="false">IF(OR(BX385="",BY385=""),"",IF($F385="Maior Melhor",IF(BY385&gt;=BX385,"Sim","Não"),IF(BY385&lt;=BX385,"Sim","Não")))</f>
        <v/>
      </c>
      <c r="CB385" s="12"/>
      <c r="CC385" s="12"/>
      <c r="CD385" s="4" t="str">
        <f aca="false">IF(OR(CB385="",CC385=""),"",IFERROR(IF($K385="%",CC385-CB385,CC385/CB385-1),""))</f>
        <v/>
      </c>
      <c r="CE385" s="5" t="str">
        <f aca="false">IF(OR(CB385="",CC385=""),"",IF($F385="Maior Melhor",IF(CC385&gt;=CB385,"Sim","Não"),IF(CC385&lt;=CB385,"Sim","Não")))</f>
        <v/>
      </c>
      <c r="CF385" s="12"/>
      <c r="CG385" s="12"/>
      <c r="CH385" s="4" t="str">
        <f aca="false">IF(OR(CF385="",CG385=""),"",IFERROR(IF($K385="%",CG385-CF385,CG385/CF385-1),""))</f>
        <v/>
      </c>
      <c r="CI385" s="5" t="str">
        <f aca="false">IF(OR(CF385="",CG385=""),"",IF($F385="Maior Melhor",IF(CG385&gt;=CF385,"Sim","Não"),IF(CG385&lt;=CF385,"Sim","Não")))</f>
        <v/>
      </c>
      <c r="CJ385" s="12"/>
      <c r="CK385" s="12"/>
      <c r="CL385" s="4" t="str">
        <f aca="false">IF(OR(CJ385="",CK385=""),"",IFERROR(IF($K385="%",CK385-CJ385,CK385/CJ385-1),""))</f>
        <v/>
      </c>
      <c r="CM385" s="5" t="str">
        <f aca="false">IF(OR(CJ385="",CK385=""),"",IF($F385="Maior Melhor",IF(CK385&gt;=CJ385,"Sim","Não"),IF(CK385&lt;=CJ385,"Sim","Não")))</f>
        <v/>
      </c>
      <c r="CN385" s="12"/>
      <c r="CO385" s="12"/>
      <c r="CP385" s="4" t="str">
        <f aca="false">IF(OR(CN385="",CO385=""),"",IFERROR(IF($K385="%",CO385-CN385,CO385/CN385-1),""))</f>
        <v/>
      </c>
      <c r="CQ385" s="5" t="str">
        <f aca="false">IF(OR(CN385="",CO385=""),"",IF($F385="Maior Melhor",IF(CO385&gt;=CN385,"Sim","Não"),IF(CO385&lt;=CN385,"Sim","Não")))</f>
        <v/>
      </c>
      <c r="CR385" s="2" t="s">
        <v>154</v>
      </c>
    </row>
    <row r="386" customFormat="false" ht="15" hidden="false" customHeight="false" outlineLevel="0" collapsed="false">
      <c r="A386" s="2" t="s">
        <v>96</v>
      </c>
      <c r="B386" s="2" t="s">
        <v>108</v>
      </c>
      <c r="C386" s="2" t="s">
        <v>115</v>
      </c>
      <c r="D386" s="2" t="s">
        <v>206</v>
      </c>
      <c r="E386" s="2" t="str">
        <f aca="false">C386&amp;D386</f>
        <v>UTD BRUMADOTMAE</v>
      </c>
      <c r="F386" s="2" t="s">
        <v>167</v>
      </c>
      <c r="G386" s="2" t="s">
        <v>207</v>
      </c>
      <c r="H386" s="2" t="s">
        <v>102</v>
      </c>
      <c r="I386" s="2" t="s">
        <v>169</v>
      </c>
      <c r="J386" s="2" t="n">
        <v>3</v>
      </c>
      <c r="K386" s="2" t="s">
        <v>191</v>
      </c>
      <c r="L386" s="11" t="n">
        <v>771.89</v>
      </c>
      <c r="M386" s="11" t="n">
        <v>683.8</v>
      </c>
      <c r="N386" s="4" t="n">
        <f aca="false">IF(OR(L386="",M386=""),"",IFERROR(IF($K386="%",M386-L386,M386/L386-1),""))</f>
        <v>-0.114122478591509</v>
      </c>
      <c r="O386" s="5" t="str">
        <f aca="false">IF(OR(L386="",M386=""),"",IF($F386="Maior Melhor",IF(M386&gt;=L386,"Sim","Não"),IF(M386&lt;=L386,"Sim","Não")))</f>
        <v>Sim</v>
      </c>
      <c r="P386" s="11" t="n">
        <v>751.22</v>
      </c>
      <c r="Q386" s="11" t="n">
        <v>792.76</v>
      </c>
      <c r="R386" s="4" t="n">
        <f aca="false">IF(OR(P386="",Q386=""),"",IFERROR(IF($K386="%",Q386-P386,Q386/P386-1),""))</f>
        <v>0.0552967173397938</v>
      </c>
      <c r="S386" s="5" t="str">
        <f aca="false">IF(OR(P386="",Q386=""),"",IF($F386="Maior Melhor",IF(Q386&gt;=P386,"Sim","Não"),IF(Q386&lt;=P386,"Sim","Não")))</f>
        <v>Não</v>
      </c>
      <c r="T386" s="11" t="n">
        <v>743.58</v>
      </c>
      <c r="U386" s="11" t="n">
        <v>613.38</v>
      </c>
      <c r="V386" s="4" t="n">
        <f aca="false">IF(OR(T386="",U386=""),"",IFERROR(IF($K386="%",U386-T386,U386/T386-1),""))</f>
        <v>-0.175098846122811</v>
      </c>
      <c r="W386" s="5" t="str">
        <f aca="false">IF(OR(T386="",U386=""),"",IF($F386="Maior Melhor",IF(U386&gt;=T386,"Sim","Não"),IF(U386&lt;=T386,"Sim","Não")))</f>
        <v>Sim</v>
      </c>
      <c r="X386" s="11" t="n">
        <v>624.57</v>
      </c>
      <c r="Y386" s="11" t="n">
        <v>463.83</v>
      </c>
      <c r="Z386" s="4" t="n">
        <f aca="false">IF(OR(X386="",Y386=""),"",IFERROR(IF($K386="%",Y386-X386,Y386/X386-1),""))</f>
        <v>-0.257361064412316</v>
      </c>
      <c r="AA386" s="5" t="str">
        <f aca="false">IF(OR(X386="",Y386=""),"",IF($F386="Maior Melhor",IF(Y386&gt;=X386,"Sim","Não"),IF(Y386&lt;=X386,"Sim","Não")))</f>
        <v>Sim</v>
      </c>
      <c r="AB386" s="11" t="n">
        <v>728.42</v>
      </c>
      <c r="AC386" s="11" t="n">
        <v>645.75</v>
      </c>
      <c r="AD386" s="4" t="n">
        <f aca="false">IF(OR(AB386="",AC386=""),"",IFERROR(IF($K386="%",AC386-AB386,AC386/AB386-1),""))</f>
        <v>-0.113492216029214</v>
      </c>
      <c r="AE386" s="5" t="str">
        <f aca="false">IF(OR(AB386="",AC386=""),"",IF($F386="Maior Melhor",IF(AC386&gt;=AB386,"Sim","Não"),IF(AC386&lt;=AB386,"Sim","Não")))</f>
        <v>Sim</v>
      </c>
      <c r="AF386" s="11" t="n">
        <v>506.79</v>
      </c>
      <c r="AG386" s="11" t="n">
        <v>505.82</v>
      </c>
      <c r="AH386" s="4" t="n">
        <f aca="false">IF(OR(AF386="",AG386=""),"",IFERROR(IF($K386="%",AG386-AF386,AG386/AF386-1),""))</f>
        <v>-0.00191400777442341</v>
      </c>
      <c r="AI386" s="5" t="str">
        <f aca="false">IF(OR(AF386="",AG386=""),"",IF($F386="Maior Melhor",IF(AG386&gt;=AF386,"Sim","Não"),IF(AG386&lt;=AF386,"Sim","Não")))</f>
        <v>Sim</v>
      </c>
      <c r="AJ386" s="11" t="n">
        <v>685.3</v>
      </c>
      <c r="AK386" s="11" t="n">
        <v>622.26</v>
      </c>
      <c r="AL386" s="4" t="n">
        <f aca="false">IF(OR(AJ386="",AK386=""),"",IFERROR(IF($K386="%",AK386-AJ386,AK386/AJ386-1),""))</f>
        <v>-0.0919889099664381</v>
      </c>
      <c r="AM386" s="5" t="str">
        <f aca="false">IF(OR(AJ386="",AK386=""),"",IF($F386="Maior Melhor",IF(AK386&gt;=AJ386,"Sim","Não"),IF(AK386&lt;=AJ386,"Sim","Não")))</f>
        <v>Sim</v>
      </c>
      <c r="AN386" s="11" t="n">
        <v>589.73</v>
      </c>
      <c r="AO386" s="11" t="n">
        <v>538.01</v>
      </c>
      <c r="AP386" s="4" t="n">
        <f aca="false">IF(OR(AN386="",AO386=""),"",IFERROR(IF($K386="%",AO386-AN386,AO386/AN386-1),""))</f>
        <v>-0.0877011513743579</v>
      </c>
      <c r="AQ386" s="5" t="str">
        <f aca="false">IF(OR(AN386="",AO386=""),"",IF($F386="Maior Melhor",IF(AO386&gt;=AN386,"Sim","Não"),IF(AO386&lt;=AN386,"Sim","Não")))</f>
        <v>Sim</v>
      </c>
      <c r="AR386" s="11" t="n">
        <v>671.63</v>
      </c>
      <c r="AS386" s="11" t="n">
        <v>610.49</v>
      </c>
      <c r="AT386" s="4" t="n">
        <f aca="false">IF(OR(AR386="",AS386=""),"",IFERROR(IF($K386="%",AS386-AR386,AS386/AR386-1),""))</f>
        <v>-0.0910322647886485</v>
      </c>
      <c r="AU386" s="5" t="str">
        <f aca="false">IF(OR(AR386="",AS386=""),"",IF($F386="Maior Melhor",IF(AS386&gt;=AR386,"Sim","Não"),IF(AS386&lt;=AR386,"Sim","Não")))</f>
        <v>Sim</v>
      </c>
      <c r="AV386" s="11" t="n">
        <v>572.11</v>
      </c>
      <c r="AW386" s="11" t="n">
        <v>456.44</v>
      </c>
      <c r="AX386" s="4" t="n">
        <f aca="false">IF(OR(AV386="",AW386=""),"",IFERROR(IF($K386="%",AW386-AV386,AW386/AV386-1),""))</f>
        <v>-0.202181398682072</v>
      </c>
      <c r="AY386" s="5" t="str">
        <f aca="false">IF(OR(AV386="",AW386=""),"",IF($F386="Maior Melhor",IF(AW386&gt;=AV386,"Sim","Não"),IF(AW386&lt;=AV386,"Sim","Não")))</f>
        <v>Sim</v>
      </c>
      <c r="AZ386" s="11" t="n">
        <v>658.66</v>
      </c>
      <c r="BA386" s="11" t="n">
        <v>589.45</v>
      </c>
      <c r="BB386" s="4" t="n">
        <f aca="false">IF(OR(AZ386="",BA386=""),"",IFERROR(IF($K386="%",BA386-AZ386,BA386/AZ386-1),""))</f>
        <v>-0.105076974463304</v>
      </c>
      <c r="BC386" s="5" t="str">
        <f aca="false">IF(OR(AZ386="",BA386=""),"",IF($F386="Maior Melhor",IF(BA386&gt;=AZ386,"Sim","Não"),IF(BA386&lt;=AZ386,"Sim","Não")))</f>
        <v>Sim</v>
      </c>
      <c r="BD386" s="11" t="n">
        <v>508.22</v>
      </c>
      <c r="BE386" s="11" t="n">
        <v>508.22</v>
      </c>
      <c r="BF386" s="4" t="n">
        <f aca="false">IF(OR(BD386="",BE386=""),"",IFERROR(IF($K386="%",BE386-BD386,BE386/BD386-1),""))</f>
        <v>0</v>
      </c>
      <c r="BG386" s="5" t="str">
        <f aca="false">IF(OR(BD386="",BE386=""),"",IF($F386="Maior Melhor",IF(BE386&gt;=BD386,"Sim","Não"),IF(BE386&lt;=BD386,"Sim","Não")))</f>
        <v>Sim</v>
      </c>
      <c r="BH386" s="11" t="n">
        <v>580.69</v>
      </c>
      <c r="BI386" s="11" t="n">
        <v>580.48</v>
      </c>
      <c r="BJ386" s="4" t="n">
        <f aca="false">IF(OR(BH386="",BI386=""),"",IFERROR(IF($K386="%",BI386-BH386,BI386/BH386-1),""))</f>
        <v>-0.00036163874011963</v>
      </c>
      <c r="BK386" s="5" t="str">
        <f aca="false">IF(OR(BH386="",BI386=""),"",IF($F386="Maior Melhor",IF(BI386&gt;=BH386,"Sim","Não"),IF(BI386&lt;=BH386,"Sim","Não")))</f>
        <v>Sim</v>
      </c>
      <c r="BL386" s="12"/>
      <c r="BM386" s="12"/>
      <c r="BN386" s="4" t="str">
        <f aca="false">IF(OR(BL386="",BM386=""),"",IFERROR(IF($K386="%",BM386-BL386,BM386/BL386-1),""))</f>
        <v/>
      </c>
      <c r="BO386" s="5" t="str">
        <f aca="false">IF(OR(BL386="",BM386=""),"",IF($F386="Maior Melhor",IF(BM386&gt;=BL386,"Sim","Não"),IF(BM386&lt;=BL386,"Sim","Não")))</f>
        <v/>
      </c>
      <c r="BP386" s="12"/>
      <c r="BQ386" s="12"/>
      <c r="BR386" s="4" t="str">
        <f aca="false">IF(OR(BP386="",BQ386=""),"",IFERROR(IF($K386="%",BQ386-BP386,BQ386/BP386-1),""))</f>
        <v/>
      </c>
      <c r="BS386" s="5" t="str">
        <f aca="false">IF(OR(BP386="",BQ386=""),"",IF($F386="Maior Melhor",IF(BQ386&gt;=BP386,"Sim","Não"),IF(BQ386&lt;=BP386,"Sim","Não")))</f>
        <v/>
      </c>
      <c r="BT386" s="12"/>
      <c r="BU386" s="12"/>
      <c r="BV386" s="4" t="str">
        <f aca="false">IF(OR(BT386="",BU386=""),"",IFERROR(IF($K386="%",BU386-BT386,BU386/BT386-1),""))</f>
        <v/>
      </c>
      <c r="BW386" s="5" t="str">
        <f aca="false">IF(OR(BT386="",BU386=""),"",IF($F386="Maior Melhor",IF(BU386&gt;=BT386,"Sim","Não"),IF(BU386&lt;=BT386,"Sim","Não")))</f>
        <v/>
      </c>
      <c r="BX386" s="12"/>
      <c r="BY386" s="12"/>
      <c r="BZ386" s="4" t="str">
        <f aca="false">IF(OR(BX386="",BY386=""),"",IFERROR(IF($K386="%",BY386-BX386,BY386/BX386-1),""))</f>
        <v/>
      </c>
      <c r="CA386" s="5" t="str">
        <f aca="false">IF(OR(BX386="",BY386=""),"",IF($F386="Maior Melhor",IF(BY386&gt;=BX386,"Sim","Não"),IF(BY386&lt;=BX386,"Sim","Não")))</f>
        <v/>
      </c>
      <c r="CB386" s="12"/>
      <c r="CC386" s="12"/>
      <c r="CD386" s="4" t="str">
        <f aca="false">IF(OR(CB386="",CC386=""),"",IFERROR(IF($K386="%",CC386-CB386,CC386/CB386-1),""))</f>
        <v/>
      </c>
      <c r="CE386" s="5" t="str">
        <f aca="false">IF(OR(CB386="",CC386=""),"",IF($F386="Maior Melhor",IF(CC386&gt;=CB386,"Sim","Não"),IF(CC386&lt;=CB386,"Sim","Não")))</f>
        <v/>
      </c>
      <c r="CF386" s="12"/>
      <c r="CG386" s="12"/>
      <c r="CH386" s="4" t="str">
        <f aca="false">IF(OR(CF386="",CG386=""),"",IFERROR(IF($K386="%",CG386-CF386,CG386/CF386-1),""))</f>
        <v/>
      </c>
      <c r="CI386" s="5" t="str">
        <f aca="false">IF(OR(CF386="",CG386=""),"",IF($F386="Maior Melhor",IF(CG386&gt;=CF386,"Sim","Não"),IF(CG386&lt;=CF386,"Sim","Não")))</f>
        <v/>
      </c>
      <c r="CJ386" s="12"/>
      <c r="CK386" s="12"/>
      <c r="CL386" s="4" t="str">
        <f aca="false">IF(OR(CJ386="",CK386=""),"",IFERROR(IF($K386="%",CK386-CJ386,CK386/CJ386-1),""))</f>
        <v/>
      </c>
      <c r="CM386" s="5" t="str">
        <f aca="false">IF(OR(CJ386="",CK386=""),"",IF($F386="Maior Melhor",IF(CK386&gt;=CJ386,"Sim","Não"),IF(CK386&lt;=CJ386,"Sim","Não")))</f>
        <v/>
      </c>
      <c r="CN386" s="12"/>
      <c r="CO386" s="12"/>
      <c r="CP386" s="4" t="str">
        <f aca="false">IF(OR(CN386="",CO386=""),"",IFERROR(IF($K386="%",CO386-CN386,CO386/CN386-1),""))</f>
        <v/>
      </c>
      <c r="CQ386" s="5" t="str">
        <f aca="false">IF(OR(CN386="",CO386=""),"",IF($F386="Maior Melhor",IF(CO386&gt;=CN386,"Sim","Não"),IF(CO386&lt;=CN386,"Sim","Não")))</f>
        <v/>
      </c>
      <c r="CR386" s="2" t="s">
        <v>140</v>
      </c>
    </row>
    <row r="387" customFormat="false" ht="15" hidden="false" customHeight="false" outlineLevel="0" collapsed="false">
      <c r="A387" s="2" t="s">
        <v>96</v>
      </c>
      <c r="B387" s="2" t="s">
        <v>108</v>
      </c>
      <c r="C387" s="2" t="s">
        <v>117</v>
      </c>
      <c r="D387" s="2" t="s">
        <v>206</v>
      </c>
      <c r="E387" s="2" t="str">
        <f aca="false">C387&amp;D387</f>
        <v>UTD GUANAMBITMAE</v>
      </c>
      <c r="F387" s="2" t="s">
        <v>167</v>
      </c>
      <c r="G387" s="2" t="s">
        <v>207</v>
      </c>
      <c r="H387" s="2" t="s">
        <v>102</v>
      </c>
      <c r="I387" s="2" t="s">
        <v>169</v>
      </c>
      <c r="J387" s="2" t="n">
        <v>3</v>
      </c>
      <c r="K387" s="2" t="s">
        <v>191</v>
      </c>
      <c r="L387" s="11" t="n">
        <v>547.28</v>
      </c>
      <c r="M387" s="11" t="n">
        <v>735.85</v>
      </c>
      <c r="N387" s="4" t="n">
        <f aca="false">IF(OR(L387="",M387=""),"",IFERROR(IF($K387="%",M387-L387,M387/L387-1),""))</f>
        <v>0.344558544072504</v>
      </c>
      <c r="O387" s="5" t="str">
        <f aca="false">IF(OR(L387="",M387=""),"",IF($F387="Maior Melhor",IF(M387&gt;=L387,"Sim","Não"),IF(M387&lt;=L387,"Sim","Não")))</f>
        <v>Não</v>
      </c>
      <c r="P387" s="11" t="n">
        <v>641.51</v>
      </c>
      <c r="Q387" s="11" t="n">
        <v>818.98</v>
      </c>
      <c r="R387" s="4" t="n">
        <f aca="false">IF(OR(P387="",Q387=""),"",IFERROR(IF($K387="%",Q387-P387,Q387/P387-1),""))</f>
        <v>0.276644167666911</v>
      </c>
      <c r="S387" s="5" t="str">
        <f aca="false">IF(OR(P387="",Q387=""),"",IF($F387="Maior Melhor",IF(Q387&gt;=P387,"Sim","Não"),IF(Q387&lt;=P387,"Sim","Não")))</f>
        <v>Não</v>
      </c>
      <c r="T387" s="11" t="n">
        <v>622.56</v>
      </c>
      <c r="U387" s="11" t="n">
        <v>738.34</v>
      </c>
      <c r="V387" s="4" t="n">
        <f aca="false">IF(OR(T387="",U387=""),"",IFERROR(IF($K387="%",U387-T387,U387/T387-1),""))</f>
        <v>0.185974042662555</v>
      </c>
      <c r="W387" s="5" t="str">
        <f aca="false">IF(OR(T387="",U387=""),"",IF($F387="Maior Melhor",IF(U387&gt;=T387,"Sim","Não"),IF(U387&lt;=T387,"Sim","Não")))</f>
        <v>Não</v>
      </c>
      <c r="X387" s="11" t="n">
        <v>531.65</v>
      </c>
      <c r="Y387" s="11" t="n">
        <v>500.81</v>
      </c>
      <c r="Z387" s="4" t="n">
        <f aca="false">IF(OR(X387="",Y387=""),"",IFERROR(IF($K387="%",Y387-X387,Y387/X387-1),""))</f>
        <v>-0.0580080880278379</v>
      </c>
      <c r="AA387" s="5" t="str">
        <f aca="false">IF(OR(X387="",Y387=""),"",IF($F387="Maior Melhor",IF(Y387&gt;=X387,"Sim","Não"),IF(Y387&lt;=X387,"Sim","Não")))</f>
        <v>Sim</v>
      </c>
      <c r="AB387" s="11" t="n">
        <v>578.11</v>
      </c>
      <c r="AC387" s="11" t="n">
        <v>701.44</v>
      </c>
      <c r="AD387" s="4" t="n">
        <f aca="false">IF(OR(AB387="",AC387=""),"",IFERROR(IF($K387="%",AC387-AB387,AC387/AB387-1),""))</f>
        <v>0.213333102696719</v>
      </c>
      <c r="AE387" s="5" t="str">
        <f aca="false">IF(OR(AB387="",AC387=""),"",IF($F387="Maior Melhor",IF(AC387&gt;=AB387,"Sim","Não"),IF(AC387&lt;=AB387,"Sim","Não")))</f>
        <v>Não</v>
      </c>
      <c r="AF387" s="11" t="n">
        <v>564.54</v>
      </c>
      <c r="AG387" s="11" t="n">
        <v>573.57</v>
      </c>
      <c r="AH387" s="4" t="n">
        <f aca="false">IF(OR(AF387="",AG387=""),"",IFERROR(IF($K387="%",AG387-AF387,AG387/AF387-1),""))</f>
        <v>0.0159953236263153</v>
      </c>
      <c r="AI387" s="5" t="str">
        <f aca="false">IF(OR(AF387="",AG387=""),"",IF($F387="Maior Melhor",IF(AG387&gt;=AF387,"Sim","Não"),IF(AG387&lt;=AF387,"Sim","Não")))</f>
        <v>Não</v>
      </c>
      <c r="AJ387" s="11" t="n">
        <v>576.08</v>
      </c>
      <c r="AK387" s="11" t="n">
        <v>679.28</v>
      </c>
      <c r="AL387" s="4" t="n">
        <f aca="false">IF(OR(AJ387="",AK387=""),"",IFERROR(IF($K387="%",AK387-AJ387,AK387/AJ387-1),""))</f>
        <v>0.179141785863074</v>
      </c>
      <c r="AM387" s="5" t="str">
        <f aca="false">IF(OR(AJ387="",AK387=""),"",IF($F387="Maior Melhor",IF(AK387&gt;=AJ387,"Sim","Não"),IF(AK387&lt;=AJ387,"Sim","Não")))</f>
        <v>Não</v>
      </c>
      <c r="AN387" s="11" t="n">
        <v>501.43</v>
      </c>
      <c r="AO387" s="11" t="n">
        <v>472.58</v>
      </c>
      <c r="AP387" s="4" t="n">
        <f aca="false">IF(OR(AN387="",AO387=""),"",IFERROR(IF($K387="%",AO387-AN387,AO387/AN387-1),""))</f>
        <v>-0.0575354486169556</v>
      </c>
      <c r="AQ387" s="5" t="str">
        <f aca="false">IF(OR(AN387="",AO387=""),"",IF($F387="Maior Melhor",IF(AO387&gt;=AN387,"Sim","Não"),IF(AO387&lt;=AN387,"Sim","Não")))</f>
        <v>Sim</v>
      </c>
      <c r="AR387" s="11" t="n">
        <v>566.53</v>
      </c>
      <c r="AS387" s="11" t="n">
        <v>648.7</v>
      </c>
      <c r="AT387" s="4" t="n">
        <f aca="false">IF(OR(AR387="",AS387=""),"",IFERROR(IF($K387="%",AS387-AR387,AS387/AR387-1),""))</f>
        <v>0.145040862796322</v>
      </c>
      <c r="AU387" s="5" t="str">
        <f aca="false">IF(OR(AR387="",AS387=""),"",IF($F387="Maior Melhor",IF(AS387&gt;=AR387,"Sim","Não"),IF(AS387&lt;=AR387,"Sim","Não")))</f>
        <v>Não</v>
      </c>
      <c r="AV387" s="11" t="n">
        <v>514.55</v>
      </c>
      <c r="AW387" s="11" t="n">
        <v>432.72</v>
      </c>
      <c r="AX387" s="4" t="n">
        <f aca="false">IF(OR(AV387="",AW387=""),"",IFERROR(IF($K387="%",AW387-AV387,AW387/AV387-1),""))</f>
        <v>-0.159032164026819</v>
      </c>
      <c r="AY387" s="5" t="str">
        <f aca="false">IF(OR(AV387="",AW387=""),"",IF($F387="Maior Melhor",IF(AW387&gt;=AV387,"Sim","Não"),IF(AW387&lt;=AV387,"Sim","Não")))</f>
        <v>Sim</v>
      </c>
      <c r="AZ387" s="11" t="n">
        <v>560.75</v>
      </c>
      <c r="BA387" s="11" t="n">
        <v>622.47</v>
      </c>
      <c r="BB387" s="4" t="n">
        <f aca="false">IF(OR(AZ387="",BA387=""),"",IFERROR(IF($K387="%",BA387-AZ387,BA387/AZ387-1),""))</f>
        <v>0.110066874721355</v>
      </c>
      <c r="BC387" s="5" t="str">
        <f aca="false">IF(OR(AZ387="",BA387=""),"",IF($F387="Maior Melhor",IF(BA387&gt;=AZ387,"Sim","Não"),IF(BA387&lt;=AZ387,"Sim","Não")))</f>
        <v>Não</v>
      </c>
      <c r="BD387" s="11" t="n">
        <v>483.14</v>
      </c>
      <c r="BE387" s="11" t="n">
        <v>483.14</v>
      </c>
      <c r="BF387" s="4" t="n">
        <f aca="false">IF(OR(BD387="",BE387=""),"",IFERROR(IF($K387="%",BE387-BD387,BE387/BD387-1),""))</f>
        <v>0</v>
      </c>
      <c r="BG387" s="5" t="str">
        <f aca="false">IF(OR(BD387="",BE387=""),"",IF($F387="Maior Melhor",IF(BE387&gt;=BD387,"Sim","Não"),IF(BE387&lt;=BD387,"Sim","Não")))</f>
        <v>Sim</v>
      </c>
      <c r="BH387" s="11" t="n">
        <v>608.12</v>
      </c>
      <c r="BI387" s="11" t="n">
        <v>607.47</v>
      </c>
      <c r="BJ387" s="4" t="n">
        <f aca="false">IF(OR(BH387="",BI387=""),"",IFERROR(IF($K387="%",BI387-BH387,BI387/BH387-1),""))</f>
        <v>-0.00106886798658157</v>
      </c>
      <c r="BK387" s="5" t="str">
        <f aca="false">IF(OR(BH387="",BI387=""),"",IF($F387="Maior Melhor",IF(BI387&gt;=BH387,"Sim","Não"),IF(BI387&lt;=BH387,"Sim","Não")))</f>
        <v>Sim</v>
      </c>
      <c r="BL387" s="12"/>
      <c r="BM387" s="12"/>
      <c r="BN387" s="4" t="str">
        <f aca="false">IF(OR(BL387="",BM387=""),"",IFERROR(IF($K387="%",BM387-BL387,BM387/BL387-1),""))</f>
        <v/>
      </c>
      <c r="BO387" s="5" t="str">
        <f aca="false">IF(OR(BL387="",BM387=""),"",IF($F387="Maior Melhor",IF(BM387&gt;=BL387,"Sim","Não"),IF(BM387&lt;=BL387,"Sim","Não")))</f>
        <v/>
      </c>
      <c r="BP387" s="12"/>
      <c r="BQ387" s="12"/>
      <c r="BR387" s="4" t="str">
        <f aca="false">IF(OR(BP387="",BQ387=""),"",IFERROR(IF($K387="%",BQ387-BP387,BQ387/BP387-1),""))</f>
        <v/>
      </c>
      <c r="BS387" s="5" t="str">
        <f aca="false">IF(OR(BP387="",BQ387=""),"",IF($F387="Maior Melhor",IF(BQ387&gt;=BP387,"Sim","Não"),IF(BQ387&lt;=BP387,"Sim","Não")))</f>
        <v/>
      </c>
      <c r="BT387" s="12"/>
      <c r="BU387" s="12"/>
      <c r="BV387" s="4" t="str">
        <f aca="false">IF(OR(BT387="",BU387=""),"",IFERROR(IF($K387="%",BU387-BT387,BU387/BT387-1),""))</f>
        <v/>
      </c>
      <c r="BW387" s="5" t="str">
        <f aca="false">IF(OR(BT387="",BU387=""),"",IF($F387="Maior Melhor",IF(BU387&gt;=BT387,"Sim","Não"),IF(BU387&lt;=BT387,"Sim","Não")))</f>
        <v/>
      </c>
      <c r="BX387" s="12"/>
      <c r="BY387" s="12"/>
      <c r="BZ387" s="4" t="str">
        <f aca="false">IF(OR(BX387="",BY387=""),"",IFERROR(IF($K387="%",BY387-BX387,BY387/BX387-1),""))</f>
        <v/>
      </c>
      <c r="CA387" s="5" t="str">
        <f aca="false">IF(OR(BX387="",BY387=""),"",IF($F387="Maior Melhor",IF(BY387&gt;=BX387,"Sim","Não"),IF(BY387&lt;=BX387,"Sim","Não")))</f>
        <v/>
      </c>
      <c r="CB387" s="12"/>
      <c r="CC387" s="12"/>
      <c r="CD387" s="4" t="str">
        <f aca="false">IF(OR(CB387="",CC387=""),"",IFERROR(IF($K387="%",CC387-CB387,CC387/CB387-1),""))</f>
        <v/>
      </c>
      <c r="CE387" s="5" t="str">
        <f aca="false">IF(OR(CB387="",CC387=""),"",IF($F387="Maior Melhor",IF(CC387&gt;=CB387,"Sim","Não"),IF(CC387&lt;=CB387,"Sim","Não")))</f>
        <v/>
      </c>
      <c r="CF387" s="12"/>
      <c r="CG387" s="12"/>
      <c r="CH387" s="4" t="str">
        <f aca="false">IF(OR(CF387="",CG387=""),"",IFERROR(IF($K387="%",CG387-CF387,CG387/CF387-1),""))</f>
        <v/>
      </c>
      <c r="CI387" s="5" t="str">
        <f aca="false">IF(OR(CF387="",CG387=""),"",IF($F387="Maior Melhor",IF(CG387&gt;=CF387,"Sim","Não"),IF(CG387&lt;=CF387,"Sim","Não")))</f>
        <v/>
      </c>
      <c r="CJ387" s="12"/>
      <c r="CK387" s="12"/>
      <c r="CL387" s="4" t="str">
        <f aca="false">IF(OR(CJ387="",CK387=""),"",IFERROR(IF($K387="%",CK387-CJ387,CK387/CJ387-1),""))</f>
        <v/>
      </c>
      <c r="CM387" s="5" t="str">
        <f aca="false">IF(OR(CJ387="",CK387=""),"",IF($F387="Maior Melhor",IF(CK387&gt;=CJ387,"Sim","Não"),IF(CK387&lt;=CJ387,"Sim","Não")))</f>
        <v/>
      </c>
      <c r="CN387" s="12"/>
      <c r="CO387" s="12"/>
      <c r="CP387" s="4" t="str">
        <f aca="false">IF(OR(CN387="",CO387=""),"",IFERROR(IF($K387="%",CO387-CN387,CO387/CN387-1),""))</f>
        <v/>
      </c>
      <c r="CQ387" s="5" t="str">
        <f aca="false">IF(OR(CN387="",CO387=""),"",IF($F387="Maior Melhor",IF(CO387&gt;=CN387,"Sim","Não"),IF(CO387&lt;=CN387,"Sim","Não")))</f>
        <v/>
      </c>
      <c r="CR387" s="2" t="s">
        <v>105</v>
      </c>
    </row>
    <row r="388" customFormat="false" ht="15" hidden="false" customHeight="false" outlineLevel="0" collapsed="false">
      <c r="A388" s="2" t="s">
        <v>96</v>
      </c>
      <c r="B388" s="2" t="s">
        <v>106</v>
      </c>
      <c r="C388" s="2" t="s">
        <v>118</v>
      </c>
      <c r="D388" s="2" t="s">
        <v>206</v>
      </c>
      <c r="E388" s="2" t="str">
        <f aca="false">C388&amp;D388</f>
        <v>UTD IBOTIRAMATMAE</v>
      </c>
      <c r="F388" s="2" t="s">
        <v>167</v>
      </c>
      <c r="G388" s="2" t="s">
        <v>207</v>
      </c>
      <c r="H388" s="2" t="s">
        <v>119</v>
      </c>
      <c r="I388" s="2" t="s">
        <v>169</v>
      </c>
      <c r="J388" s="2" t="n">
        <v>3</v>
      </c>
      <c r="K388" s="2" t="s">
        <v>191</v>
      </c>
      <c r="L388" s="11" t="n">
        <v>794.52</v>
      </c>
      <c r="M388" s="11" t="n">
        <v>741.72</v>
      </c>
      <c r="N388" s="4" t="n">
        <f aca="false">IF(OR(L388="",M388=""),"",IFERROR(IF($K388="%",M388-L388,M388/L388-1),""))</f>
        <v>-0.066455218244978</v>
      </c>
      <c r="O388" s="5" t="str">
        <f aca="false">IF(OR(L388="",M388=""),"",IF($F388="Maior Melhor",IF(M388&gt;=L388,"Sim","Não"),IF(M388&lt;=L388,"Sim","Não")))</f>
        <v>Sim</v>
      </c>
      <c r="P388" s="11" t="n">
        <v>606.5</v>
      </c>
      <c r="Q388" s="11" t="n">
        <v>710.17</v>
      </c>
      <c r="R388" s="4" t="n">
        <f aca="false">IF(OR(P388="",Q388=""),"",IFERROR(IF($K388="%",Q388-P388,Q388/P388-1),""))</f>
        <v>0.170931574608409</v>
      </c>
      <c r="S388" s="5" t="str">
        <f aca="false">IF(OR(P388="",Q388=""),"",IF($F388="Maior Melhor",IF(Q388&gt;=P388,"Sim","Não"),IF(Q388&lt;=P388,"Sim","Não")))</f>
        <v>Não</v>
      </c>
      <c r="T388" s="11" t="n">
        <v>542.44</v>
      </c>
      <c r="U388" s="11" t="n">
        <v>738.57</v>
      </c>
      <c r="V388" s="4" t="n">
        <f aca="false">IF(OR(T388="",U388=""),"",IFERROR(IF($K388="%",U388-T388,U388/T388-1),""))</f>
        <v>0.361569943219527</v>
      </c>
      <c r="W388" s="5" t="str">
        <f aca="false">IF(OR(T388="",U388=""),"",IF($F388="Maior Melhor",IF(U388&gt;=T388,"Sim","Não"),IF(U388&lt;=T388,"Sim","Não")))</f>
        <v>Não</v>
      </c>
      <c r="X388" s="11" t="n">
        <v>570.24</v>
      </c>
      <c r="Y388" s="11" t="n">
        <v>542.67</v>
      </c>
      <c r="Z388" s="4" t="n">
        <f aca="false">IF(OR(X388="",Y388=""),"",IFERROR(IF($K388="%",Y388-X388,Y388/X388-1),""))</f>
        <v>-0.048348063973064</v>
      </c>
      <c r="AA388" s="5" t="str">
        <f aca="false">IF(OR(X388="",Y388=""),"",IF($F388="Maior Melhor",IF(Y388&gt;=X388,"Sim","Não"),IF(Y388&lt;=X388,"Sim","Não")))</f>
        <v>Sim</v>
      </c>
      <c r="AB388" s="11" t="n">
        <v>638.73</v>
      </c>
      <c r="AC388" s="11" t="n">
        <v>690.54</v>
      </c>
      <c r="AD388" s="4" t="n">
        <f aca="false">IF(OR(AB388="",AC388=""),"",IFERROR(IF($K388="%",AC388-AB388,AC388/AB388-1),""))</f>
        <v>0.0811140857639376</v>
      </c>
      <c r="AE388" s="5" t="str">
        <f aca="false">IF(OR(AB388="",AC388=""),"",IF($F388="Maior Melhor",IF(AC388&gt;=AB388,"Sim","Não"),IF(AC388&lt;=AB388,"Sim","Não")))</f>
        <v>Não</v>
      </c>
      <c r="AF388" s="11" t="n">
        <v>513.15</v>
      </c>
      <c r="AG388" s="11" t="n">
        <v>461.24</v>
      </c>
      <c r="AH388" s="4" t="n">
        <f aca="false">IF(OR(AF388="",AG388=""),"",IFERROR(IF($K388="%",AG388-AF388,AG388/AF388-1),""))</f>
        <v>-0.101159505018026</v>
      </c>
      <c r="AI388" s="5" t="str">
        <f aca="false">IF(OR(AF388="",AG388=""),"",IF($F388="Maior Melhor",IF(AG388&gt;=AF388,"Sim","Não"),IF(AG388&lt;=AF388,"Sim","Não")))</f>
        <v>Sim</v>
      </c>
      <c r="AJ388" s="11" t="n">
        <v>615.77</v>
      </c>
      <c r="AK388" s="11" t="n">
        <v>655.11</v>
      </c>
      <c r="AL388" s="4" t="n">
        <f aca="false">IF(OR(AJ388="",AK388=""),"",IFERROR(IF($K388="%",AK388-AJ388,AK388/AJ388-1),""))</f>
        <v>0.0638874904591</v>
      </c>
      <c r="AM388" s="5" t="str">
        <f aca="false">IF(OR(AJ388="",AK388=""),"",IF($F388="Maior Melhor",IF(AK388&gt;=AJ388,"Sim","Não"),IF(AK388&lt;=AJ388,"Sim","Não")))</f>
        <v>Não</v>
      </c>
      <c r="AN388" s="11" t="n">
        <v>391.77</v>
      </c>
      <c r="AO388" s="11" t="n">
        <v>374.38</v>
      </c>
      <c r="AP388" s="4" t="n">
        <f aca="false">IF(OR(AN388="",AO388=""),"",IFERROR(IF($K388="%",AO388-AN388,AO388/AN388-1),""))</f>
        <v>-0.044388289047145</v>
      </c>
      <c r="AQ388" s="5" t="str">
        <f aca="false">IF(OR(AN388="",AO388=""),"",IF($F388="Maior Melhor",IF(AO388&gt;=AN388,"Sim","Não"),IF(AO388&lt;=AN388,"Sim","Não")))</f>
        <v>Sim</v>
      </c>
      <c r="AR388" s="11" t="n">
        <v>581.11</v>
      </c>
      <c r="AS388" s="11" t="n">
        <v>617.96</v>
      </c>
      <c r="AT388" s="4" t="n">
        <f aca="false">IF(OR(AR388="",AS388=""),"",IFERROR(IF($K388="%",AS388-AR388,AS388/AR388-1),""))</f>
        <v>0.0634131231608475</v>
      </c>
      <c r="AU388" s="5" t="str">
        <f aca="false">IF(OR(AR388="",AS388=""),"",IF($F388="Maior Melhor",IF(AS388&gt;=AR388,"Sim","Não"),IF(AS388&lt;=AR388,"Sim","Não")))</f>
        <v>Não</v>
      </c>
      <c r="AV388" s="11" t="n">
        <v>373.06</v>
      </c>
      <c r="AW388" s="11" t="n">
        <v>365.3</v>
      </c>
      <c r="AX388" s="4" t="n">
        <f aca="false">IF(OR(AV388="",AW388=""),"",IFERROR(IF($K388="%",AW388-AV388,AW388/AV388-1),""))</f>
        <v>-0.0208009435479547</v>
      </c>
      <c r="AY388" s="5" t="str">
        <f aca="false">IF(OR(AV388="",AW388=""),"",IF($F388="Maior Melhor",IF(AW388&gt;=AV388,"Sim","Não"),IF(AW388&lt;=AV388,"Sim","Não")))</f>
        <v>Sim</v>
      </c>
      <c r="AZ388" s="11" t="n">
        <v>553.01</v>
      </c>
      <c r="BA388" s="11" t="n">
        <v>589.05</v>
      </c>
      <c r="BB388" s="4" t="n">
        <f aca="false">IF(OR(AZ388="",BA388=""),"",IFERROR(IF($K388="%",BA388-AZ388,BA388/AZ388-1),""))</f>
        <v>0.0651706117430064</v>
      </c>
      <c r="BC388" s="5" t="str">
        <f aca="false">IF(OR(AZ388="",BA388=""),"",IF($F388="Maior Melhor",IF(BA388&gt;=AZ388,"Sim","Não"),IF(BA388&lt;=AZ388,"Sim","Não")))</f>
        <v>Não</v>
      </c>
      <c r="BD388" s="11" t="n">
        <v>362.33</v>
      </c>
      <c r="BE388" s="11" t="n">
        <v>362.33</v>
      </c>
      <c r="BF388" s="4" t="n">
        <f aca="false">IF(OR(BD388="",BE388=""),"",IFERROR(IF($K388="%",BE388-BD388,BE388/BD388-1),""))</f>
        <v>0</v>
      </c>
      <c r="BG388" s="5" t="str">
        <f aca="false">IF(OR(BD388="",BE388=""),"",IF($F388="Maior Melhor",IF(BE388&gt;=BD388,"Sim","Não"),IF(BE388&lt;=BD388,"Sim","Não")))</f>
        <v>Sim</v>
      </c>
      <c r="BH388" s="11" t="n">
        <v>566.31</v>
      </c>
      <c r="BI388" s="11" t="n">
        <v>565.44</v>
      </c>
      <c r="BJ388" s="4" t="n">
        <f aca="false">IF(OR(BH388="",BI388=""),"",IFERROR(IF($K388="%",BI388-BH388,BI388/BH388-1),""))</f>
        <v>-0.00153626105843074</v>
      </c>
      <c r="BK388" s="5" t="str">
        <f aca="false">IF(OR(BH388="",BI388=""),"",IF($F388="Maior Melhor",IF(BI388&gt;=BH388,"Sim","Não"),IF(BI388&lt;=BH388,"Sim","Não")))</f>
        <v>Sim</v>
      </c>
      <c r="BL388" s="12"/>
      <c r="BM388" s="12"/>
      <c r="BN388" s="4" t="str">
        <f aca="false">IF(OR(BL388="",BM388=""),"",IFERROR(IF($K388="%",BM388-BL388,BM388/BL388-1),""))</f>
        <v/>
      </c>
      <c r="BO388" s="5" t="str">
        <f aca="false">IF(OR(BL388="",BM388=""),"",IF($F388="Maior Melhor",IF(BM388&gt;=BL388,"Sim","Não"),IF(BM388&lt;=BL388,"Sim","Não")))</f>
        <v/>
      </c>
      <c r="BP388" s="12"/>
      <c r="BQ388" s="12"/>
      <c r="BR388" s="4" t="str">
        <f aca="false">IF(OR(BP388="",BQ388=""),"",IFERROR(IF($K388="%",BQ388-BP388,BQ388/BP388-1),""))</f>
        <v/>
      </c>
      <c r="BS388" s="5" t="str">
        <f aca="false">IF(OR(BP388="",BQ388=""),"",IF($F388="Maior Melhor",IF(BQ388&gt;=BP388,"Sim","Não"),IF(BQ388&lt;=BP388,"Sim","Não")))</f>
        <v/>
      </c>
      <c r="BT388" s="12"/>
      <c r="BU388" s="12"/>
      <c r="BV388" s="4" t="str">
        <f aca="false">IF(OR(BT388="",BU388=""),"",IFERROR(IF($K388="%",BU388-BT388,BU388/BT388-1),""))</f>
        <v/>
      </c>
      <c r="BW388" s="5" t="str">
        <f aca="false">IF(OR(BT388="",BU388=""),"",IF($F388="Maior Melhor",IF(BU388&gt;=BT388,"Sim","Não"),IF(BU388&lt;=BT388,"Sim","Não")))</f>
        <v/>
      </c>
      <c r="BX388" s="12"/>
      <c r="BY388" s="12"/>
      <c r="BZ388" s="4" t="str">
        <f aca="false">IF(OR(BX388="",BY388=""),"",IFERROR(IF($K388="%",BY388-BX388,BY388/BX388-1),""))</f>
        <v/>
      </c>
      <c r="CA388" s="5" t="str">
        <f aca="false">IF(OR(BX388="",BY388=""),"",IF($F388="Maior Melhor",IF(BY388&gt;=BX388,"Sim","Não"),IF(BY388&lt;=BX388,"Sim","Não")))</f>
        <v/>
      </c>
      <c r="CB388" s="12"/>
      <c r="CC388" s="12"/>
      <c r="CD388" s="4" t="str">
        <f aca="false">IF(OR(CB388="",CC388=""),"",IFERROR(IF($K388="%",CC388-CB388,CC388/CB388-1),""))</f>
        <v/>
      </c>
      <c r="CE388" s="5" t="str">
        <f aca="false">IF(OR(CB388="",CC388=""),"",IF($F388="Maior Melhor",IF(CC388&gt;=CB388,"Sim","Não"),IF(CC388&lt;=CB388,"Sim","Não")))</f>
        <v/>
      </c>
      <c r="CF388" s="12"/>
      <c r="CG388" s="12"/>
      <c r="CH388" s="4" t="str">
        <f aca="false">IF(OR(CF388="",CG388=""),"",IFERROR(IF($K388="%",CG388-CF388,CG388/CF388-1),""))</f>
        <v/>
      </c>
      <c r="CI388" s="5" t="str">
        <f aca="false">IF(OR(CF388="",CG388=""),"",IF($F388="Maior Melhor",IF(CG388&gt;=CF388,"Sim","Não"),IF(CG388&lt;=CF388,"Sim","Não")))</f>
        <v/>
      </c>
      <c r="CJ388" s="12"/>
      <c r="CK388" s="12"/>
      <c r="CL388" s="4" t="str">
        <f aca="false">IF(OR(CJ388="",CK388=""),"",IFERROR(IF($K388="%",CK388-CJ388,CK388/CJ388-1),""))</f>
        <v/>
      </c>
      <c r="CM388" s="5" t="str">
        <f aca="false">IF(OR(CJ388="",CK388=""),"",IF($F388="Maior Melhor",IF(CK388&gt;=CJ388,"Sim","Não"),IF(CK388&lt;=CJ388,"Sim","Não")))</f>
        <v/>
      </c>
      <c r="CN388" s="12"/>
      <c r="CO388" s="12"/>
      <c r="CP388" s="4" t="str">
        <f aca="false">IF(OR(CN388="",CO388=""),"",IFERROR(IF($K388="%",CO388-CN388,CO388/CN388-1),""))</f>
        <v/>
      </c>
      <c r="CQ388" s="5" t="str">
        <f aca="false">IF(OR(CN388="",CO388=""),"",IF($F388="Maior Melhor",IF(CO388&gt;=CN388,"Sim","Não"),IF(CO388&lt;=CN388,"Sim","Não")))</f>
        <v/>
      </c>
      <c r="CR388" s="2" t="s">
        <v>178</v>
      </c>
    </row>
    <row r="389" customFormat="false" ht="15" hidden="false" customHeight="false" outlineLevel="0" collapsed="false">
      <c r="A389" s="2" t="s">
        <v>96</v>
      </c>
      <c r="B389" s="2" t="s">
        <v>97</v>
      </c>
      <c r="C389" s="2" t="s">
        <v>121</v>
      </c>
      <c r="D389" s="2" t="s">
        <v>206</v>
      </c>
      <c r="E389" s="2" t="str">
        <f aca="false">C389&amp;D389</f>
        <v>UTD IRECÊTMAE</v>
      </c>
      <c r="F389" s="2" t="s">
        <v>167</v>
      </c>
      <c r="G389" s="2" t="s">
        <v>207</v>
      </c>
      <c r="H389" s="2" t="s">
        <v>102</v>
      </c>
      <c r="I389" s="2" t="s">
        <v>169</v>
      </c>
      <c r="J389" s="2" t="n">
        <v>3</v>
      </c>
      <c r="K389" s="2" t="s">
        <v>191</v>
      </c>
      <c r="L389" s="11" t="n">
        <v>630.66</v>
      </c>
      <c r="M389" s="11" t="n">
        <v>712.26</v>
      </c>
      <c r="N389" s="4" t="n">
        <f aca="false">IF(OR(L389="",M389=""),"",IFERROR(IF($K389="%",M389-L389,M389/L389-1),""))</f>
        <v>0.129388259918181</v>
      </c>
      <c r="O389" s="5" t="str">
        <f aca="false">IF(OR(L389="",M389=""),"",IF($F389="Maior Melhor",IF(M389&gt;=L389,"Sim","Não"),IF(M389&lt;=L389,"Sim","Não")))</f>
        <v>Não</v>
      </c>
      <c r="P389" s="11" t="n">
        <v>508.64</v>
      </c>
      <c r="Q389" s="11" t="n">
        <v>817.4</v>
      </c>
      <c r="R389" s="4" t="n">
        <f aca="false">IF(OR(P389="",Q389=""),"",IFERROR(IF($K389="%",Q389-P389,Q389/P389-1),""))</f>
        <v>0.607030512739855</v>
      </c>
      <c r="S389" s="5" t="str">
        <f aca="false">IF(OR(P389="",Q389=""),"",IF($F389="Maior Melhor",IF(Q389&gt;=P389,"Sim","Não"),IF(Q389&lt;=P389,"Sim","Não")))</f>
        <v>Não</v>
      </c>
      <c r="T389" s="11" t="n">
        <v>390.95</v>
      </c>
      <c r="U389" s="11" t="n">
        <v>821.8</v>
      </c>
      <c r="V389" s="4" t="n">
        <f aca="false">IF(OR(T389="",U389=""),"",IFERROR(IF($K389="%",U389-T389,U389/T389-1),""))</f>
        <v>1.10205908683975</v>
      </c>
      <c r="W389" s="5" t="str">
        <f aca="false">IF(OR(T389="",U389=""),"",IF($F389="Maior Melhor",IF(U389&gt;=T389,"Sim","Não"),IF(U389&lt;=T389,"Sim","Não")))</f>
        <v>Não</v>
      </c>
      <c r="X389" s="11" t="n">
        <v>478.61</v>
      </c>
      <c r="Y389" s="11" t="n">
        <v>400.85</v>
      </c>
      <c r="Z389" s="4" t="n">
        <f aca="false">IF(OR(X389="",Y389=""),"",IFERROR(IF($K389="%",Y389-X389,Y389/X389-1),""))</f>
        <v>-0.16247048745325</v>
      </c>
      <c r="AA389" s="5" t="str">
        <f aca="false">IF(OR(X389="",Y389=""),"",IF($F389="Maior Melhor",IF(Y389&gt;=X389,"Sim","Não"),IF(Y389&lt;=X389,"Sim","Não")))</f>
        <v>Sim</v>
      </c>
      <c r="AB389" s="11" t="n">
        <v>509.02</v>
      </c>
      <c r="AC389" s="11" t="n">
        <v>712.19</v>
      </c>
      <c r="AD389" s="4" t="n">
        <f aca="false">IF(OR(AB389="",AC389=""),"",IFERROR(IF($K389="%",AC389-AB389,AC389/AB389-1),""))</f>
        <v>0.39913952300499</v>
      </c>
      <c r="AE389" s="5" t="str">
        <f aca="false">IF(OR(AB389="",AC389=""),"",IF($F389="Maior Melhor",IF(AC389&gt;=AB389,"Sim","Não"),IF(AC389&lt;=AB389,"Sim","Não")))</f>
        <v>Não</v>
      </c>
      <c r="AF389" s="11" t="n">
        <v>451.43</v>
      </c>
      <c r="AG389" s="11" t="n">
        <v>426.74</v>
      </c>
      <c r="AH389" s="4" t="n">
        <f aca="false">IF(OR(AF389="",AG389=""),"",IFERROR(IF($K389="%",AG389-AF389,AG389/AF389-1),""))</f>
        <v>-0.0546928648959971</v>
      </c>
      <c r="AI389" s="5" t="str">
        <f aca="false">IF(OR(AF389="",AG389=""),"",IF($F389="Maior Melhor",IF(AG389&gt;=AF389,"Sim","Não"),IF(AG389&lt;=AF389,"Sim","Não")))</f>
        <v>Sim</v>
      </c>
      <c r="AJ389" s="11" t="n">
        <v>499.3</v>
      </c>
      <c r="AK389" s="11" t="n">
        <v>664.44</v>
      </c>
      <c r="AL389" s="4" t="n">
        <f aca="false">IF(OR(AJ389="",AK389=""),"",IFERROR(IF($K389="%",AK389-AJ389,AK389/AJ389-1),""))</f>
        <v>0.330743040256359</v>
      </c>
      <c r="AM389" s="5" t="str">
        <f aca="false">IF(OR(AJ389="",AK389=""),"",IF($F389="Maior Melhor",IF(AK389&gt;=AJ389,"Sim","Não"),IF(AK389&lt;=AJ389,"Sim","Não")))</f>
        <v>Não</v>
      </c>
      <c r="AN389" s="11" t="n">
        <v>490.15</v>
      </c>
      <c r="AO389" s="11" t="n">
        <v>458.53</v>
      </c>
      <c r="AP389" s="4" t="n">
        <f aca="false">IF(OR(AN389="",AO389=""),"",IFERROR(IF($K389="%",AO389-AN389,AO389/AN389-1),""))</f>
        <v>-0.064510864021218</v>
      </c>
      <c r="AQ389" s="5" t="str">
        <f aca="false">IF(OR(AN389="",AO389=""),"",IF($F389="Maior Melhor",IF(AO389&gt;=AN389,"Sim","Não"),IF(AO389&lt;=AN389,"Sim","Não")))</f>
        <v>Sim</v>
      </c>
      <c r="AR389" s="11" t="n">
        <v>498.09</v>
      </c>
      <c r="AS389" s="11" t="n">
        <v>634.95</v>
      </c>
      <c r="AT389" s="4" t="n">
        <f aca="false">IF(OR(AR389="",AS389=""),"",IFERROR(IF($K389="%",AS389-AR389,AS389/AR389-1),""))</f>
        <v>0.274769619948202</v>
      </c>
      <c r="AU389" s="5" t="str">
        <f aca="false">IF(OR(AR389="",AS389=""),"",IF($F389="Maior Melhor",IF(AS389&gt;=AR389,"Sim","Não"),IF(AS389&lt;=AR389,"Sim","Não")))</f>
        <v>Não</v>
      </c>
      <c r="AV389" s="11" t="n">
        <v>435.4</v>
      </c>
      <c r="AW389" s="11" t="n">
        <v>396.12</v>
      </c>
      <c r="AX389" s="4" t="n">
        <f aca="false">IF(OR(AV389="",AW389=""),"",IFERROR(IF($K389="%",AW389-AV389,AW389/AV389-1),""))</f>
        <v>-0.0902158934313274</v>
      </c>
      <c r="AY389" s="5" t="str">
        <f aca="false">IF(OR(AV389="",AW389=""),"",IF($F389="Maior Melhor",IF(AW389&gt;=AV389,"Sim","Não"),IF(AW389&lt;=AV389,"Sim","Não")))</f>
        <v>Sim</v>
      </c>
      <c r="AZ389" s="11" t="n">
        <v>490.63</v>
      </c>
      <c r="BA389" s="11" t="n">
        <v>605.57</v>
      </c>
      <c r="BB389" s="4" t="n">
        <f aca="false">IF(OR(AZ389="",BA389=""),"",IFERROR(IF($K389="%",BA389-AZ389,BA389/AZ389-1),""))</f>
        <v>0.234270223997717</v>
      </c>
      <c r="BC389" s="5" t="str">
        <f aca="false">IF(OR(AZ389="",BA389=""),"",IF($F389="Maior Melhor",IF(BA389&gt;=AZ389,"Sim","Não"),IF(BA389&lt;=AZ389,"Sim","Não")))</f>
        <v>Não</v>
      </c>
      <c r="BD389" s="11" t="n">
        <v>362.47</v>
      </c>
      <c r="BE389" s="11" t="n">
        <v>362.47</v>
      </c>
      <c r="BF389" s="4" t="n">
        <f aca="false">IF(OR(BD389="",BE389=""),"",IFERROR(IF($K389="%",BE389-BD389,BE389/BD389-1),""))</f>
        <v>0</v>
      </c>
      <c r="BG389" s="5" t="str">
        <f aca="false">IF(OR(BD389="",BE389=""),"",IF($F389="Maior Melhor",IF(BE389&gt;=BD389,"Sim","Não"),IF(BE389&lt;=BD389,"Sim","Não")))</f>
        <v>Sim</v>
      </c>
      <c r="BH389" s="11" t="n">
        <v>580.04</v>
      </c>
      <c r="BI389" s="11" t="n">
        <v>579.53</v>
      </c>
      <c r="BJ389" s="4" t="n">
        <f aca="false">IF(OR(BH389="",BI389=""),"",IFERROR(IF($K389="%",BI389-BH389,BI389/BH389-1),""))</f>
        <v>-0.000879249706916774</v>
      </c>
      <c r="BK389" s="5" t="str">
        <f aca="false">IF(OR(BH389="",BI389=""),"",IF($F389="Maior Melhor",IF(BI389&gt;=BH389,"Sim","Não"),IF(BI389&lt;=BH389,"Sim","Não")))</f>
        <v>Sim</v>
      </c>
      <c r="BL389" s="12"/>
      <c r="BM389" s="12"/>
      <c r="BN389" s="4" t="str">
        <f aca="false">IF(OR(BL389="",BM389=""),"",IFERROR(IF($K389="%",BM389-BL389,BM389/BL389-1),""))</f>
        <v/>
      </c>
      <c r="BO389" s="5" t="str">
        <f aca="false">IF(OR(BL389="",BM389=""),"",IF($F389="Maior Melhor",IF(BM389&gt;=BL389,"Sim","Não"),IF(BM389&lt;=BL389,"Sim","Não")))</f>
        <v/>
      </c>
      <c r="BP389" s="12"/>
      <c r="BQ389" s="12"/>
      <c r="BR389" s="4" t="str">
        <f aca="false">IF(OR(BP389="",BQ389=""),"",IFERROR(IF($K389="%",BQ389-BP389,BQ389/BP389-1),""))</f>
        <v/>
      </c>
      <c r="BS389" s="5" t="str">
        <f aca="false">IF(OR(BP389="",BQ389=""),"",IF($F389="Maior Melhor",IF(BQ389&gt;=BP389,"Sim","Não"),IF(BQ389&lt;=BP389,"Sim","Não")))</f>
        <v/>
      </c>
      <c r="BT389" s="12"/>
      <c r="BU389" s="12"/>
      <c r="BV389" s="4" t="str">
        <f aca="false">IF(OR(BT389="",BU389=""),"",IFERROR(IF($K389="%",BU389-BT389,BU389/BT389-1),""))</f>
        <v/>
      </c>
      <c r="BW389" s="5" t="str">
        <f aca="false">IF(OR(BT389="",BU389=""),"",IF($F389="Maior Melhor",IF(BU389&gt;=BT389,"Sim","Não"),IF(BU389&lt;=BT389,"Sim","Não")))</f>
        <v/>
      </c>
      <c r="BX389" s="12"/>
      <c r="BY389" s="12"/>
      <c r="BZ389" s="4" t="str">
        <f aca="false">IF(OR(BX389="",BY389=""),"",IFERROR(IF($K389="%",BY389-BX389,BY389/BX389-1),""))</f>
        <v/>
      </c>
      <c r="CA389" s="5" t="str">
        <f aca="false">IF(OR(BX389="",BY389=""),"",IF($F389="Maior Melhor",IF(BY389&gt;=BX389,"Sim","Não"),IF(BY389&lt;=BX389,"Sim","Não")))</f>
        <v/>
      </c>
      <c r="CB389" s="12"/>
      <c r="CC389" s="12"/>
      <c r="CD389" s="4" t="str">
        <f aca="false">IF(OR(CB389="",CC389=""),"",IFERROR(IF($K389="%",CC389-CB389,CC389/CB389-1),""))</f>
        <v/>
      </c>
      <c r="CE389" s="5" t="str">
        <f aca="false">IF(OR(CB389="",CC389=""),"",IF($F389="Maior Melhor",IF(CC389&gt;=CB389,"Sim","Não"),IF(CC389&lt;=CB389,"Sim","Não")))</f>
        <v/>
      </c>
      <c r="CF389" s="12"/>
      <c r="CG389" s="12"/>
      <c r="CH389" s="4" t="str">
        <f aca="false">IF(OR(CF389="",CG389=""),"",IFERROR(IF($K389="%",CG389-CF389,CG389/CF389-1),""))</f>
        <v/>
      </c>
      <c r="CI389" s="5" t="str">
        <f aca="false">IF(OR(CF389="",CG389=""),"",IF($F389="Maior Melhor",IF(CG389&gt;=CF389,"Sim","Não"),IF(CG389&lt;=CF389,"Sim","Não")))</f>
        <v/>
      </c>
      <c r="CJ389" s="12"/>
      <c r="CK389" s="12"/>
      <c r="CL389" s="4" t="str">
        <f aca="false">IF(OR(CJ389="",CK389=""),"",IFERROR(IF($K389="%",CK389-CJ389,CK389/CJ389-1),""))</f>
        <v/>
      </c>
      <c r="CM389" s="5" t="str">
        <f aca="false">IF(OR(CJ389="",CK389=""),"",IF($F389="Maior Melhor",IF(CK389&gt;=CJ389,"Sim","Não"),IF(CK389&lt;=CJ389,"Sim","Não")))</f>
        <v/>
      </c>
      <c r="CN389" s="12"/>
      <c r="CO389" s="12"/>
      <c r="CP389" s="4" t="str">
        <f aca="false">IF(OR(CN389="",CO389=""),"",IFERROR(IF($K389="%",CO389-CN389,CO389/CN389-1),""))</f>
        <v/>
      </c>
      <c r="CQ389" s="5" t="str">
        <f aca="false">IF(OR(CN389="",CO389=""),"",IF($F389="Maior Melhor",IF(CO389&gt;=CN389,"Sim","Não"),IF(CO389&lt;=CN389,"Sim","Não")))</f>
        <v/>
      </c>
      <c r="CR389" s="2" t="s">
        <v>105</v>
      </c>
    </row>
    <row r="390" customFormat="false" ht="15" hidden="false" customHeight="false" outlineLevel="0" collapsed="false">
      <c r="A390" s="2" t="s">
        <v>96</v>
      </c>
      <c r="B390" s="2" t="s">
        <v>97</v>
      </c>
      <c r="C390" s="2" t="s">
        <v>122</v>
      </c>
      <c r="D390" s="2" t="s">
        <v>206</v>
      </c>
      <c r="E390" s="2" t="str">
        <f aca="false">C390&amp;D390</f>
        <v>UTD ITABERABATMAE</v>
      </c>
      <c r="F390" s="2" t="s">
        <v>167</v>
      </c>
      <c r="G390" s="2" t="s">
        <v>207</v>
      </c>
      <c r="H390" s="2" t="s">
        <v>102</v>
      </c>
      <c r="I390" s="2" t="s">
        <v>169</v>
      </c>
      <c r="J390" s="2" t="n">
        <v>3</v>
      </c>
      <c r="K390" s="2" t="s">
        <v>191</v>
      </c>
      <c r="L390" s="11" t="n">
        <v>497.55</v>
      </c>
      <c r="M390" s="11" t="n">
        <v>639.2</v>
      </c>
      <c r="N390" s="4" t="n">
        <f aca="false">IF(OR(L390="",M390=""),"",IFERROR(IF($K390="%",M390-L390,M390/L390-1),""))</f>
        <v>0.284695005527083</v>
      </c>
      <c r="O390" s="5" t="str">
        <f aca="false">IF(OR(L390="",M390=""),"",IF($F390="Maior Melhor",IF(M390&gt;=L390,"Sim","Não"),IF(M390&lt;=L390,"Sim","Não")))</f>
        <v>Não</v>
      </c>
      <c r="P390" s="11" t="n">
        <v>444.8</v>
      </c>
      <c r="Q390" s="11" t="n">
        <v>742.07</v>
      </c>
      <c r="R390" s="4" t="n">
        <f aca="false">IF(OR(P390="",Q390=""),"",IFERROR(IF($K390="%",Q390-P390,Q390/P390-1),""))</f>
        <v>0.668322841726619</v>
      </c>
      <c r="S390" s="5" t="str">
        <f aca="false">IF(OR(P390="",Q390=""),"",IF($F390="Maior Melhor",IF(Q390&gt;=P390,"Sim","Não"),IF(Q390&lt;=P390,"Sim","Não")))</f>
        <v>Não</v>
      </c>
      <c r="T390" s="11" t="n">
        <v>352.1</v>
      </c>
      <c r="U390" s="11" t="n">
        <v>761.23</v>
      </c>
      <c r="V390" s="4" t="n">
        <f aca="false">IF(OR(T390="",U390=""),"",IFERROR(IF($K390="%",U390-T390,U390/T390-1),""))</f>
        <v>1.16197103095711</v>
      </c>
      <c r="W390" s="5" t="str">
        <f aca="false">IF(OR(T390="",U390=""),"",IF($F390="Maior Melhor",IF(U390&gt;=T390,"Sim","Não"),IF(U390&lt;=T390,"Sim","Não")))</f>
        <v>Não</v>
      </c>
      <c r="X390" s="11" t="n">
        <v>341.27</v>
      </c>
      <c r="Y390" s="11" t="n">
        <v>478.46</v>
      </c>
      <c r="Z390" s="4" t="n">
        <f aca="false">IF(OR(X390="",Y390=""),"",IFERROR(IF($K390="%",Y390-X390,Y390/X390-1),""))</f>
        <v>0.401998417675155</v>
      </c>
      <c r="AA390" s="5" t="str">
        <f aca="false">IF(OR(X390="",Y390=""),"",IF($F390="Maior Melhor",IF(Y390&gt;=X390,"Sim","Não"),IF(Y390&lt;=X390,"Sim","Não")))</f>
        <v>Não</v>
      </c>
      <c r="AB390" s="11" t="n">
        <v>417.9</v>
      </c>
      <c r="AC390" s="11" t="n">
        <v>673.33</v>
      </c>
      <c r="AD390" s="4" t="n">
        <f aca="false">IF(OR(AB390="",AC390=""),"",IFERROR(IF($K390="%",AC390-AB390,AC390/AB390-1),""))</f>
        <v>0.611222780569515</v>
      </c>
      <c r="AE390" s="5" t="str">
        <f aca="false">IF(OR(AB390="",AC390=""),"",IF($F390="Maior Melhor",IF(AC390&gt;=AB390,"Sim","Não"),IF(AC390&lt;=AB390,"Sim","Não")))</f>
        <v>Não</v>
      </c>
      <c r="AF390" s="11" t="n">
        <v>391.93</v>
      </c>
      <c r="AG390" s="11" t="n">
        <v>379.35</v>
      </c>
      <c r="AH390" s="4" t="n">
        <f aca="false">IF(OR(AF390="",AG390=""),"",IFERROR(IF($K390="%",AG390-AF390,AG390/AF390-1),""))</f>
        <v>-0.0320975684433444</v>
      </c>
      <c r="AI390" s="5" t="str">
        <f aca="false">IF(OR(AF390="",AG390=""),"",IF($F390="Maior Melhor",IF(AG390&gt;=AF390,"Sim","Não"),IF(AG390&lt;=AF390,"Sim","Não")))</f>
        <v>Sim</v>
      </c>
      <c r="AJ390" s="11" t="n">
        <v>413.32</v>
      </c>
      <c r="AK390" s="11" t="n">
        <v>627.99</v>
      </c>
      <c r="AL390" s="4" t="n">
        <f aca="false">IF(OR(AJ390="",AK390=""),"",IFERROR(IF($K390="%",AK390-AJ390,AK390/AJ390-1),""))</f>
        <v>0.519379657408304</v>
      </c>
      <c r="AM390" s="5" t="str">
        <f aca="false">IF(OR(AJ390="",AK390=""),"",IF($F390="Maior Melhor",IF(AK390&gt;=AJ390,"Sim","Não"),IF(AK390&lt;=AJ390,"Sim","Não")))</f>
        <v>Não</v>
      </c>
      <c r="AN390" s="11" t="n">
        <v>375.52</v>
      </c>
      <c r="AO390" s="11" t="n">
        <v>356.6</v>
      </c>
      <c r="AP390" s="4" t="n">
        <f aca="false">IF(OR(AN390="",AO390=""),"",IFERROR(IF($K390="%",AO390-AN390,AO390/AN390-1),""))</f>
        <v>-0.0503834682573497</v>
      </c>
      <c r="AQ390" s="5" t="str">
        <f aca="false">IF(OR(AN390="",AO390=""),"",IF($F390="Maior Melhor",IF(AO390&gt;=AN390,"Sim","Não"),IF(AO390&lt;=AN390,"Sim","Não")))</f>
        <v>Sim</v>
      </c>
      <c r="AR390" s="11" t="n">
        <v>408.7</v>
      </c>
      <c r="AS390" s="11" t="n">
        <v>593.48</v>
      </c>
      <c r="AT390" s="4" t="n">
        <f aca="false">IF(OR(AR390="",AS390=""),"",IFERROR(IF($K390="%",AS390-AR390,AS390/AR390-1),""))</f>
        <v>0.452116466846098</v>
      </c>
      <c r="AU390" s="5" t="str">
        <f aca="false">IF(OR(AR390="",AS390=""),"",IF($F390="Maior Melhor",IF(AS390&gt;=AR390,"Sim","Não"),IF(AS390&lt;=AR390,"Sim","Não")))</f>
        <v>Não</v>
      </c>
      <c r="AV390" s="11" t="n">
        <v>367.73</v>
      </c>
      <c r="AW390" s="11" t="n">
        <v>417.68</v>
      </c>
      <c r="AX390" s="4" t="n">
        <f aca="false">IF(OR(AV390="",AW390=""),"",IFERROR(IF($K390="%",AW390-AV390,AW390/AV390-1),""))</f>
        <v>0.135833355994887</v>
      </c>
      <c r="AY390" s="5" t="str">
        <f aca="false">IF(OR(AV390="",AW390=""),"",IF($F390="Maior Melhor",IF(AW390&gt;=AV390,"Sim","Não"),IF(AW390&lt;=AV390,"Sim","Não")))</f>
        <v>Não</v>
      </c>
      <c r="AZ390" s="11" t="n">
        <v>404.31</v>
      </c>
      <c r="BA390" s="11" t="n">
        <v>572.62</v>
      </c>
      <c r="BB390" s="4" t="n">
        <f aca="false">IF(OR(AZ390="",BA390=""),"",IFERROR(IF($K390="%",BA390-AZ390,BA390/AZ390-1),""))</f>
        <v>0.416289480843907</v>
      </c>
      <c r="BC390" s="5" t="str">
        <f aca="false">IF(OR(AZ390="",BA390=""),"",IF($F390="Maior Melhor",IF(BA390&gt;=AZ390,"Sim","Não"),IF(BA390&lt;=AZ390,"Sim","Não")))</f>
        <v>Não</v>
      </c>
      <c r="BD390" s="11" t="n">
        <v>317.26</v>
      </c>
      <c r="BE390" s="11" t="n">
        <v>317.26</v>
      </c>
      <c r="BF390" s="4" t="n">
        <f aca="false">IF(OR(BD390="",BE390=""),"",IFERROR(IF($K390="%",BE390-BD390,BE390/BD390-1),""))</f>
        <v>0</v>
      </c>
      <c r="BG390" s="5" t="str">
        <f aca="false">IF(OR(BD390="",BE390=""),"",IF($F390="Maior Melhor",IF(BE390&gt;=BD390,"Sim","Não"),IF(BE390&lt;=BD390,"Sim","Não")))</f>
        <v>Sim</v>
      </c>
      <c r="BH390" s="11" t="n">
        <v>548.37</v>
      </c>
      <c r="BI390" s="11" t="n">
        <v>548.01</v>
      </c>
      <c r="BJ390" s="4" t="n">
        <f aca="false">IF(OR(BH390="",BI390=""),"",IFERROR(IF($K390="%",BI390-BH390,BI390/BH390-1),""))</f>
        <v>-0.000656491055309405</v>
      </c>
      <c r="BK390" s="5" t="str">
        <f aca="false">IF(OR(BH390="",BI390=""),"",IF($F390="Maior Melhor",IF(BI390&gt;=BH390,"Sim","Não"),IF(BI390&lt;=BH390,"Sim","Não")))</f>
        <v>Sim</v>
      </c>
      <c r="BL390" s="12"/>
      <c r="BM390" s="12"/>
      <c r="BN390" s="4" t="str">
        <f aca="false">IF(OR(BL390="",BM390=""),"",IFERROR(IF($K390="%",BM390-BL390,BM390/BL390-1),""))</f>
        <v/>
      </c>
      <c r="BO390" s="5" t="str">
        <f aca="false">IF(OR(BL390="",BM390=""),"",IF($F390="Maior Melhor",IF(BM390&gt;=BL390,"Sim","Não"),IF(BM390&lt;=BL390,"Sim","Não")))</f>
        <v/>
      </c>
      <c r="BP390" s="12"/>
      <c r="BQ390" s="12"/>
      <c r="BR390" s="4" t="str">
        <f aca="false">IF(OR(BP390="",BQ390=""),"",IFERROR(IF($K390="%",BQ390-BP390,BQ390/BP390-1),""))</f>
        <v/>
      </c>
      <c r="BS390" s="5" t="str">
        <f aca="false">IF(OR(BP390="",BQ390=""),"",IF($F390="Maior Melhor",IF(BQ390&gt;=BP390,"Sim","Não"),IF(BQ390&lt;=BP390,"Sim","Não")))</f>
        <v/>
      </c>
      <c r="BT390" s="12"/>
      <c r="BU390" s="12"/>
      <c r="BV390" s="4" t="str">
        <f aca="false">IF(OR(BT390="",BU390=""),"",IFERROR(IF($K390="%",BU390-BT390,BU390/BT390-1),""))</f>
        <v/>
      </c>
      <c r="BW390" s="5" t="str">
        <f aca="false">IF(OR(BT390="",BU390=""),"",IF($F390="Maior Melhor",IF(BU390&gt;=BT390,"Sim","Não"),IF(BU390&lt;=BT390,"Sim","Não")))</f>
        <v/>
      </c>
      <c r="BX390" s="12"/>
      <c r="BY390" s="12"/>
      <c r="BZ390" s="4" t="str">
        <f aca="false">IF(OR(BX390="",BY390=""),"",IFERROR(IF($K390="%",BY390-BX390,BY390/BX390-1),""))</f>
        <v/>
      </c>
      <c r="CA390" s="5" t="str">
        <f aca="false">IF(OR(BX390="",BY390=""),"",IF($F390="Maior Melhor",IF(BY390&gt;=BX390,"Sim","Não"),IF(BY390&lt;=BX390,"Sim","Não")))</f>
        <v/>
      </c>
      <c r="CB390" s="12"/>
      <c r="CC390" s="12"/>
      <c r="CD390" s="4" t="str">
        <f aca="false">IF(OR(CB390="",CC390=""),"",IFERROR(IF($K390="%",CC390-CB390,CC390/CB390-1),""))</f>
        <v/>
      </c>
      <c r="CE390" s="5" t="str">
        <f aca="false">IF(OR(CB390="",CC390=""),"",IF($F390="Maior Melhor",IF(CC390&gt;=CB390,"Sim","Não"),IF(CC390&lt;=CB390,"Sim","Não")))</f>
        <v/>
      </c>
      <c r="CF390" s="12"/>
      <c r="CG390" s="12"/>
      <c r="CH390" s="4" t="str">
        <f aca="false">IF(OR(CF390="",CG390=""),"",IFERROR(IF($K390="%",CG390-CF390,CG390/CF390-1),""))</f>
        <v/>
      </c>
      <c r="CI390" s="5" t="str">
        <f aca="false">IF(OR(CF390="",CG390=""),"",IF($F390="Maior Melhor",IF(CG390&gt;=CF390,"Sim","Não"),IF(CG390&lt;=CF390,"Sim","Não")))</f>
        <v/>
      </c>
      <c r="CJ390" s="12"/>
      <c r="CK390" s="12"/>
      <c r="CL390" s="4" t="str">
        <f aca="false">IF(OR(CJ390="",CK390=""),"",IFERROR(IF($K390="%",CK390-CJ390,CK390/CJ390-1),""))</f>
        <v/>
      </c>
      <c r="CM390" s="5" t="str">
        <f aca="false">IF(OR(CJ390="",CK390=""),"",IF($F390="Maior Melhor",IF(CK390&gt;=CJ390,"Sim","Não"),IF(CK390&lt;=CJ390,"Sim","Não")))</f>
        <v/>
      </c>
      <c r="CN390" s="12"/>
      <c r="CO390" s="12"/>
      <c r="CP390" s="4" t="str">
        <f aca="false">IF(OR(CN390="",CO390=""),"",IFERROR(IF($K390="%",CO390-CN390,CO390/CN390-1),""))</f>
        <v/>
      </c>
      <c r="CQ390" s="5" t="str">
        <f aca="false">IF(OR(CN390="",CO390=""),"",IF($F390="Maior Melhor",IF(CO390&gt;=CN390,"Sim","Não"),IF(CO390&lt;=CN390,"Sim","Não")))</f>
        <v/>
      </c>
      <c r="CR390" s="2" t="s">
        <v>142</v>
      </c>
    </row>
    <row r="391" customFormat="false" ht="15" hidden="false" customHeight="false" outlineLevel="0" collapsed="false">
      <c r="A391" s="2" t="s">
        <v>96</v>
      </c>
      <c r="B391" s="2" t="s">
        <v>108</v>
      </c>
      <c r="C391" s="2" t="s">
        <v>124</v>
      </c>
      <c r="D391" s="2" t="s">
        <v>206</v>
      </c>
      <c r="E391" s="2" t="str">
        <f aca="false">C391&amp;D391</f>
        <v>UTD ITAPETINGATMAE</v>
      </c>
      <c r="F391" s="2" t="s">
        <v>167</v>
      </c>
      <c r="G391" s="2" t="s">
        <v>207</v>
      </c>
      <c r="H391" s="2" t="s">
        <v>102</v>
      </c>
      <c r="I391" s="2" t="s">
        <v>169</v>
      </c>
      <c r="J391" s="2" t="n">
        <v>3</v>
      </c>
      <c r="K391" s="2" t="s">
        <v>191</v>
      </c>
      <c r="L391" s="11" t="n">
        <v>1062.07</v>
      </c>
      <c r="M391" s="11" t="n">
        <v>1010.58</v>
      </c>
      <c r="N391" s="4" t="n">
        <f aca="false">IF(OR(L391="",M391=""),"",IFERROR(IF($K391="%",M391-L391,M391/L391-1),""))</f>
        <v>-0.0484807969342886</v>
      </c>
      <c r="O391" s="5" t="str">
        <f aca="false">IF(OR(L391="",M391=""),"",IF($F391="Maior Melhor",IF(M391&gt;=L391,"Sim","Não"),IF(M391&lt;=L391,"Sim","Não")))</f>
        <v>Sim</v>
      </c>
      <c r="P391" s="11" t="n">
        <v>856.37</v>
      </c>
      <c r="Q391" s="11" t="n">
        <v>1134.2</v>
      </c>
      <c r="R391" s="4" t="n">
        <f aca="false">IF(OR(P391="",Q391=""),"",IFERROR(IF($K391="%",Q391-P391,Q391/P391-1),""))</f>
        <v>0.324427525485479</v>
      </c>
      <c r="S391" s="5" t="str">
        <f aca="false">IF(OR(P391="",Q391=""),"",IF($F391="Maior Melhor",IF(Q391&gt;=P391,"Sim","Não"),IF(Q391&lt;=P391,"Sim","Não")))</f>
        <v>Não</v>
      </c>
      <c r="T391" s="11" t="n">
        <v>795.55</v>
      </c>
      <c r="U391" s="11" t="n">
        <v>1065.9</v>
      </c>
      <c r="V391" s="4" t="n">
        <f aca="false">IF(OR(T391="",U391=""),"",IFERROR(IF($K391="%",U391-T391,U391/T391-1),""))</f>
        <v>0.33982779209352</v>
      </c>
      <c r="W391" s="5" t="str">
        <f aca="false">IF(OR(T391="",U391=""),"",IF($F391="Maior Melhor",IF(U391&gt;=T391,"Sim","Não"),IF(U391&lt;=T391,"Sim","Não")))</f>
        <v>Não</v>
      </c>
      <c r="X391" s="11" t="n">
        <v>768.45</v>
      </c>
      <c r="Y391" s="11" t="n">
        <v>622.38</v>
      </c>
      <c r="Z391" s="4" t="n">
        <f aca="false">IF(OR(X391="",Y391=""),"",IFERROR(IF($K391="%",Y391-X391,Y391/X391-1),""))</f>
        <v>-0.190083935194222</v>
      </c>
      <c r="AA391" s="5" t="str">
        <f aca="false">IF(OR(X391="",Y391=""),"",IF($F391="Maior Melhor",IF(Y391&gt;=X391,"Sim","Não"),IF(Y391&lt;=X391,"Sim","Não")))</f>
        <v>Sim</v>
      </c>
      <c r="AB391" s="11" t="n">
        <v>878.6</v>
      </c>
      <c r="AC391" s="11" t="n">
        <v>973.99</v>
      </c>
      <c r="AD391" s="4" t="n">
        <f aca="false">IF(OR(AB391="",AC391=""),"",IFERROR(IF($K391="%",AC391-AB391,AC391/AB391-1),""))</f>
        <v>0.108570452993399</v>
      </c>
      <c r="AE391" s="5" t="str">
        <f aca="false">IF(OR(AB391="",AC391=""),"",IF($F391="Maior Melhor",IF(AC391&gt;=AB391,"Sim","Não"),IF(AC391&lt;=AB391,"Sim","Não")))</f>
        <v>Não</v>
      </c>
      <c r="AF391" s="11" t="n">
        <v>477.42</v>
      </c>
      <c r="AG391" s="11" t="n">
        <v>584.99</v>
      </c>
      <c r="AH391" s="4" t="n">
        <f aca="false">IF(OR(AF391="",AG391=""),"",IFERROR(IF($K391="%",AG391-AF391,AG391/AF391-1),""))</f>
        <v>0.225315236060492</v>
      </c>
      <c r="AI391" s="5" t="str">
        <f aca="false">IF(OR(AF391="",AG391=""),"",IF($F391="Maior Melhor",IF(AG391&gt;=AF391,"Sim","Não"),IF(AG391&lt;=AF391,"Sim","Não")))</f>
        <v>Não</v>
      </c>
      <c r="AJ391" s="11" t="n">
        <v>775.27</v>
      </c>
      <c r="AK391" s="11" t="n">
        <v>907.7</v>
      </c>
      <c r="AL391" s="4" t="n">
        <f aca="false">IF(OR(AJ391="",AK391=""),"",IFERROR(IF($K391="%",AK391-AJ391,AK391/AJ391-1),""))</f>
        <v>0.170817908599585</v>
      </c>
      <c r="AM391" s="5" t="str">
        <f aca="false">IF(OR(AJ391="",AK391=""),"",IF($F391="Maior Melhor",IF(AK391&gt;=AJ391,"Sim","Não"),IF(AK391&lt;=AJ391,"Sim","Não")))</f>
        <v>Não</v>
      </c>
      <c r="AN391" s="11" t="n">
        <v>672.13</v>
      </c>
      <c r="AO391" s="11" t="n">
        <v>523.25</v>
      </c>
      <c r="AP391" s="4" t="n">
        <f aca="false">IF(OR(AN391="",AO391=""),"",IFERROR(IF($K391="%",AO391-AN391,AO391/AN391-1),""))</f>
        <v>-0.221504768422775</v>
      </c>
      <c r="AQ391" s="5" t="str">
        <f aca="false">IF(OR(AN391="",AO391=""),"",IF($F391="Maior Melhor",IF(AO391&gt;=AN391,"Sim","Não"),IF(AO391&lt;=AN391,"Sim","Não")))</f>
        <v>Sim</v>
      </c>
      <c r="AR391" s="11" t="n">
        <v>759.69</v>
      </c>
      <c r="AS391" s="11" t="n">
        <v>854.25</v>
      </c>
      <c r="AT391" s="4" t="n">
        <f aca="false">IF(OR(AR391="",AS391=""),"",IFERROR(IF($K391="%",AS391-AR391,AS391/AR391-1),""))</f>
        <v>0.124471824033487</v>
      </c>
      <c r="AU391" s="5" t="str">
        <f aca="false">IF(OR(AR391="",AS391=""),"",IF($F391="Maior Melhor",IF(AS391&gt;=AR391,"Sim","Não"),IF(AS391&lt;=AR391,"Sim","Não")))</f>
        <v>Não</v>
      </c>
      <c r="AV391" s="11" t="n">
        <v>589.89</v>
      </c>
      <c r="AW391" s="11" t="n">
        <v>447.74</v>
      </c>
      <c r="AX391" s="4" t="n">
        <f aca="false">IF(OR(AV391="",AW391=""),"",IFERROR(IF($K391="%",AW391-AV391,AW391/AV391-1),""))</f>
        <v>-0.24097713132957</v>
      </c>
      <c r="AY391" s="5" t="str">
        <f aca="false">IF(OR(AV391="",AW391=""),"",IF($F391="Maior Melhor",IF(AW391&gt;=AV391,"Sim","Não"),IF(AW391&lt;=AV391,"Sim","Não")))</f>
        <v>Sim</v>
      </c>
      <c r="AZ391" s="11" t="n">
        <v>735.07</v>
      </c>
      <c r="BA391" s="11" t="n">
        <v>804.39</v>
      </c>
      <c r="BB391" s="4" t="n">
        <f aca="false">IF(OR(AZ391="",BA391=""),"",IFERROR(IF($K391="%",BA391-AZ391,BA391/AZ391-1),""))</f>
        <v>0.094303943842083</v>
      </c>
      <c r="BC391" s="5" t="str">
        <f aca="false">IF(OR(AZ391="",BA391=""),"",IF($F391="Maior Melhor",IF(BA391&gt;=AZ391,"Sim","Não"),IF(BA391&lt;=AZ391,"Sim","Não")))</f>
        <v>Não</v>
      </c>
      <c r="BD391" s="11" t="n">
        <v>443.55</v>
      </c>
      <c r="BE391" s="11" t="n">
        <v>443.55</v>
      </c>
      <c r="BF391" s="4" t="n">
        <f aca="false">IF(OR(BD391="",BE391=""),"",IFERROR(IF($K391="%",BE391-BD391,BE391/BD391-1),""))</f>
        <v>0</v>
      </c>
      <c r="BG391" s="5" t="str">
        <f aca="false">IF(OR(BD391="",BE391=""),"",IF($F391="Maior Melhor",IF(BE391&gt;=BD391,"Sim","Não"),IF(BE391&lt;=BD391,"Sim","Não")))</f>
        <v>Sim</v>
      </c>
      <c r="BH391" s="11" t="n">
        <v>763.85</v>
      </c>
      <c r="BI391" s="11" t="n">
        <v>763.37</v>
      </c>
      <c r="BJ391" s="4" t="n">
        <f aca="false">IF(OR(BH391="",BI391=""),"",IFERROR(IF($K391="%",BI391-BH391,BI391/BH391-1),""))</f>
        <v>-0.000628395627413791</v>
      </c>
      <c r="BK391" s="5" t="str">
        <f aca="false">IF(OR(BH391="",BI391=""),"",IF($F391="Maior Melhor",IF(BI391&gt;=BH391,"Sim","Não"),IF(BI391&lt;=BH391,"Sim","Não")))</f>
        <v>Sim</v>
      </c>
      <c r="BL391" s="12"/>
      <c r="BM391" s="12"/>
      <c r="BN391" s="4" t="str">
        <f aca="false">IF(OR(BL391="",BM391=""),"",IFERROR(IF($K391="%",BM391-BL391,BM391/BL391-1),""))</f>
        <v/>
      </c>
      <c r="BO391" s="5" t="str">
        <f aca="false">IF(OR(BL391="",BM391=""),"",IF($F391="Maior Melhor",IF(BM391&gt;=BL391,"Sim","Não"),IF(BM391&lt;=BL391,"Sim","Não")))</f>
        <v/>
      </c>
      <c r="BP391" s="12"/>
      <c r="BQ391" s="12"/>
      <c r="BR391" s="4" t="str">
        <f aca="false">IF(OR(BP391="",BQ391=""),"",IFERROR(IF($K391="%",BQ391-BP391,BQ391/BP391-1),""))</f>
        <v/>
      </c>
      <c r="BS391" s="5" t="str">
        <f aca="false">IF(OR(BP391="",BQ391=""),"",IF($F391="Maior Melhor",IF(BQ391&gt;=BP391,"Sim","Não"),IF(BQ391&lt;=BP391,"Sim","Não")))</f>
        <v/>
      </c>
      <c r="BT391" s="12"/>
      <c r="BU391" s="12"/>
      <c r="BV391" s="4" t="str">
        <f aca="false">IF(OR(BT391="",BU391=""),"",IFERROR(IF($K391="%",BU391-BT391,BU391/BT391-1),""))</f>
        <v/>
      </c>
      <c r="BW391" s="5" t="str">
        <f aca="false">IF(OR(BT391="",BU391=""),"",IF($F391="Maior Melhor",IF(BU391&gt;=BT391,"Sim","Não"),IF(BU391&lt;=BT391,"Sim","Não")))</f>
        <v/>
      </c>
      <c r="BX391" s="12"/>
      <c r="BY391" s="12"/>
      <c r="BZ391" s="4" t="str">
        <f aca="false">IF(OR(BX391="",BY391=""),"",IFERROR(IF($K391="%",BY391-BX391,BY391/BX391-1),""))</f>
        <v/>
      </c>
      <c r="CA391" s="5" t="str">
        <f aca="false">IF(OR(BX391="",BY391=""),"",IF($F391="Maior Melhor",IF(BY391&gt;=BX391,"Sim","Não"),IF(BY391&lt;=BX391,"Sim","Não")))</f>
        <v/>
      </c>
      <c r="CB391" s="12"/>
      <c r="CC391" s="12"/>
      <c r="CD391" s="4" t="str">
        <f aca="false">IF(OR(CB391="",CC391=""),"",IFERROR(IF($K391="%",CC391-CB391,CC391/CB391-1),""))</f>
        <v/>
      </c>
      <c r="CE391" s="5" t="str">
        <f aca="false">IF(OR(CB391="",CC391=""),"",IF($F391="Maior Melhor",IF(CC391&gt;=CB391,"Sim","Não"),IF(CC391&lt;=CB391,"Sim","Não")))</f>
        <v/>
      </c>
      <c r="CF391" s="12"/>
      <c r="CG391" s="12"/>
      <c r="CH391" s="4" t="str">
        <f aca="false">IF(OR(CF391="",CG391=""),"",IFERROR(IF($K391="%",CG391-CF391,CG391/CF391-1),""))</f>
        <v/>
      </c>
      <c r="CI391" s="5" t="str">
        <f aca="false">IF(OR(CF391="",CG391=""),"",IF($F391="Maior Melhor",IF(CG391&gt;=CF391,"Sim","Não"),IF(CG391&lt;=CF391,"Sim","Não")))</f>
        <v/>
      </c>
      <c r="CJ391" s="12"/>
      <c r="CK391" s="12"/>
      <c r="CL391" s="4" t="str">
        <f aca="false">IF(OR(CJ391="",CK391=""),"",IFERROR(IF($K391="%",CK391-CJ391,CK391/CJ391-1),""))</f>
        <v/>
      </c>
      <c r="CM391" s="5" t="str">
        <f aca="false">IF(OR(CJ391="",CK391=""),"",IF($F391="Maior Melhor",IF(CK391&gt;=CJ391,"Sim","Não"),IF(CK391&lt;=CJ391,"Sim","Não")))</f>
        <v/>
      </c>
      <c r="CN391" s="12"/>
      <c r="CO391" s="12"/>
      <c r="CP391" s="4" t="str">
        <f aca="false">IF(OR(CN391="",CO391=""),"",IFERROR(IF($K391="%",CO391-CN391,CO391/CN391-1),""))</f>
        <v/>
      </c>
      <c r="CQ391" s="5" t="str">
        <f aca="false">IF(OR(CN391="",CO391=""),"",IF($F391="Maior Melhor",IF(CO391&gt;=CN391,"Sim","Não"),IF(CO391&lt;=CN391,"Sim","Não")))</f>
        <v/>
      </c>
      <c r="CR391" s="2" t="s">
        <v>105</v>
      </c>
    </row>
    <row r="392" customFormat="false" ht="15" hidden="false" customHeight="false" outlineLevel="0" collapsed="false">
      <c r="A392" s="2" t="s">
        <v>96</v>
      </c>
      <c r="B392" s="2" t="s">
        <v>97</v>
      </c>
      <c r="C392" s="2" t="s">
        <v>125</v>
      </c>
      <c r="D392" s="2" t="s">
        <v>206</v>
      </c>
      <c r="E392" s="2" t="str">
        <f aca="false">C392&amp;D392</f>
        <v>UTD JEQUIÉTMAE</v>
      </c>
      <c r="F392" s="2" t="s">
        <v>167</v>
      </c>
      <c r="G392" s="2" t="s">
        <v>207</v>
      </c>
      <c r="H392" s="2" t="s">
        <v>102</v>
      </c>
      <c r="I392" s="2" t="s">
        <v>169</v>
      </c>
      <c r="J392" s="2" t="n">
        <v>3</v>
      </c>
      <c r="K392" s="2" t="s">
        <v>191</v>
      </c>
      <c r="L392" s="11" t="n">
        <v>751.07</v>
      </c>
      <c r="M392" s="11" t="n">
        <v>649.4</v>
      </c>
      <c r="N392" s="4" t="n">
        <f aca="false">IF(OR(L392="",M392=""),"",IFERROR(IF($K392="%",M392-L392,M392/L392-1),""))</f>
        <v>-0.135366876589399</v>
      </c>
      <c r="O392" s="5" t="str">
        <f aca="false">IF(OR(L392="",M392=""),"",IF($F392="Maior Melhor",IF(M392&gt;=L392,"Sim","Não"),IF(M392&lt;=L392,"Sim","Não")))</f>
        <v>Sim</v>
      </c>
      <c r="P392" s="11" t="n">
        <v>549.52</v>
      </c>
      <c r="Q392" s="11" t="n">
        <v>691.41</v>
      </c>
      <c r="R392" s="4" t="n">
        <f aca="false">IF(OR(P392="",Q392=""),"",IFERROR(IF($K392="%",Q392-P392,Q392/P392-1),""))</f>
        <v>0.258207162614646</v>
      </c>
      <c r="S392" s="5" t="str">
        <f aca="false">IF(OR(P392="",Q392=""),"",IF($F392="Maior Melhor",IF(Q392&gt;=P392,"Sim","Não"),IF(Q392&lt;=P392,"Sim","Não")))</f>
        <v>Não</v>
      </c>
      <c r="T392" s="11" t="n">
        <v>536.01</v>
      </c>
      <c r="U392" s="11" t="n">
        <v>632.05</v>
      </c>
      <c r="V392" s="4" t="n">
        <f aca="false">IF(OR(T392="",U392=""),"",IFERROR(IF($K392="%",U392-T392,U392/T392-1),""))</f>
        <v>0.179175761646238</v>
      </c>
      <c r="W392" s="5" t="str">
        <f aca="false">IF(OR(T392="",U392=""),"",IF($F392="Maior Melhor",IF(U392&gt;=T392,"Sim","Não"),IF(U392&lt;=T392,"Sim","Não")))</f>
        <v>Não</v>
      </c>
      <c r="X392" s="11" t="n">
        <v>444.6</v>
      </c>
      <c r="Y392" s="11" t="n">
        <v>540.96</v>
      </c>
      <c r="Z392" s="4" t="n">
        <f aca="false">IF(OR(X392="",Y392=""),"",IFERROR(IF($K392="%",Y392-X392,Y392/X392-1),""))</f>
        <v>0.216734143049933</v>
      </c>
      <c r="AA392" s="5" t="str">
        <f aca="false">IF(OR(X392="",Y392=""),"",IF($F392="Maior Melhor",IF(Y392&gt;=X392,"Sim","Não"),IF(Y392&lt;=X392,"Sim","Não")))</f>
        <v>Não</v>
      </c>
      <c r="AB392" s="11" t="n">
        <v>579.31</v>
      </c>
      <c r="AC392" s="11" t="n">
        <v>632.39</v>
      </c>
      <c r="AD392" s="4" t="n">
        <f aca="false">IF(OR(AB392="",AC392=""),"",IFERROR(IF($K392="%",AC392-AB392,AC392/AB392-1),""))</f>
        <v>0.0916262450156222</v>
      </c>
      <c r="AE392" s="5" t="str">
        <f aca="false">IF(OR(AB392="",AC392=""),"",IF($F392="Maior Melhor",IF(AC392&gt;=AB392,"Sim","Não"),IF(AC392&lt;=AB392,"Sim","Não")))</f>
        <v>Não</v>
      </c>
      <c r="AF392" s="11" t="n">
        <v>432.39</v>
      </c>
      <c r="AG392" s="11" t="n">
        <v>464.5</v>
      </c>
      <c r="AH392" s="4" t="n">
        <f aca="false">IF(OR(AF392="",AG392=""),"",IFERROR(IF($K392="%",AG392-AF392,AG392/AF392-1),""))</f>
        <v>0.0742616619255765</v>
      </c>
      <c r="AI392" s="5" t="str">
        <f aca="false">IF(OR(AF392="",AG392=""),"",IF($F392="Maior Melhor",IF(AG392&gt;=AF392,"Sim","Não"),IF(AG392&lt;=AF392,"Sim","Não")))</f>
        <v>Não</v>
      </c>
      <c r="AJ392" s="11" t="n">
        <v>548.01</v>
      </c>
      <c r="AK392" s="11" t="n">
        <v>604.25</v>
      </c>
      <c r="AL392" s="4" t="n">
        <f aca="false">IF(OR(AJ392="",AK392=""),"",IFERROR(IF($K392="%",AK392-AJ392,AK392/AJ392-1),""))</f>
        <v>0.102625864491524</v>
      </c>
      <c r="AM392" s="5" t="str">
        <f aca="false">IF(OR(AJ392="",AK392=""),"",IF($F392="Maior Melhor",IF(AK392&gt;=AJ392,"Sim","Não"),IF(AK392&lt;=AJ392,"Sim","Não")))</f>
        <v>Não</v>
      </c>
      <c r="AN392" s="11" t="n">
        <v>458.55</v>
      </c>
      <c r="AO392" s="11" t="n">
        <v>525.25</v>
      </c>
      <c r="AP392" s="4" t="n">
        <f aca="false">IF(OR(AN392="",AO392=""),"",IFERROR(IF($K392="%",AO392-AN392,AO392/AN392-1),""))</f>
        <v>0.145458510522299</v>
      </c>
      <c r="AQ392" s="5" t="str">
        <f aca="false">IF(OR(AN392="",AO392=""),"",IF($F392="Maior Melhor",IF(AO392&gt;=AN392,"Sim","Não"),IF(AO392&lt;=AN392,"Sim","Não")))</f>
        <v>Não</v>
      </c>
      <c r="AR392" s="11" t="n">
        <v>535.19</v>
      </c>
      <c r="AS392" s="11" t="n">
        <v>592.38</v>
      </c>
      <c r="AT392" s="4" t="n">
        <f aca="false">IF(OR(AR392="",AS392=""),"",IFERROR(IF($K392="%",AS392-AR392,AS392/AR392-1),""))</f>
        <v>0.106859246248995</v>
      </c>
      <c r="AU392" s="5" t="str">
        <f aca="false">IF(OR(AR392="",AS392=""),"",IF($F392="Maior Melhor",IF(AS392&gt;=AR392,"Sim","Não"),IF(AS392&lt;=AR392,"Sim","Não")))</f>
        <v>Não</v>
      </c>
      <c r="AV392" s="11" t="n">
        <v>464.44</v>
      </c>
      <c r="AW392" s="11" t="n">
        <v>362.66</v>
      </c>
      <c r="AX392" s="4" t="n">
        <f aca="false">IF(OR(AV392="",AW392=""),"",IFERROR(IF($K392="%",AW392-AV392,AW392/AV392-1),""))</f>
        <v>-0.219145637757299</v>
      </c>
      <c r="AY392" s="5" t="str">
        <f aca="false">IF(OR(AV392="",AW392=""),"",IF($F392="Maior Melhor",IF(AW392&gt;=AV392,"Sim","Não"),IF(AW392&lt;=AV392,"Sim","Não")))</f>
        <v>Sim</v>
      </c>
      <c r="AZ392" s="11" t="n">
        <v>526.24</v>
      </c>
      <c r="BA392" s="11" t="n">
        <v>562.8</v>
      </c>
      <c r="BB392" s="4" t="n">
        <f aca="false">IF(OR(AZ392="",BA392=""),"",IFERROR(IF($K392="%",BA392-AZ392,BA392/AZ392-1),""))</f>
        <v>0.0694740042566129</v>
      </c>
      <c r="BC392" s="5" t="str">
        <f aca="false">IF(OR(AZ392="",BA392=""),"",IF($F392="Maior Melhor",IF(BA392&gt;=AZ392,"Sim","Não"),IF(BA392&lt;=AZ392,"Sim","Não")))</f>
        <v>Não</v>
      </c>
      <c r="BD392" s="11" t="n">
        <v>454.71</v>
      </c>
      <c r="BE392" s="11" t="n">
        <v>454.71</v>
      </c>
      <c r="BF392" s="4" t="n">
        <f aca="false">IF(OR(BD392="",BE392=""),"",IFERROR(IF($K392="%",BE392-BD392,BE392/BD392-1),""))</f>
        <v>0</v>
      </c>
      <c r="BG392" s="5" t="str">
        <f aca="false">IF(OR(BD392="",BE392=""),"",IF($F392="Maior Melhor",IF(BE392&gt;=BD392,"Sim","Não"),IF(BE392&lt;=BD392,"Sim","Não")))</f>
        <v>Sim</v>
      </c>
      <c r="BH392" s="11" t="n">
        <v>553.24</v>
      </c>
      <c r="BI392" s="11" t="n">
        <v>550.07</v>
      </c>
      <c r="BJ392" s="4" t="n">
        <f aca="false">IF(OR(BH392="",BI392=""),"",IFERROR(IF($K392="%",BI392-BH392,BI392/BH392-1),""))</f>
        <v>-0.00572988214879611</v>
      </c>
      <c r="BK392" s="5" t="str">
        <f aca="false">IF(OR(BH392="",BI392=""),"",IF($F392="Maior Melhor",IF(BI392&gt;=BH392,"Sim","Não"),IF(BI392&lt;=BH392,"Sim","Não")))</f>
        <v>Sim</v>
      </c>
      <c r="BL392" s="12"/>
      <c r="BM392" s="12"/>
      <c r="BN392" s="4" t="str">
        <f aca="false">IF(OR(BL392="",BM392=""),"",IFERROR(IF($K392="%",BM392-BL392,BM392/BL392-1),""))</f>
        <v/>
      </c>
      <c r="BO392" s="5" t="str">
        <f aca="false">IF(OR(BL392="",BM392=""),"",IF($F392="Maior Melhor",IF(BM392&gt;=BL392,"Sim","Não"),IF(BM392&lt;=BL392,"Sim","Não")))</f>
        <v/>
      </c>
      <c r="BP392" s="12"/>
      <c r="BQ392" s="12"/>
      <c r="BR392" s="4" t="str">
        <f aca="false">IF(OR(BP392="",BQ392=""),"",IFERROR(IF($K392="%",BQ392-BP392,BQ392/BP392-1),""))</f>
        <v/>
      </c>
      <c r="BS392" s="5" t="str">
        <f aca="false">IF(OR(BP392="",BQ392=""),"",IF($F392="Maior Melhor",IF(BQ392&gt;=BP392,"Sim","Não"),IF(BQ392&lt;=BP392,"Sim","Não")))</f>
        <v/>
      </c>
      <c r="BT392" s="12"/>
      <c r="BU392" s="12"/>
      <c r="BV392" s="4" t="str">
        <f aca="false">IF(OR(BT392="",BU392=""),"",IFERROR(IF($K392="%",BU392-BT392,BU392/BT392-1),""))</f>
        <v/>
      </c>
      <c r="BW392" s="5" t="str">
        <f aca="false">IF(OR(BT392="",BU392=""),"",IF($F392="Maior Melhor",IF(BU392&gt;=BT392,"Sim","Não"),IF(BU392&lt;=BT392,"Sim","Não")))</f>
        <v/>
      </c>
      <c r="BX392" s="12"/>
      <c r="BY392" s="12"/>
      <c r="BZ392" s="4" t="str">
        <f aca="false">IF(OR(BX392="",BY392=""),"",IFERROR(IF($K392="%",BY392-BX392,BY392/BX392-1),""))</f>
        <v/>
      </c>
      <c r="CA392" s="5" t="str">
        <f aca="false">IF(OR(BX392="",BY392=""),"",IF($F392="Maior Melhor",IF(BY392&gt;=BX392,"Sim","Não"),IF(BY392&lt;=BX392,"Sim","Não")))</f>
        <v/>
      </c>
      <c r="CB392" s="12"/>
      <c r="CC392" s="12"/>
      <c r="CD392" s="4" t="str">
        <f aca="false">IF(OR(CB392="",CC392=""),"",IFERROR(IF($K392="%",CC392-CB392,CC392/CB392-1),""))</f>
        <v/>
      </c>
      <c r="CE392" s="5" t="str">
        <f aca="false">IF(OR(CB392="",CC392=""),"",IF($F392="Maior Melhor",IF(CC392&gt;=CB392,"Sim","Não"),IF(CC392&lt;=CB392,"Sim","Não")))</f>
        <v/>
      </c>
      <c r="CF392" s="12"/>
      <c r="CG392" s="12"/>
      <c r="CH392" s="4" t="str">
        <f aca="false">IF(OR(CF392="",CG392=""),"",IFERROR(IF($K392="%",CG392-CF392,CG392/CF392-1),""))</f>
        <v/>
      </c>
      <c r="CI392" s="5" t="str">
        <f aca="false">IF(OR(CF392="",CG392=""),"",IF($F392="Maior Melhor",IF(CG392&gt;=CF392,"Sim","Não"),IF(CG392&lt;=CF392,"Sim","Não")))</f>
        <v/>
      </c>
      <c r="CJ392" s="12"/>
      <c r="CK392" s="12"/>
      <c r="CL392" s="4" t="str">
        <f aca="false">IF(OR(CJ392="",CK392=""),"",IFERROR(IF($K392="%",CK392-CJ392,CK392/CJ392-1),""))</f>
        <v/>
      </c>
      <c r="CM392" s="5" t="str">
        <f aca="false">IF(OR(CJ392="",CK392=""),"",IF($F392="Maior Melhor",IF(CK392&gt;=CJ392,"Sim","Não"),IF(CK392&lt;=CJ392,"Sim","Não")))</f>
        <v/>
      </c>
      <c r="CN392" s="12"/>
      <c r="CO392" s="12"/>
      <c r="CP392" s="4" t="str">
        <f aca="false">IF(OR(CN392="",CO392=""),"",IFERROR(IF($K392="%",CO392-CN392,CO392/CN392-1),""))</f>
        <v/>
      </c>
      <c r="CQ392" s="5" t="str">
        <f aca="false">IF(OR(CN392="",CO392=""),"",IF($F392="Maior Melhor",IF(CO392&gt;=CN392,"Sim","Não"),IF(CO392&lt;=CN392,"Sim","Não")))</f>
        <v/>
      </c>
      <c r="CR392" s="2" t="s">
        <v>105</v>
      </c>
    </row>
    <row r="393" customFormat="false" ht="15" hidden="false" customHeight="false" outlineLevel="0" collapsed="false">
      <c r="A393" s="2" t="s">
        <v>96</v>
      </c>
      <c r="B393" s="2" t="s">
        <v>97</v>
      </c>
      <c r="C393" s="2" t="s">
        <v>126</v>
      </c>
      <c r="D393" s="2" t="s">
        <v>206</v>
      </c>
      <c r="E393" s="2" t="str">
        <f aca="false">C393&amp;D393</f>
        <v>UTD LIVRAMENTO DE NOSSA SENHORATMAE</v>
      </c>
      <c r="F393" s="2" t="s">
        <v>167</v>
      </c>
      <c r="G393" s="2" t="s">
        <v>207</v>
      </c>
      <c r="H393" s="2" t="s">
        <v>102</v>
      </c>
      <c r="I393" s="2" t="s">
        <v>169</v>
      </c>
      <c r="J393" s="2" t="n">
        <v>3</v>
      </c>
      <c r="K393" s="2" t="s">
        <v>191</v>
      </c>
      <c r="L393" s="11" t="n">
        <v>578.53</v>
      </c>
      <c r="M393" s="11" t="n">
        <v>717.8</v>
      </c>
      <c r="N393" s="4" t="n">
        <f aca="false">IF(OR(L393="",M393=""),"",IFERROR(IF($K393="%",M393-L393,M393/L393-1),""))</f>
        <v>0.24073081776226</v>
      </c>
      <c r="O393" s="5" t="str">
        <f aca="false">IF(OR(L393="",M393=""),"",IF($F393="Maior Melhor",IF(M393&gt;=L393,"Sim","Não"),IF(M393&lt;=L393,"Sim","Não")))</f>
        <v>Não</v>
      </c>
      <c r="P393" s="11" t="n">
        <v>600.96</v>
      </c>
      <c r="Q393" s="11" t="n">
        <v>695.94</v>
      </c>
      <c r="R393" s="4" t="n">
        <f aca="false">IF(OR(P393="",Q393=""),"",IFERROR(IF($K393="%",Q393-P393,Q393/P393-1),""))</f>
        <v>0.158047124600639</v>
      </c>
      <c r="S393" s="5" t="str">
        <f aca="false">IF(OR(P393="",Q393=""),"",IF($F393="Maior Melhor",IF(Q393&gt;=P393,"Sim","Não"),IF(Q393&lt;=P393,"Sim","Não")))</f>
        <v>Não</v>
      </c>
      <c r="T393" s="11" t="n">
        <v>581.54</v>
      </c>
      <c r="U393" s="11" t="n">
        <v>480.01</v>
      </c>
      <c r="V393" s="4" t="n">
        <f aca="false">IF(OR(T393="",U393=""),"",IFERROR(IF($K393="%",U393-T393,U393/T393-1),""))</f>
        <v>-0.174588162465179</v>
      </c>
      <c r="W393" s="5" t="str">
        <f aca="false">IF(OR(T393="",U393=""),"",IF($F393="Maior Melhor",IF(U393&gt;=T393,"Sim","Não"),IF(U393&lt;=T393,"Sim","Não")))</f>
        <v>Sim</v>
      </c>
      <c r="X393" s="11" t="n">
        <v>476.43</v>
      </c>
      <c r="Y393" s="11" t="n">
        <v>385.83</v>
      </c>
      <c r="Z393" s="4" t="n">
        <f aca="false">IF(OR(X393="",Y393=""),"",IFERROR(IF($K393="%",Y393-X393,Y393/X393-1),""))</f>
        <v>-0.190164347333291</v>
      </c>
      <c r="AA393" s="5" t="str">
        <f aca="false">IF(OR(X393="",Y393=""),"",IF($F393="Maior Melhor",IF(Y393&gt;=X393,"Sim","Não"),IF(Y393&lt;=X393,"Sim","Não")))</f>
        <v>Sim</v>
      </c>
      <c r="AB393" s="11" t="n">
        <v>561.51</v>
      </c>
      <c r="AC393" s="11" t="n">
        <v>585.57</v>
      </c>
      <c r="AD393" s="4" t="n">
        <f aca="false">IF(OR(AB393="",AC393=""),"",IFERROR(IF($K393="%",AC393-AB393,AC393/AB393-1),""))</f>
        <v>0.0428487471282792</v>
      </c>
      <c r="AE393" s="5" t="str">
        <f aca="false">IF(OR(AB393="",AC393=""),"",IF($F393="Maior Melhor",IF(AC393&gt;=AB393,"Sim","Não"),IF(AC393&lt;=AB393,"Sim","Não")))</f>
        <v>Não</v>
      </c>
      <c r="AF393" s="11" t="n">
        <v>381.23</v>
      </c>
      <c r="AG393" s="11" t="n">
        <v>518.8</v>
      </c>
      <c r="AH393" s="4" t="n">
        <f aca="false">IF(OR(AF393="",AG393=""),"",IFERROR(IF($K393="%",AG393-AF393,AG393/AF393-1),""))</f>
        <v>0.360858274532434</v>
      </c>
      <c r="AI393" s="5" t="str">
        <f aca="false">IF(OR(AF393="",AG393=""),"",IF($F393="Maior Melhor",IF(AG393&gt;=AF393,"Sim","Não"),IF(AG393&lt;=AF393,"Sim","Não")))</f>
        <v>Não</v>
      </c>
      <c r="AJ393" s="11" t="n">
        <v>525.25</v>
      </c>
      <c r="AK393" s="11" t="n">
        <v>575.64</v>
      </c>
      <c r="AL393" s="4" t="n">
        <f aca="false">IF(OR(AJ393="",AK393=""),"",IFERROR(IF($K393="%",AK393-AJ393,AK393/AJ393-1),""))</f>
        <v>0.0959352689195621</v>
      </c>
      <c r="AM393" s="5" t="str">
        <f aca="false">IF(OR(AJ393="",AK393=""),"",IF($F393="Maior Melhor",IF(AK393&gt;=AJ393,"Sim","Não"),IF(AK393&lt;=AJ393,"Sim","Não")))</f>
        <v>Não</v>
      </c>
      <c r="AN393" s="11" t="n">
        <v>407.83</v>
      </c>
      <c r="AO393" s="11" t="n">
        <v>383.36</v>
      </c>
      <c r="AP393" s="4" t="n">
        <f aca="false">IF(OR(AN393="",AO393=""),"",IFERROR(IF($K393="%",AO393-AN393,AO393/AN393-1),""))</f>
        <v>-0.0600004904004119</v>
      </c>
      <c r="AQ393" s="5" t="str">
        <f aca="false">IF(OR(AN393="",AO393=""),"",IF($F393="Maior Melhor",IF(AO393&gt;=AN393,"Sim","Não"),IF(AO393&lt;=AN393,"Sim","Não")))</f>
        <v>Sim</v>
      </c>
      <c r="AR393" s="11" t="n">
        <v>509.01</v>
      </c>
      <c r="AS393" s="11" t="n">
        <v>550.95</v>
      </c>
      <c r="AT393" s="4" t="n">
        <f aca="false">IF(OR(AR393="",AS393=""),"",IFERROR(IF($K393="%",AS393-AR393,AS393/AR393-1),""))</f>
        <v>0.0823952378145814</v>
      </c>
      <c r="AU393" s="5" t="str">
        <f aca="false">IF(OR(AR393="",AS393=""),"",IF($F393="Maior Melhor",IF(AS393&gt;=AR393,"Sim","Não"),IF(AS393&lt;=AR393,"Sim","Não")))</f>
        <v>Não</v>
      </c>
      <c r="AV393" s="11" t="n">
        <v>402.01</v>
      </c>
      <c r="AW393" s="11" t="n">
        <v>420.26</v>
      </c>
      <c r="AX393" s="4" t="n">
        <f aca="false">IF(OR(AV393="",AW393=""),"",IFERROR(IF($K393="%",AW393-AV393,AW393/AV393-1),""))</f>
        <v>0.0453968806746101</v>
      </c>
      <c r="AY393" s="5" t="str">
        <f aca="false">IF(OR(AV393="",AW393=""),"",IF($F393="Maior Melhor",IF(AW393&gt;=AV393,"Sim","Não"),IF(AW393&lt;=AV393,"Sim","Não")))</f>
        <v>Não</v>
      </c>
      <c r="AZ393" s="11" t="n">
        <v>495.68</v>
      </c>
      <c r="BA393" s="11" t="n">
        <v>535.92</v>
      </c>
      <c r="BB393" s="4" t="n">
        <f aca="false">IF(OR(AZ393="",BA393=""),"",IFERROR(IF($K393="%",BA393-AZ393,BA393/AZ393-1),""))</f>
        <v>0.0811814073595867</v>
      </c>
      <c r="BC393" s="5" t="str">
        <f aca="false">IF(OR(AZ393="",BA393=""),"",IF($F393="Maior Melhor",IF(BA393&gt;=AZ393,"Sim","Não"),IF(BA393&lt;=AZ393,"Sim","Não")))</f>
        <v>Não</v>
      </c>
      <c r="BD393" s="11" t="n">
        <v>386.84</v>
      </c>
      <c r="BE393" s="11" t="n">
        <v>386.84</v>
      </c>
      <c r="BF393" s="4" t="n">
        <f aca="false">IF(OR(BD393="",BE393=""),"",IFERROR(IF($K393="%",BE393-BD393,BE393/BD393-1),""))</f>
        <v>0</v>
      </c>
      <c r="BG393" s="5" t="str">
        <f aca="false">IF(OR(BD393="",BE393=""),"",IF($F393="Maior Melhor",IF(BE393&gt;=BD393,"Sim","Não"),IF(BE393&lt;=BD393,"Sim","Não")))</f>
        <v>Sim</v>
      </c>
      <c r="BH393" s="11" t="n">
        <v>521.62</v>
      </c>
      <c r="BI393" s="11" t="n">
        <v>521</v>
      </c>
      <c r="BJ393" s="4" t="n">
        <f aca="false">IF(OR(BH393="",BI393=""),"",IFERROR(IF($K393="%",BI393-BH393,BI393/BH393-1),""))</f>
        <v>-0.00118860473141369</v>
      </c>
      <c r="BK393" s="5" t="str">
        <f aca="false">IF(OR(BH393="",BI393=""),"",IF($F393="Maior Melhor",IF(BI393&gt;=BH393,"Sim","Não"),IF(BI393&lt;=BH393,"Sim","Não")))</f>
        <v>Sim</v>
      </c>
      <c r="BL393" s="12"/>
      <c r="BM393" s="12"/>
      <c r="BN393" s="4" t="str">
        <f aca="false">IF(OR(BL393="",BM393=""),"",IFERROR(IF($K393="%",BM393-BL393,BM393/BL393-1),""))</f>
        <v/>
      </c>
      <c r="BO393" s="5" t="str">
        <f aca="false">IF(OR(BL393="",BM393=""),"",IF($F393="Maior Melhor",IF(BM393&gt;=BL393,"Sim","Não"),IF(BM393&lt;=BL393,"Sim","Não")))</f>
        <v/>
      </c>
      <c r="BP393" s="12"/>
      <c r="BQ393" s="12"/>
      <c r="BR393" s="4" t="str">
        <f aca="false">IF(OR(BP393="",BQ393=""),"",IFERROR(IF($K393="%",BQ393-BP393,BQ393/BP393-1),""))</f>
        <v/>
      </c>
      <c r="BS393" s="5" t="str">
        <f aca="false">IF(OR(BP393="",BQ393=""),"",IF($F393="Maior Melhor",IF(BQ393&gt;=BP393,"Sim","Não"),IF(BQ393&lt;=BP393,"Sim","Não")))</f>
        <v/>
      </c>
      <c r="BT393" s="12"/>
      <c r="BU393" s="12"/>
      <c r="BV393" s="4" t="str">
        <f aca="false">IF(OR(BT393="",BU393=""),"",IFERROR(IF($K393="%",BU393-BT393,BU393/BT393-1),""))</f>
        <v/>
      </c>
      <c r="BW393" s="5" t="str">
        <f aca="false">IF(OR(BT393="",BU393=""),"",IF($F393="Maior Melhor",IF(BU393&gt;=BT393,"Sim","Não"),IF(BU393&lt;=BT393,"Sim","Não")))</f>
        <v/>
      </c>
      <c r="BX393" s="12"/>
      <c r="BY393" s="12"/>
      <c r="BZ393" s="4" t="str">
        <f aca="false">IF(OR(BX393="",BY393=""),"",IFERROR(IF($K393="%",BY393-BX393,BY393/BX393-1),""))</f>
        <v/>
      </c>
      <c r="CA393" s="5" t="str">
        <f aca="false">IF(OR(BX393="",BY393=""),"",IF($F393="Maior Melhor",IF(BY393&gt;=BX393,"Sim","Não"),IF(BY393&lt;=BX393,"Sim","Não")))</f>
        <v/>
      </c>
      <c r="CB393" s="12"/>
      <c r="CC393" s="12"/>
      <c r="CD393" s="4" t="str">
        <f aca="false">IF(OR(CB393="",CC393=""),"",IFERROR(IF($K393="%",CC393-CB393,CC393/CB393-1),""))</f>
        <v/>
      </c>
      <c r="CE393" s="5" t="str">
        <f aca="false">IF(OR(CB393="",CC393=""),"",IF($F393="Maior Melhor",IF(CC393&gt;=CB393,"Sim","Não"),IF(CC393&lt;=CB393,"Sim","Não")))</f>
        <v/>
      </c>
      <c r="CF393" s="12"/>
      <c r="CG393" s="12"/>
      <c r="CH393" s="4" t="str">
        <f aca="false">IF(OR(CF393="",CG393=""),"",IFERROR(IF($K393="%",CG393-CF393,CG393/CF393-1),""))</f>
        <v/>
      </c>
      <c r="CI393" s="5" t="str">
        <f aca="false">IF(OR(CF393="",CG393=""),"",IF($F393="Maior Melhor",IF(CG393&gt;=CF393,"Sim","Não"),IF(CG393&lt;=CF393,"Sim","Não")))</f>
        <v/>
      </c>
      <c r="CJ393" s="12"/>
      <c r="CK393" s="12"/>
      <c r="CL393" s="4" t="str">
        <f aca="false">IF(OR(CJ393="",CK393=""),"",IFERROR(IF($K393="%",CK393-CJ393,CK393/CJ393-1),""))</f>
        <v/>
      </c>
      <c r="CM393" s="5" t="str">
        <f aca="false">IF(OR(CJ393="",CK393=""),"",IF($F393="Maior Melhor",IF(CK393&gt;=CJ393,"Sim","Não"),IF(CK393&lt;=CJ393,"Sim","Não")))</f>
        <v/>
      </c>
      <c r="CN393" s="12"/>
      <c r="CO393" s="12"/>
      <c r="CP393" s="4" t="str">
        <f aca="false">IF(OR(CN393="",CO393=""),"",IFERROR(IF($K393="%",CO393-CN393,CO393/CN393-1),""))</f>
        <v/>
      </c>
      <c r="CQ393" s="5" t="str">
        <f aca="false">IF(OR(CN393="",CO393=""),"",IF($F393="Maior Melhor",IF(CO393&gt;=CN393,"Sim","Não"),IF(CO393&lt;=CN393,"Sim","Não")))</f>
        <v/>
      </c>
      <c r="CR393" s="2" t="s">
        <v>105</v>
      </c>
    </row>
    <row r="394" customFormat="false" ht="15" hidden="false" customHeight="false" outlineLevel="0" collapsed="false">
      <c r="A394" s="2" t="s">
        <v>96</v>
      </c>
      <c r="B394" s="2" t="s">
        <v>106</v>
      </c>
      <c r="C394" s="2" t="s">
        <v>127</v>
      </c>
      <c r="D394" s="2" t="s">
        <v>206</v>
      </c>
      <c r="E394" s="2" t="str">
        <f aca="false">C394&amp;D394</f>
        <v>UTD LUIS EDUARDO MAGALHAESTMAE</v>
      </c>
      <c r="F394" s="2" t="s">
        <v>167</v>
      </c>
      <c r="G394" s="2" t="s">
        <v>207</v>
      </c>
      <c r="H394" s="2" t="s">
        <v>102</v>
      </c>
      <c r="I394" s="2" t="s">
        <v>169</v>
      </c>
      <c r="J394" s="2" t="n">
        <v>3</v>
      </c>
      <c r="K394" s="2" t="s">
        <v>191</v>
      </c>
      <c r="L394" s="11" t="n">
        <v>1006.97</v>
      </c>
      <c r="M394" s="11" t="n">
        <v>927.31</v>
      </c>
      <c r="N394" s="4" t="n">
        <f aca="false">IF(OR(L394="",M394=""),"",IFERROR(IF($K394="%",M394-L394,M394/L394-1),""))</f>
        <v>-0.0791086129676158</v>
      </c>
      <c r="O394" s="5" t="str">
        <f aca="false">IF(OR(L394="",M394=""),"",IF($F394="Maior Melhor",IF(M394&gt;=L394,"Sim","Não"),IF(M394&lt;=L394,"Sim","Não")))</f>
        <v>Sim</v>
      </c>
      <c r="P394" s="11" t="n">
        <v>730.63</v>
      </c>
      <c r="Q394" s="11" t="n">
        <v>911.27</v>
      </c>
      <c r="R394" s="4" t="n">
        <f aca="false">IF(OR(P394="",Q394=""),"",IFERROR(IF($K394="%",Q394-P394,Q394/P394-1),""))</f>
        <v>0.247238684423032</v>
      </c>
      <c r="S394" s="5" t="str">
        <f aca="false">IF(OR(P394="",Q394=""),"",IF($F394="Maior Melhor",IF(Q394&gt;=P394,"Sim","Não"),IF(Q394&lt;=P394,"Sim","Não")))</f>
        <v>Não</v>
      </c>
      <c r="T394" s="11" t="n">
        <v>640.4</v>
      </c>
      <c r="U394" s="11" t="n">
        <v>840.8</v>
      </c>
      <c r="V394" s="4" t="n">
        <f aca="false">IF(OR(T394="",U394=""),"",IFERROR(IF($K394="%",U394-T394,U394/T394-1),""))</f>
        <v>0.312929419113054</v>
      </c>
      <c r="W394" s="5" t="str">
        <f aca="false">IF(OR(T394="",U394=""),"",IF($F394="Maior Melhor",IF(U394&gt;=T394,"Sim","Não"),IF(U394&lt;=T394,"Sim","Não")))</f>
        <v>Não</v>
      </c>
      <c r="X394" s="11" t="n">
        <v>575.74</v>
      </c>
      <c r="Y394" s="11" t="n">
        <v>916.92</v>
      </c>
      <c r="Z394" s="4" t="n">
        <f aca="false">IF(OR(X394="",Y394=""),"",IFERROR(IF($K394="%",Y394-X394,Y394/X394-1),""))</f>
        <v>0.592593879181575</v>
      </c>
      <c r="AA394" s="5" t="str">
        <f aca="false">IF(OR(X394="",Y394=""),"",IF($F394="Maior Melhor",IF(Y394&gt;=X394,"Sim","Não"),IF(Y394&lt;=X394,"Sim","Não")))</f>
        <v>Não</v>
      </c>
      <c r="AB394" s="11" t="n">
        <v>749.62</v>
      </c>
      <c r="AC394" s="11" t="n">
        <v>883.64</v>
      </c>
      <c r="AD394" s="4" t="n">
        <f aca="false">IF(OR(AB394="",AC394=""),"",IFERROR(IF($K394="%",AC394-AB394,AC394/AB394-1),""))</f>
        <v>0.178783917184707</v>
      </c>
      <c r="AE394" s="5" t="str">
        <f aca="false">IF(OR(AB394="",AC394=""),"",IF($F394="Maior Melhor",IF(AC394&gt;=AB394,"Sim","Não"),IF(AC394&lt;=AB394,"Sim","Não")))</f>
        <v>Não</v>
      </c>
      <c r="AF394" s="11" t="n">
        <v>363.64</v>
      </c>
      <c r="AG394" s="11" t="n">
        <v>582.59</v>
      </c>
      <c r="AH394" s="4" t="n">
        <f aca="false">IF(OR(AF394="",AG394=""),"",IFERROR(IF($K394="%",AG394-AF394,AG394/AF394-1),""))</f>
        <v>0.602106478935211</v>
      </c>
      <c r="AI394" s="5" t="str">
        <f aca="false">IF(OR(AF394="",AG394=""),"",IF($F394="Maior Melhor",IF(AG394&gt;=AF394,"Sim","Não"),IF(AG394&lt;=AF394,"Sim","Não")))</f>
        <v>Não</v>
      </c>
      <c r="AJ394" s="11" t="n">
        <v>654</v>
      </c>
      <c r="AK394" s="11" t="n">
        <v>833.93</v>
      </c>
      <c r="AL394" s="4" t="n">
        <f aca="false">IF(OR(AJ394="",AK394=""),"",IFERROR(IF($K394="%",AK394-AJ394,AK394/AJ394-1),""))</f>
        <v>0.275122324159021</v>
      </c>
      <c r="AM394" s="5" t="str">
        <f aca="false">IF(OR(AJ394="",AK394=""),"",IF($F394="Maior Melhor",IF(AK394&gt;=AJ394,"Sim","Não"),IF(AK394&lt;=AJ394,"Sim","Não")))</f>
        <v>Não</v>
      </c>
      <c r="AN394" s="11" t="n">
        <v>374.7</v>
      </c>
      <c r="AO394" s="11" t="n">
        <v>459.88</v>
      </c>
      <c r="AP394" s="4" t="n">
        <f aca="false">IF(OR(AN394="",AO394=""),"",IFERROR(IF($K394="%",AO394-AN394,AO394/AN394-1),""))</f>
        <v>0.227328529490259</v>
      </c>
      <c r="AQ394" s="5" t="str">
        <f aca="false">IF(OR(AN394="",AO394=""),"",IF($F394="Maior Melhor",IF(AO394&gt;=AN394,"Sim","Não"),IF(AO394&lt;=AN394,"Sim","Não")))</f>
        <v>Não</v>
      </c>
      <c r="AR394" s="11" t="n">
        <v>609.57</v>
      </c>
      <c r="AS394" s="11" t="n">
        <v>781.4</v>
      </c>
      <c r="AT394" s="4" t="n">
        <f aca="false">IF(OR(AR394="",AS394=""),"",IFERROR(IF($K394="%",AS394-AR394,AS394/AR394-1),""))</f>
        <v>0.281887231983201</v>
      </c>
      <c r="AU394" s="5" t="str">
        <f aca="false">IF(OR(AR394="",AS394=""),"",IF($F394="Maior Melhor",IF(AS394&gt;=AR394,"Sim","Não"),IF(AS394&lt;=AR394,"Sim","Não")))</f>
        <v>Não</v>
      </c>
      <c r="AV394" s="11" t="n">
        <v>358.97</v>
      </c>
      <c r="AW394" s="11" t="n">
        <v>396.68</v>
      </c>
      <c r="AX394" s="4" t="n">
        <f aca="false">IF(OR(AV394="",AW394=""),"",IFERROR(IF($K394="%",AW394-AV394,AW394/AV394-1),""))</f>
        <v>0.105050561328245</v>
      </c>
      <c r="AY394" s="5" t="str">
        <f aca="false">IF(OR(AV394="",AW394=""),"",IF($F394="Maior Melhor",IF(AW394&gt;=AV394,"Sim","Não"),IF(AW394&lt;=AV394,"Sim","Não")))</f>
        <v>Não</v>
      </c>
      <c r="AZ394" s="11" t="n">
        <v>574.74</v>
      </c>
      <c r="BA394" s="11" t="n">
        <v>740.83</v>
      </c>
      <c r="BB394" s="4" t="n">
        <f aca="false">IF(OR(AZ394="",BA394=""),"",IFERROR(IF($K394="%",BA394-AZ394,BA394/AZ394-1),""))</f>
        <v>0.288982844416606</v>
      </c>
      <c r="BC394" s="5" t="str">
        <f aca="false">IF(OR(AZ394="",BA394=""),"",IF($F394="Maior Melhor",IF(BA394&gt;=AZ394,"Sim","Não"),IF(BA394&lt;=AZ394,"Sim","Não")))</f>
        <v>Não</v>
      </c>
      <c r="BD394" s="11" t="n">
        <v>655.92</v>
      </c>
      <c r="BE394" s="11" t="n">
        <v>655.92</v>
      </c>
      <c r="BF394" s="4" t="n">
        <f aca="false">IF(OR(BD394="",BE394=""),"",IFERROR(IF($K394="%",BE394-BD394,BE394/BD394-1),""))</f>
        <v>0</v>
      </c>
      <c r="BG394" s="5" t="str">
        <f aca="false">IF(OR(BD394="",BE394=""),"",IF($F394="Maior Melhor",IF(BE394&gt;=BD394,"Sim","Não"),IF(BE394&lt;=BD394,"Sim","Não")))</f>
        <v>Sim</v>
      </c>
      <c r="BH394" s="11" t="n">
        <v>732.85</v>
      </c>
      <c r="BI394" s="11" t="n">
        <v>731.93</v>
      </c>
      <c r="BJ394" s="4" t="n">
        <f aca="false">IF(OR(BH394="",BI394=""),"",IFERROR(IF($K394="%",BI394-BH394,BI394/BH394-1),""))</f>
        <v>-0.00125537285938471</v>
      </c>
      <c r="BK394" s="5" t="str">
        <f aca="false">IF(OR(BH394="",BI394=""),"",IF($F394="Maior Melhor",IF(BI394&gt;=BH394,"Sim","Não"),IF(BI394&lt;=BH394,"Sim","Não")))</f>
        <v>Sim</v>
      </c>
      <c r="BL394" s="12"/>
      <c r="BM394" s="12"/>
      <c r="BN394" s="4" t="str">
        <f aca="false">IF(OR(BL394="",BM394=""),"",IFERROR(IF($K394="%",BM394-BL394,BM394/BL394-1),""))</f>
        <v/>
      </c>
      <c r="BO394" s="5" t="str">
        <f aca="false">IF(OR(BL394="",BM394=""),"",IF($F394="Maior Melhor",IF(BM394&gt;=BL394,"Sim","Não"),IF(BM394&lt;=BL394,"Sim","Não")))</f>
        <v/>
      </c>
      <c r="BP394" s="12"/>
      <c r="BQ394" s="12"/>
      <c r="BR394" s="4" t="str">
        <f aca="false">IF(OR(BP394="",BQ394=""),"",IFERROR(IF($K394="%",BQ394-BP394,BQ394/BP394-1),""))</f>
        <v/>
      </c>
      <c r="BS394" s="5" t="str">
        <f aca="false">IF(OR(BP394="",BQ394=""),"",IF($F394="Maior Melhor",IF(BQ394&gt;=BP394,"Sim","Não"),IF(BQ394&lt;=BP394,"Sim","Não")))</f>
        <v/>
      </c>
      <c r="BT394" s="12"/>
      <c r="BU394" s="12"/>
      <c r="BV394" s="4" t="str">
        <f aca="false">IF(OR(BT394="",BU394=""),"",IFERROR(IF($K394="%",BU394-BT394,BU394/BT394-1),""))</f>
        <v/>
      </c>
      <c r="BW394" s="5" t="str">
        <f aca="false">IF(OR(BT394="",BU394=""),"",IF($F394="Maior Melhor",IF(BU394&gt;=BT394,"Sim","Não"),IF(BU394&lt;=BT394,"Sim","Não")))</f>
        <v/>
      </c>
      <c r="BX394" s="12"/>
      <c r="BY394" s="12"/>
      <c r="BZ394" s="4" t="str">
        <f aca="false">IF(OR(BX394="",BY394=""),"",IFERROR(IF($K394="%",BY394-BX394,BY394/BX394-1),""))</f>
        <v/>
      </c>
      <c r="CA394" s="5" t="str">
        <f aca="false">IF(OR(BX394="",BY394=""),"",IF($F394="Maior Melhor",IF(BY394&gt;=BX394,"Sim","Não"),IF(BY394&lt;=BX394,"Sim","Não")))</f>
        <v/>
      </c>
      <c r="CB394" s="12"/>
      <c r="CC394" s="12"/>
      <c r="CD394" s="4" t="str">
        <f aca="false">IF(OR(CB394="",CC394=""),"",IFERROR(IF($K394="%",CC394-CB394,CC394/CB394-1),""))</f>
        <v/>
      </c>
      <c r="CE394" s="5" t="str">
        <f aca="false">IF(OR(CB394="",CC394=""),"",IF($F394="Maior Melhor",IF(CC394&gt;=CB394,"Sim","Não"),IF(CC394&lt;=CB394,"Sim","Não")))</f>
        <v/>
      </c>
      <c r="CF394" s="12"/>
      <c r="CG394" s="12"/>
      <c r="CH394" s="4" t="str">
        <f aca="false">IF(OR(CF394="",CG394=""),"",IFERROR(IF($K394="%",CG394-CF394,CG394/CF394-1),""))</f>
        <v/>
      </c>
      <c r="CI394" s="5" t="str">
        <f aca="false">IF(OR(CF394="",CG394=""),"",IF($F394="Maior Melhor",IF(CG394&gt;=CF394,"Sim","Não"),IF(CG394&lt;=CF394,"Sim","Não")))</f>
        <v/>
      </c>
      <c r="CJ394" s="12"/>
      <c r="CK394" s="12"/>
      <c r="CL394" s="4" t="str">
        <f aca="false">IF(OR(CJ394="",CK394=""),"",IFERROR(IF($K394="%",CK394-CJ394,CK394/CJ394-1),""))</f>
        <v/>
      </c>
      <c r="CM394" s="5" t="str">
        <f aca="false">IF(OR(CJ394="",CK394=""),"",IF($F394="Maior Melhor",IF(CK394&gt;=CJ394,"Sim","Não"),IF(CK394&lt;=CJ394,"Sim","Não")))</f>
        <v/>
      </c>
      <c r="CN394" s="12"/>
      <c r="CO394" s="12"/>
      <c r="CP394" s="4" t="str">
        <f aca="false">IF(OR(CN394="",CO394=""),"",IFERROR(IF($K394="%",CO394-CN394,CO394/CN394-1),""))</f>
        <v/>
      </c>
      <c r="CQ394" s="5" t="str">
        <f aca="false">IF(OR(CN394="",CO394=""),"",IF($F394="Maior Melhor",IF(CO394&gt;=CN394,"Sim","Não"),IF(CO394&lt;=CN394,"Sim","Não")))</f>
        <v/>
      </c>
      <c r="CR394" s="2" t="s">
        <v>105</v>
      </c>
    </row>
    <row r="395" customFormat="false" ht="15" hidden="false" customHeight="false" outlineLevel="0" collapsed="false">
      <c r="A395" s="2" t="s">
        <v>96</v>
      </c>
      <c r="B395" s="2" t="s">
        <v>106</v>
      </c>
      <c r="C395" s="2" t="s">
        <v>128</v>
      </c>
      <c r="D395" s="2" t="s">
        <v>206</v>
      </c>
      <c r="E395" s="2" t="str">
        <f aca="false">C395&amp;D395</f>
        <v>UTD SANTA MARIA DA VITORIATMAE</v>
      </c>
      <c r="F395" s="2" t="s">
        <v>167</v>
      </c>
      <c r="G395" s="2" t="s">
        <v>207</v>
      </c>
      <c r="H395" s="2" t="s">
        <v>102</v>
      </c>
      <c r="I395" s="2" t="s">
        <v>169</v>
      </c>
      <c r="J395" s="2" t="n">
        <v>3</v>
      </c>
      <c r="K395" s="2" t="s">
        <v>191</v>
      </c>
      <c r="L395" s="11" t="n">
        <v>837.56</v>
      </c>
      <c r="M395" s="11" t="n">
        <v>1160.97</v>
      </c>
      <c r="N395" s="4" t="n">
        <f aca="false">IF(OR(L395="",M395=""),"",IFERROR(IF($K395="%",M395-L395,M395/L395-1),""))</f>
        <v>0.386133530732127</v>
      </c>
      <c r="O395" s="5" t="str">
        <f aca="false">IF(OR(L395="",M395=""),"",IF($F395="Maior Melhor",IF(M395&gt;=L395,"Sim","Não"),IF(M395&lt;=L395,"Sim","Não")))</f>
        <v>Não</v>
      </c>
      <c r="P395" s="11" t="n">
        <v>640.03</v>
      </c>
      <c r="Q395" s="11" t="n">
        <v>1310.16</v>
      </c>
      <c r="R395" s="4" t="n">
        <f aca="false">IF(OR(P395="",Q395=""),"",IFERROR(IF($K395="%",Q395-P395,Q395/P395-1),""))</f>
        <v>1.04702904551349</v>
      </c>
      <c r="S395" s="5" t="str">
        <f aca="false">IF(OR(P395="",Q395=""),"",IF($F395="Maior Melhor",IF(Q395&gt;=P395,"Sim","Não"),IF(Q395&lt;=P395,"Sim","Não")))</f>
        <v>Não</v>
      </c>
      <c r="T395" s="11" t="n">
        <v>703.66</v>
      </c>
      <c r="U395" s="11" t="n">
        <v>1017.03</v>
      </c>
      <c r="V395" s="4" t="n">
        <f aca="false">IF(OR(T395="",U395=""),"",IFERROR(IF($K395="%",U395-T395,U395/T395-1),""))</f>
        <v>0.445342921297218</v>
      </c>
      <c r="W395" s="5" t="str">
        <f aca="false">IF(OR(T395="",U395=""),"",IF($F395="Maior Melhor",IF(U395&gt;=T395,"Sim","Não"),IF(U395&lt;=T395,"Sim","Não")))</f>
        <v>Não</v>
      </c>
      <c r="X395" s="11" t="n">
        <v>709.71</v>
      </c>
      <c r="Y395" s="11" t="n">
        <v>653.32</v>
      </c>
      <c r="Z395" s="4" t="n">
        <f aca="false">IF(OR(X395="",Y395=""),"",IFERROR(IF($K395="%",Y395-X395,Y395/X395-1),""))</f>
        <v>-0.0794549886573389</v>
      </c>
      <c r="AA395" s="5" t="str">
        <f aca="false">IF(OR(X395="",Y395=""),"",IF($F395="Maior Melhor",IF(Y395&gt;=X395,"Sim","Não"),IF(Y395&lt;=X395,"Sim","Não")))</f>
        <v>Sim</v>
      </c>
      <c r="AB395" s="11" t="n">
        <v>732.51</v>
      </c>
      <c r="AC395" s="11" t="n">
        <v>1054.43</v>
      </c>
      <c r="AD395" s="4" t="n">
        <f aca="false">IF(OR(AB395="",AC395=""),"",IFERROR(IF($K395="%",AC395-AB395,AC395/AB395-1),""))</f>
        <v>0.439475229007113</v>
      </c>
      <c r="AE395" s="5" t="str">
        <f aca="false">IF(OR(AB395="",AC395=""),"",IF($F395="Maior Melhor",IF(AC395&gt;=AB395,"Sim","Não"),IF(AC395&lt;=AB395,"Sim","Não")))</f>
        <v>Não</v>
      </c>
      <c r="AF395" s="11" t="n">
        <v>589.85</v>
      </c>
      <c r="AG395" s="11" t="n">
        <v>526.32</v>
      </c>
      <c r="AH395" s="4" t="n">
        <f aca="false">IF(OR(AF395="",AG395=""),"",IFERROR(IF($K395="%",AG395-AF395,AG395/AF395-1),""))</f>
        <v>-0.107705348817496</v>
      </c>
      <c r="AI395" s="5" t="str">
        <f aca="false">IF(OR(AF395="",AG395=""),"",IF($F395="Maior Melhor",IF(AG395&gt;=AF395,"Sim","Não"),IF(AG395&lt;=AF395,"Sim","Não")))</f>
        <v>Sim</v>
      </c>
      <c r="AJ395" s="11" t="n">
        <v>705.79</v>
      </c>
      <c r="AK395" s="11" t="n">
        <v>965.83</v>
      </c>
      <c r="AL395" s="4" t="n">
        <f aca="false">IF(OR(AJ395="",AK395=""),"",IFERROR(IF($K395="%",AK395-AJ395,AK395/AJ395-1),""))</f>
        <v>0.368438203998357</v>
      </c>
      <c r="AM395" s="5" t="str">
        <f aca="false">IF(OR(AJ395="",AK395=""),"",IF($F395="Maior Melhor",IF(AK395&gt;=AJ395,"Sim","Não"),IF(AK395&lt;=AJ395,"Sim","Não")))</f>
        <v>Não</v>
      </c>
      <c r="AN395" s="11" t="n">
        <v>484.37</v>
      </c>
      <c r="AO395" s="11" t="n">
        <v>448.88</v>
      </c>
      <c r="AP395" s="4" t="n">
        <f aca="false">IF(OR(AN395="",AO395=""),"",IFERROR(IF($K395="%",AO395-AN395,AO395/AN395-1),""))</f>
        <v>-0.0732704337593162</v>
      </c>
      <c r="AQ395" s="5" t="str">
        <f aca="false">IF(OR(AN395="",AO395=""),"",IF($F395="Maior Melhor",IF(AO395&gt;=AN395,"Sim","Não"),IF(AO395&lt;=AN395,"Sim","Não")))</f>
        <v>Sim</v>
      </c>
      <c r="AR395" s="11" t="n">
        <v>673.95</v>
      </c>
      <c r="AS395" s="11" t="n">
        <v>897.41</v>
      </c>
      <c r="AT395" s="4" t="n">
        <f aca="false">IF(OR(AR395="",AS395=""),"",IFERROR(IF($K395="%",AS395-AR395,AS395/AR395-1),""))</f>
        <v>0.331567623710958</v>
      </c>
      <c r="AU395" s="5" t="str">
        <f aca="false">IF(OR(AR395="",AS395=""),"",IF($F395="Maior Melhor",IF(AS395&gt;=AR395,"Sim","Não"),IF(AS395&lt;=AR395,"Sim","Não")))</f>
        <v>Não</v>
      </c>
      <c r="AV395" s="11" t="n">
        <v>512.89</v>
      </c>
      <c r="AW395" s="11" t="n">
        <v>477.63</v>
      </c>
      <c r="AX395" s="4" t="n">
        <f aca="false">IF(OR(AV395="",AW395=""),"",IFERROR(IF($K395="%",AW395-AV395,AW395/AV395-1),""))</f>
        <v>-0.0687476846887246</v>
      </c>
      <c r="AY395" s="5" t="str">
        <f aca="false">IF(OR(AV395="",AW395=""),"",IF($F395="Maior Melhor",IF(AW395&gt;=AV395,"Sim","Não"),IF(AW395&lt;=AV395,"Sim","Não")))</f>
        <v>Sim</v>
      </c>
      <c r="AZ395" s="11" t="n">
        <v>653.59</v>
      </c>
      <c r="BA395" s="11" t="n">
        <v>844.89</v>
      </c>
      <c r="BB395" s="4" t="n">
        <f aca="false">IF(OR(AZ395="",BA395=""),"",IFERROR(IF($K395="%",BA395-AZ395,BA395/AZ395-1),""))</f>
        <v>0.292691136645297</v>
      </c>
      <c r="BC395" s="5" t="str">
        <f aca="false">IF(OR(AZ395="",BA395=""),"",IF($F395="Maior Melhor",IF(BA395&gt;=AZ395,"Sim","Não"),IF(BA395&lt;=AZ395,"Sim","Não")))</f>
        <v>Não</v>
      </c>
      <c r="BD395" s="11" t="n">
        <v>571.87</v>
      </c>
      <c r="BE395" s="11" t="n">
        <v>571.87</v>
      </c>
      <c r="BF395" s="4" t="n">
        <f aca="false">IF(OR(BD395="",BE395=""),"",IFERROR(IF($K395="%",BE395-BD395,BE395/BD395-1),""))</f>
        <v>0</v>
      </c>
      <c r="BG395" s="5" t="str">
        <f aca="false">IF(OR(BD395="",BE395=""),"",IF($F395="Maior Melhor",IF(BE395&gt;=BD395,"Sim","Não"),IF(BE395&lt;=BD395,"Sim","Não")))</f>
        <v>Sim</v>
      </c>
      <c r="BH395" s="11" t="n">
        <v>813.44</v>
      </c>
      <c r="BI395" s="11" t="n">
        <v>812.71</v>
      </c>
      <c r="BJ395" s="4" t="n">
        <f aca="false">IF(OR(BH395="",BI395=""),"",IFERROR(IF($K395="%",BI395-BH395,BI395/BH395-1),""))</f>
        <v>-0.000897423288749089</v>
      </c>
      <c r="BK395" s="5" t="str">
        <f aca="false">IF(OR(BH395="",BI395=""),"",IF($F395="Maior Melhor",IF(BI395&gt;=BH395,"Sim","Não"),IF(BI395&lt;=BH395,"Sim","Não")))</f>
        <v>Sim</v>
      </c>
      <c r="BL395" s="12"/>
      <c r="BM395" s="12"/>
      <c r="BN395" s="4" t="str">
        <f aca="false">IF(OR(BL395="",BM395=""),"",IFERROR(IF($K395="%",BM395-BL395,BM395/BL395-1),""))</f>
        <v/>
      </c>
      <c r="BO395" s="5" t="str">
        <f aca="false">IF(OR(BL395="",BM395=""),"",IF($F395="Maior Melhor",IF(BM395&gt;=BL395,"Sim","Não"),IF(BM395&lt;=BL395,"Sim","Não")))</f>
        <v/>
      </c>
      <c r="BP395" s="12"/>
      <c r="BQ395" s="12"/>
      <c r="BR395" s="4" t="str">
        <f aca="false">IF(OR(BP395="",BQ395=""),"",IFERROR(IF($K395="%",BQ395-BP395,BQ395/BP395-1),""))</f>
        <v/>
      </c>
      <c r="BS395" s="5" t="str">
        <f aca="false">IF(OR(BP395="",BQ395=""),"",IF($F395="Maior Melhor",IF(BQ395&gt;=BP395,"Sim","Não"),IF(BQ395&lt;=BP395,"Sim","Não")))</f>
        <v/>
      </c>
      <c r="BT395" s="12"/>
      <c r="BU395" s="12"/>
      <c r="BV395" s="4" t="str">
        <f aca="false">IF(OR(BT395="",BU395=""),"",IFERROR(IF($K395="%",BU395-BT395,BU395/BT395-1),""))</f>
        <v/>
      </c>
      <c r="BW395" s="5" t="str">
        <f aca="false">IF(OR(BT395="",BU395=""),"",IF($F395="Maior Melhor",IF(BU395&gt;=BT395,"Sim","Não"),IF(BU395&lt;=BT395,"Sim","Não")))</f>
        <v/>
      </c>
      <c r="BX395" s="12"/>
      <c r="BY395" s="12"/>
      <c r="BZ395" s="4" t="str">
        <f aca="false">IF(OR(BX395="",BY395=""),"",IFERROR(IF($K395="%",BY395-BX395,BY395/BX395-1),""))</f>
        <v/>
      </c>
      <c r="CA395" s="5" t="str">
        <f aca="false">IF(OR(BX395="",BY395=""),"",IF($F395="Maior Melhor",IF(BY395&gt;=BX395,"Sim","Não"),IF(BY395&lt;=BX395,"Sim","Não")))</f>
        <v/>
      </c>
      <c r="CB395" s="12"/>
      <c r="CC395" s="12"/>
      <c r="CD395" s="4" t="str">
        <f aca="false">IF(OR(CB395="",CC395=""),"",IFERROR(IF($K395="%",CC395-CB395,CC395/CB395-1),""))</f>
        <v/>
      </c>
      <c r="CE395" s="5" t="str">
        <f aca="false">IF(OR(CB395="",CC395=""),"",IF($F395="Maior Melhor",IF(CC395&gt;=CB395,"Sim","Não"),IF(CC395&lt;=CB395,"Sim","Não")))</f>
        <v/>
      </c>
      <c r="CF395" s="12"/>
      <c r="CG395" s="12"/>
      <c r="CH395" s="4" t="str">
        <f aca="false">IF(OR(CF395="",CG395=""),"",IFERROR(IF($K395="%",CG395-CF395,CG395/CF395-1),""))</f>
        <v/>
      </c>
      <c r="CI395" s="5" t="str">
        <f aca="false">IF(OR(CF395="",CG395=""),"",IF($F395="Maior Melhor",IF(CG395&gt;=CF395,"Sim","Não"),IF(CG395&lt;=CF395,"Sim","Não")))</f>
        <v/>
      </c>
      <c r="CJ395" s="12"/>
      <c r="CK395" s="12"/>
      <c r="CL395" s="4" t="str">
        <f aca="false">IF(OR(CJ395="",CK395=""),"",IFERROR(IF($K395="%",CK395-CJ395,CK395/CJ395-1),""))</f>
        <v/>
      </c>
      <c r="CM395" s="5" t="str">
        <f aca="false">IF(OR(CJ395="",CK395=""),"",IF($F395="Maior Melhor",IF(CK395&gt;=CJ395,"Sim","Não"),IF(CK395&lt;=CJ395,"Sim","Não")))</f>
        <v/>
      </c>
      <c r="CN395" s="12"/>
      <c r="CO395" s="12"/>
      <c r="CP395" s="4" t="str">
        <f aca="false">IF(OR(CN395="",CO395=""),"",IFERROR(IF($K395="%",CO395-CN395,CO395/CN395-1),""))</f>
        <v/>
      </c>
      <c r="CQ395" s="5" t="str">
        <f aca="false">IF(OR(CN395="",CO395=""),"",IF($F395="Maior Melhor",IF(CO395&gt;=CN395,"Sim","Não"),IF(CO395&lt;=CN395,"Sim","Não")))</f>
        <v/>
      </c>
      <c r="CR395" s="2" t="s">
        <v>143</v>
      </c>
    </row>
    <row r="396" customFormat="false" ht="15" hidden="false" customHeight="false" outlineLevel="0" collapsed="false">
      <c r="A396" s="2" t="s">
        <v>96</v>
      </c>
      <c r="B396" s="2" t="s">
        <v>97</v>
      </c>
      <c r="C396" s="2" t="s">
        <v>130</v>
      </c>
      <c r="D396" s="2" t="s">
        <v>206</v>
      </c>
      <c r="E396" s="2" t="str">
        <f aca="false">C396&amp;D396</f>
        <v>UTD SEABRATMAE</v>
      </c>
      <c r="F396" s="2" t="s">
        <v>167</v>
      </c>
      <c r="G396" s="2" t="s">
        <v>207</v>
      </c>
      <c r="H396" s="2" t="s">
        <v>102</v>
      </c>
      <c r="I396" s="2" t="s">
        <v>169</v>
      </c>
      <c r="J396" s="2" t="n">
        <v>3</v>
      </c>
      <c r="K396" s="2" t="s">
        <v>191</v>
      </c>
      <c r="L396" s="11" t="n">
        <v>463.3</v>
      </c>
      <c r="M396" s="11" t="n">
        <v>689.82</v>
      </c>
      <c r="N396" s="4" t="n">
        <f aca="false">IF(OR(L396="",M396=""),"",IFERROR(IF($K396="%",M396-L396,M396/L396-1),""))</f>
        <v>0.488927260954026</v>
      </c>
      <c r="O396" s="5" t="str">
        <f aca="false">IF(OR(L396="",M396=""),"",IF($F396="Maior Melhor",IF(M396&gt;=L396,"Sim","Não"),IF(M396&lt;=L396,"Sim","Não")))</f>
        <v>Não</v>
      </c>
      <c r="P396" s="11" t="n">
        <v>436.79</v>
      </c>
      <c r="Q396" s="11" t="n">
        <v>754.87</v>
      </c>
      <c r="R396" s="4" t="n">
        <f aca="false">IF(OR(P396="",Q396=""),"",IFERROR(IF($K396="%",Q396-P396,Q396/P396-1),""))</f>
        <v>0.728221799949633</v>
      </c>
      <c r="S396" s="5" t="str">
        <f aca="false">IF(OR(P396="",Q396=""),"",IF($F396="Maior Melhor",IF(Q396&gt;=P396,"Sim","Não"),IF(Q396&lt;=P396,"Sim","Não")))</f>
        <v>Não</v>
      </c>
      <c r="T396" s="11" t="n">
        <v>379.62</v>
      </c>
      <c r="U396" s="11" t="n">
        <v>954.83</v>
      </c>
      <c r="V396" s="4" t="n">
        <f aca="false">IF(OR(T396="",U396=""),"",IFERROR(IF($K396="%",U396-T396,U396/T396-1),""))</f>
        <v>1.51522575206786</v>
      </c>
      <c r="W396" s="5" t="str">
        <f aca="false">IF(OR(T396="",U396=""),"",IF($F396="Maior Melhor",IF(U396&gt;=T396,"Sim","Não"),IF(U396&lt;=T396,"Sim","Não")))</f>
        <v>Não</v>
      </c>
      <c r="X396" s="11" t="n">
        <v>400.55</v>
      </c>
      <c r="Y396" s="11" t="n">
        <v>516.7</v>
      </c>
      <c r="Z396" s="4" t="n">
        <f aca="false">IF(OR(X396="",Y396=""),"",IFERROR(IF($K396="%",Y396-X396,Y396/X396-1),""))</f>
        <v>0.289976282611409</v>
      </c>
      <c r="AA396" s="5" t="str">
        <f aca="false">IF(OR(X396="",Y396=""),"",IF($F396="Maior Melhor",IF(Y396&gt;=X396,"Sim","Não"),IF(Y396&lt;=X396,"Sim","Não")))</f>
        <v>Não</v>
      </c>
      <c r="AB396" s="11" t="n">
        <v>424.6</v>
      </c>
      <c r="AC396" s="11" t="n">
        <v>748.81</v>
      </c>
      <c r="AD396" s="4" t="n">
        <f aca="false">IF(OR(AB396="",AC396=""),"",IFERROR(IF($K396="%",AC396-AB396,AC396/AB396-1),""))</f>
        <v>0.763565708902496</v>
      </c>
      <c r="AE396" s="5" t="str">
        <f aca="false">IF(OR(AB396="",AC396=""),"",IF($F396="Maior Melhor",IF(AC396&gt;=AB396,"Sim","Não"),IF(AC396&lt;=AB396,"Sim","Não")))</f>
        <v>Não</v>
      </c>
      <c r="AF396" s="11" t="n">
        <v>407.81</v>
      </c>
      <c r="AG396" s="11" t="n">
        <v>422.56</v>
      </c>
      <c r="AH396" s="4" t="n">
        <f aca="false">IF(OR(AF396="",AG396=""),"",IFERROR(IF($K396="%",AG396-AF396,AG396/AF396-1),""))</f>
        <v>0.0361688040999486</v>
      </c>
      <c r="AI396" s="5" t="str">
        <f aca="false">IF(OR(AF396="",AG396=""),"",IF($F396="Maior Melhor",IF(AG396&gt;=AF396,"Sim","Não"),IF(AG396&lt;=AF396,"Sim","Não")))</f>
        <v>Não</v>
      </c>
      <c r="AJ396" s="11" t="n">
        <v>421.64</v>
      </c>
      <c r="AK396" s="11" t="n">
        <v>693.37</v>
      </c>
      <c r="AL396" s="4" t="n">
        <f aca="false">IF(OR(AJ396="",AK396=""),"",IFERROR(IF($K396="%",AK396-AJ396,AK396/AJ396-1),""))</f>
        <v>0.644459728678494</v>
      </c>
      <c r="AM396" s="5" t="str">
        <f aca="false">IF(OR(AJ396="",AK396=""),"",IF($F396="Maior Melhor",IF(AK396&gt;=AJ396,"Sim","Não"),IF(AK396&lt;=AJ396,"Sim","Não")))</f>
        <v>Não</v>
      </c>
      <c r="AN396" s="11" t="n">
        <v>362.75</v>
      </c>
      <c r="AO396" s="11" t="n">
        <v>471.08</v>
      </c>
      <c r="AP396" s="4" t="n">
        <f aca="false">IF(OR(AN396="",AO396=""),"",IFERROR(IF($K396="%",AO396-AN396,AO396/AN396-1),""))</f>
        <v>0.298635423845624</v>
      </c>
      <c r="AQ396" s="5" t="str">
        <f aca="false">IF(OR(AN396="",AO396=""),"",IF($F396="Maior Melhor",IF(AO396&gt;=AN396,"Sim","Não"),IF(AO396&lt;=AN396,"Sim","Não")))</f>
        <v>Não</v>
      </c>
      <c r="AR396" s="11" t="n">
        <v>412.77</v>
      </c>
      <c r="AS396" s="11" t="n">
        <v>660.78</v>
      </c>
      <c r="AT396" s="4" t="n">
        <f aca="false">IF(OR(AR396="",AS396=""),"",IFERROR(IF($K396="%",AS396-AR396,AS396/AR396-1),""))</f>
        <v>0.600843084526492</v>
      </c>
      <c r="AU396" s="5" t="str">
        <f aca="false">IF(OR(AR396="",AS396=""),"",IF($F396="Maior Melhor",IF(AS396&gt;=AR396,"Sim","Não"),IF(AS396&lt;=AR396,"Sim","Não")))</f>
        <v>Não</v>
      </c>
      <c r="AV396" s="11" t="n">
        <v>349.31</v>
      </c>
      <c r="AW396" s="11" t="n">
        <v>465.99</v>
      </c>
      <c r="AX396" s="4" t="n">
        <f aca="false">IF(OR(AV396="",AW396=""),"",IFERROR(IF($K396="%",AW396-AV396,AW396/AV396-1),""))</f>
        <v>0.334029944748218</v>
      </c>
      <c r="AY396" s="5" t="str">
        <f aca="false">IF(OR(AV396="",AW396=""),"",IF($F396="Maior Melhor",IF(AW396&gt;=AV396,"Sim","Não"),IF(AW396&lt;=AV396,"Sim","Não")))</f>
        <v>Não</v>
      </c>
      <c r="AZ396" s="11" t="n">
        <v>404.94</v>
      </c>
      <c r="BA396" s="11" t="n">
        <v>635.96</v>
      </c>
      <c r="BB396" s="4" t="n">
        <f aca="false">IF(OR(AZ396="",BA396=""),"",IFERROR(IF($K396="%",BA396-AZ396,BA396/AZ396-1),""))</f>
        <v>0.570504272237863</v>
      </c>
      <c r="BC396" s="5" t="str">
        <f aca="false">IF(OR(AZ396="",BA396=""),"",IF($F396="Maior Melhor",IF(BA396&gt;=AZ396,"Sim","Não"),IF(BA396&lt;=AZ396,"Sim","Não")))</f>
        <v>Não</v>
      </c>
      <c r="BD396" s="11" t="n">
        <v>425.62</v>
      </c>
      <c r="BE396" s="11" t="n">
        <v>425.62</v>
      </c>
      <c r="BF396" s="4" t="n">
        <f aca="false">IF(OR(BD396="",BE396=""),"",IFERROR(IF($K396="%",BE396-BD396,BE396/BD396-1),""))</f>
        <v>0</v>
      </c>
      <c r="BG396" s="5" t="str">
        <f aca="false">IF(OR(BD396="",BE396=""),"",IF($F396="Maior Melhor",IF(BE396&gt;=BD396,"Sim","Não"),IF(BE396&lt;=BD396,"Sim","Não")))</f>
        <v>Sim</v>
      </c>
      <c r="BH396" s="11" t="n">
        <v>615.42</v>
      </c>
      <c r="BI396" s="11" t="n">
        <v>614.34</v>
      </c>
      <c r="BJ396" s="4" t="n">
        <f aca="false">IF(OR(BH396="",BI396=""),"",IFERROR(IF($K396="%",BI396-BH396,BI396/BH396-1),""))</f>
        <v>-0.00175489909330206</v>
      </c>
      <c r="BK396" s="5" t="str">
        <f aca="false">IF(OR(BH396="",BI396=""),"",IF($F396="Maior Melhor",IF(BI396&gt;=BH396,"Sim","Não"),IF(BI396&lt;=BH396,"Sim","Não")))</f>
        <v>Sim</v>
      </c>
      <c r="BL396" s="12"/>
      <c r="BM396" s="12"/>
      <c r="BN396" s="4" t="str">
        <f aca="false">IF(OR(BL396="",BM396=""),"",IFERROR(IF($K396="%",BM396-BL396,BM396/BL396-1),""))</f>
        <v/>
      </c>
      <c r="BO396" s="5" t="str">
        <f aca="false">IF(OR(BL396="",BM396=""),"",IF($F396="Maior Melhor",IF(BM396&gt;=BL396,"Sim","Não"),IF(BM396&lt;=BL396,"Sim","Não")))</f>
        <v/>
      </c>
      <c r="BP396" s="12"/>
      <c r="BQ396" s="12"/>
      <c r="BR396" s="4" t="str">
        <f aca="false">IF(OR(BP396="",BQ396=""),"",IFERROR(IF($K396="%",BQ396-BP396,BQ396/BP396-1),""))</f>
        <v/>
      </c>
      <c r="BS396" s="5" t="str">
        <f aca="false">IF(OR(BP396="",BQ396=""),"",IF($F396="Maior Melhor",IF(BQ396&gt;=BP396,"Sim","Não"),IF(BQ396&lt;=BP396,"Sim","Não")))</f>
        <v/>
      </c>
      <c r="BT396" s="12"/>
      <c r="BU396" s="12"/>
      <c r="BV396" s="4" t="str">
        <f aca="false">IF(OR(BT396="",BU396=""),"",IFERROR(IF($K396="%",BU396-BT396,BU396/BT396-1),""))</f>
        <v/>
      </c>
      <c r="BW396" s="5" t="str">
        <f aca="false">IF(OR(BT396="",BU396=""),"",IF($F396="Maior Melhor",IF(BU396&gt;=BT396,"Sim","Não"),IF(BU396&lt;=BT396,"Sim","Não")))</f>
        <v/>
      </c>
      <c r="BX396" s="12"/>
      <c r="BY396" s="12"/>
      <c r="BZ396" s="4" t="str">
        <f aca="false">IF(OR(BX396="",BY396=""),"",IFERROR(IF($K396="%",BY396-BX396,BY396/BX396-1),""))</f>
        <v/>
      </c>
      <c r="CA396" s="5" t="str">
        <f aca="false">IF(OR(BX396="",BY396=""),"",IF($F396="Maior Melhor",IF(BY396&gt;=BX396,"Sim","Não"),IF(BY396&lt;=BX396,"Sim","Não")))</f>
        <v/>
      </c>
      <c r="CB396" s="12"/>
      <c r="CC396" s="12"/>
      <c r="CD396" s="4" t="str">
        <f aca="false">IF(OR(CB396="",CC396=""),"",IFERROR(IF($K396="%",CC396-CB396,CC396/CB396-1),""))</f>
        <v/>
      </c>
      <c r="CE396" s="5" t="str">
        <f aca="false">IF(OR(CB396="",CC396=""),"",IF($F396="Maior Melhor",IF(CC396&gt;=CB396,"Sim","Não"),IF(CC396&lt;=CB396,"Sim","Não")))</f>
        <v/>
      </c>
      <c r="CF396" s="12"/>
      <c r="CG396" s="12"/>
      <c r="CH396" s="4" t="str">
        <f aca="false">IF(OR(CF396="",CG396=""),"",IFERROR(IF($K396="%",CG396-CF396,CG396/CF396-1),""))</f>
        <v/>
      </c>
      <c r="CI396" s="5" t="str">
        <f aca="false">IF(OR(CF396="",CG396=""),"",IF($F396="Maior Melhor",IF(CG396&gt;=CF396,"Sim","Não"),IF(CG396&lt;=CF396,"Sim","Não")))</f>
        <v/>
      </c>
      <c r="CJ396" s="12"/>
      <c r="CK396" s="12"/>
      <c r="CL396" s="4" t="str">
        <f aca="false">IF(OR(CJ396="",CK396=""),"",IFERROR(IF($K396="%",CK396-CJ396,CK396/CJ396-1),""))</f>
        <v/>
      </c>
      <c r="CM396" s="5" t="str">
        <f aca="false">IF(OR(CJ396="",CK396=""),"",IF($F396="Maior Melhor",IF(CK396&gt;=CJ396,"Sim","Não"),IF(CK396&lt;=CJ396,"Sim","Não")))</f>
        <v/>
      </c>
      <c r="CN396" s="12"/>
      <c r="CO396" s="12"/>
      <c r="CP396" s="4" t="str">
        <f aca="false">IF(OR(CN396="",CO396=""),"",IFERROR(IF($K396="%",CO396-CN396,CO396/CN396-1),""))</f>
        <v/>
      </c>
      <c r="CQ396" s="5" t="str">
        <f aca="false">IF(OR(CN396="",CO396=""),"",IF($F396="Maior Melhor",IF(CO396&gt;=CN396,"Sim","Não"),IF(CO396&lt;=CN396,"Sim","Não")))</f>
        <v/>
      </c>
      <c r="CR396" s="2" t="s">
        <v>105</v>
      </c>
    </row>
    <row r="397" customFormat="false" ht="15" hidden="false" customHeight="false" outlineLevel="0" collapsed="false">
      <c r="A397" s="2" t="s">
        <v>96</v>
      </c>
      <c r="B397" s="2" t="s">
        <v>108</v>
      </c>
      <c r="C397" s="2" t="s">
        <v>131</v>
      </c>
      <c r="D397" s="2" t="s">
        <v>206</v>
      </c>
      <c r="E397" s="2" t="str">
        <f aca="false">C397&amp;D397</f>
        <v>UTD VITORIA DA CONQUISTATMAE</v>
      </c>
      <c r="F397" s="2" t="s">
        <v>167</v>
      </c>
      <c r="G397" s="2" t="s">
        <v>207</v>
      </c>
      <c r="H397" s="2" t="s">
        <v>102</v>
      </c>
      <c r="I397" s="2" t="s">
        <v>169</v>
      </c>
      <c r="J397" s="2" t="n">
        <v>3</v>
      </c>
      <c r="K397" s="2" t="s">
        <v>191</v>
      </c>
      <c r="L397" s="11" t="n">
        <v>801.96</v>
      </c>
      <c r="M397" s="11" t="n">
        <v>781.4</v>
      </c>
      <c r="N397" s="4" t="n">
        <f aca="false">IF(OR(L397="",M397=""),"",IFERROR(IF($K397="%",M397-L397,M397/L397-1),""))</f>
        <v>-0.0256371888872263</v>
      </c>
      <c r="O397" s="5" t="str">
        <f aca="false">IF(OR(L397="",M397=""),"",IF($F397="Maior Melhor",IF(M397&gt;=L397,"Sim","Não"),IF(M397&lt;=L397,"Sim","Não")))</f>
        <v>Sim</v>
      </c>
      <c r="P397" s="11" t="n">
        <v>577.89</v>
      </c>
      <c r="Q397" s="11" t="n">
        <v>851.28</v>
      </c>
      <c r="R397" s="4" t="n">
        <f aca="false">IF(OR(P397="",Q397=""),"",IFERROR(IF($K397="%",Q397-P397,Q397/P397-1),""))</f>
        <v>0.47308311270311</v>
      </c>
      <c r="S397" s="5" t="str">
        <f aca="false">IF(OR(P397="",Q397=""),"",IF($F397="Maior Melhor",IF(Q397&gt;=P397,"Sim","Não"),IF(Q397&lt;=P397,"Sim","Não")))</f>
        <v>Não</v>
      </c>
      <c r="T397" s="11" t="n">
        <v>497.37</v>
      </c>
      <c r="U397" s="11" t="n">
        <v>883.84</v>
      </c>
      <c r="V397" s="4" t="n">
        <f aca="false">IF(OR(T397="",U397=""),"",IFERROR(IF($K397="%",U397-T397,U397/T397-1),""))</f>
        <v>0.777027162876732</v>
      </c>
      <c r="W397" s="5" t="str">
        <f aca="false">IF(OR(T397="",U397=""),"",IF($F397="Maior Melhor",IF(U397&gt;=T397,"Sim","Não"),IF(U397&lt;=T397,"Sim","Não")))</f>
        <v>Não</v>
      </c>
      <c r="X397" s="11" t="n">
        <v>589.86</v>
      </c>
      <c r="Y397" s="11" t="n">
        <v>512.83</v>
      </c>
      <c r="Z397" s="4" t="n">
        <f aca="false">IF(OR(X397="",Y397=""),"",IFERROR(IF($K397="%",Y397-X397,Y397/X397-1),""))</f>
        <v>-0.130590309564982</v>
      </c>
      <c r="AA397" s="5" t="str">
        <f aca="false">IF(OR(X397="",Y397=""),"",IF($F397="Maior Melhor",IF(Y397&gt;=X397,"Sim","Não"),IF(Y397&lt;=X397,"Sim","Não")))</f>
        <v>Sim</v>
      </c>
      <c r="AB397" s="11" t="n">
        <v>624.32</v>
      </c>
      <c r="AC397" s="11" t="n">
        <v>773.88</v>
      </c>
      <c r="AD397" s="4" t="n">
        <f aca="false">IF(OR(AB397="",AC397=""),"",IFERROR(IF($K397="%",AC397-AB397,AC397/AB397-1),""))</f>
        <v>0.239556637621732</v>
      </c>
      <c r="AE397" s="5" t="str">
        <f aca="false">IF(OR(AB397="",AC397=""),"",IF($F397="Maior Melhor",IF(AC397&gt;=AB397,"Sim","Não"),IF(AC397&lt;=AB397,"Sim","Não")))</f>
        <v>Não</v>
      </c>
      <c r="AF397" s="11" t="n">
        <v>597.69</v>
      </c>
      <c r="AG397" s="11" t="n">
        <v>544.42</v>
      </c>
      <c r="AH397" s="4" t="n">
        <f aca="false">IF(OR(AF397="",AG397=""),"",IFERROR(IF($K397="%",AG397-AF397,AG397/AF397-1),""))</f>
        <v>-0.089126470243772</v>
      </c>
      <c r="AI397" s="5" t="str">
        <f aca="false">IF(OR(AF397="",AG397=""),"",IF($F397="Maior Melhor",IF(AG397&gt;=AF397,"Sim","Não"),IF(AG397&lt;=AF397,"Sim","Não")))</f>
        <v>Sim</v>
      </c>
      <c r="AJ397" s="11" t="n">
        <v>619.83</v>
      </c>
      <c r="AK397" s="11" t="n">
        <v>732.21</v>
      </c>
      <c r="AL397" s="4" t="n">
        <f aca="false">IF(OR(AJ397="",AK397=""),"",IFERROR(IF($K397="%",AK397-AJ397,AK397/AJ397-1),""))</f>
        <v>0.181307777939112</v>
      </c>
      <c r="AM397" s="5" t="str">
        <f aca="false">IF(OR(AJ397="",AK397=""),"",IF($F397="Maior Melhor",IF(AK397&gt;=AJ397,"Sim","Não"),IF(AK397&lt;=AJ397,"Sim","Não")))</f>
        <v>Não</v>
      </c>
      <c r="AN397" s="11" t="n">
        <v>651.19</v>
      </c>
      <c r="AO397" s="11" t="n">
        <v>487.24</v>
      </c>
      <c r="AP397" s="4" t="n">
        <f aca="false">IF(OR(AN397="",AO397=""),"",IFERROR(IF($K397="%",AO397-AN397,AO397/AN397-1),""))</f>
        <v>-0.251769836760393</v>
      </c>
      <c r="AQ397" s="5" t="str">
        <f aca="false">IF(OR(AN397="",AO397=""),"",IF($F397="Maior Melhor",IF(AO397&gt;=AN397,"Sim","Não"),IF(AO397&lt;=AN397,"Sim","Não")))</f>
        <v>Sim</v>
      </c>
      <c r="AR397" s="11" t="n">
        <v>623.88</v>
      </c>
      <c r="AS397" s="11" t="n">
        <v>696.05</v>
      </c>
      <c r="AT397" s="4" t="n">
        <f aca="false">IF(OR(AR397="",AS397=""),"",IFERROR(IF($K397="%",AS397-AR397,AS397/AR397-1),""))</f>
        <v>0.115679297300763</v>
      </c>
      <c r="AU397" s="5" t="str">
        <f aca="false">IF(OR(AR397="",AS397=""),"",IF($F397="Maior Melhor",IF(AS397&gt;=AR397,"Sim","Não"),IF(AS397&lt;=AR397,"Sim","Não")))</f>
        <v>Não</v>
      </c>
      <c r="AV397" s="11" t="n">
        <v>655.3</v>
      </c>
      <c r="AW397" s="11" t="n">
        <v>460.94</v>
      </c>
      <c r="AX397" s="4" t="n">
        <f aca="false">IF(OR(AV397="",AW397=""),"",IFERROR(IF($K397="%",AW397-AV397,AW397/AV397-1),""))</f>
        <v>-0.296596978483138</v>
      </c>
      <c r="AY397" s="5" t="str">
        <f aca="false">IF(OR(AV397="",AW397=""),"",IF($F397="Maior Melhor",IF(AW397&gt;=AV397,"Sim","Não"),IF(AW397&lt;=AV397,"Sim","Não")))</f>
        <v>Sim</v>
      </c>
      <c r="AZ397" s="11" t="n">
        <v>627.59</v>
      </c>
      <c r="BA397" s="11" t="n">
        <v>664.86</v>
      </c>
      <c r="BB397" s="4" t="n">
        <f aca="false">IF(OR(AZ397="",BA397=""),"",IFERROR(IF($K397="%",BA397-AZ397,BA397/AZ397-1),""))</f>
        <v>0.0593859048104655</v>
      </c>
      <c r="BC397" s="5" t="str">
        <f aca="false">IF(OR(AZ397="",BA397=""),"",IF($F397="Maior Melhor",IF(BA397&gt;=AZ397,"Sim","Não"),IF(BA397&lt;=AZ397,"Sim","Não")))</f>
        <v>Não</v>
      </c>
      <c r="BD397" s="11" t="n">
        <v>363.59</v>
      </c>
      <c r="BE397" s="11" t="n">
        <v>363.59</v>
      </c>
      <c r="BF397" s="4" t="n">
        <f aca="false">IF(OR(BD397="",BE397=""),"",IFERROR(IF($K397="%",BE397-BD397,BE397/BD397-1),""))</f>
        <v>0</v>
      </c>
      <c r="BG397" s="5" t="str">
        <f aca="false">IF(OR(BD397="",BE397=""),"",IF($F397="Maior Melhor",IF(BE397&gt;=BD397,"Sim","Não"),IF(BE397&lt;=BD397,"Sim","Não")))</f>
        <v>Sim</v>
      </c>
      <c r="BH397" s="11" t="n">
        <v>629.35</v>
      </c>
      <c r="BI397" s="11" t="n">
        <v>629.25</v>
      </c>
      <c r="BJ397" s="4" t="n">
        <f aca="false">IF(OR(BH397="",BI397=""),"",IFERROR(IF($K397="%",BI397-BH397,BI397/BH397-1),""))</f>
        <v>-0.000158894097084361</v>
      </c>
      <c r="BK397" s="5" t="str">
        <f aca="false">IF(OR(BH397="",BI397=""),"",IF($F397="Maior Melhor",IF(BI397&gt;=BH397,"Sim","Não"),IF(BI397&lt;=BH397,"Sim","Não")))</f>
        <v>Sim</v>
      </c>
      <c r="BL397" s="12"/>
      <c r="BM397" s="12"/>
      <c r="BN397" s="4" t="str">
        <f aca="false">IF(OR(BL397="",BM397=""),"",IFERROR(IF($K397="%",BM397-BL397,BM397/BL397-1),""))</f>
        <v/>
      </c>
      <c r="BO397" s="5" t="str">
        <f aca="false">IF(OR(BL397="",BM397=""),"",IF($F397="Maior Melhor",IF(BM397&gt;=BL397,"Sim","Não"),IF(BM397&lt;=BL397,"Sim","Não")))</f>
        <v/>
      </c>
      <c r="BP397" s="12"/>
      <c r="BQ397" s="12"/>
      <c r="BR397" s="4" t="str">
        <f aca="false">IF(OR(BP397="",BQ397=""),"",IFERROR(IF($K397="%",BQ397-BP397,BQ397/BP397-1),""))</f>
        <v/>
      </c>
      <c r="BS397" s="5" t="str">
        <f aca="false">IF(OR(BP397="",BQ397=""),"",IF($F397="Maior Melhor",IF(BQ397&gt;=BP397,"Sim","Não"),IF(BQ397&lt;=BP397,"Sim","Não")))</f>
        <v/>
      </c>
      <c r="BT397" s="12"/>
      <c r="BU397" s="12"/>
      <c r="BV397" s="4" t="str">
        <f aca="false">IF(OR(BT397="",BU397=""),"",IFERROR(IF($K397="%",BU397-BT397,BU397/BT397-1),""))</f>
        <v/>
      </c>
      <c r="BW397" s="5" t="str">
        <f aca="false">IF(OR(BT397="",BU397=""),"",IF($F397="Maior Melhor",IF(BU397&gt;=BT397,"Sim","Não"),IF(BU397&lt;=BT397,"Sim","Não")))</f>
        <v/>
      </c>
      <c r="BX397" s="12"/>
      <c r="BY397" s="12"/>
      <c r="BZ397" s="4" t="str">
        <f aca="false">IF(OR(BX397="",BY397=""),"",IFERROR(IF($K397="%",BY397-BX397,BY397/BX397-1),""))</f>
        <v/>
      </c>
      <c r="CA397" s="5" t="str">
        <f aca="false">IF(OR(BX397="",BY397=""),"",IF($F397="Maior Melhor",IF(BY397&gt;=BX397,"Sim","Não"),IF(BY397&lt;=BX397,"Sim","Não")))</f>
        <v/>
      </c>
      <c r="CB397" s="12"/>
      <c r="CC397" s="12"/>
      <c r="CD397" s="4" t="str">
        <f aca="false">IF(OR(CB397="",CC397=""),"",IFERROR(IF($K397="%",CC397-CB397,CC397/CB397-1),""))</f>
        <v/>
      </c>
      <c r="CE397" s="5" t="str">
        <f aca="false">IF(OR(CB397="",CC397=""),"",IF($F397="Maior Melhor",IF(CC397&gt;=CB397,"Sim","Não"),IF(CC397&lt;=CB397,"Sim","Não")))</f>
        <v/>
      </c>
      <c r="CF397" s="12"/>
      <c r="CG397" s="12"/>
      <c r="CH397" s="4" t="str">
        <f aca="false">IF(OR(CF397="",CG397=""),"",IFERROR(IF($K397="%",CG397-CF397,CG397/CF397-1),""))</f>
        <v/>
      </c>
      <c r="CI397" s="5" t="str">
        <f aca="false">IF(OR(CF397="",CG397=""),"",IF($F397="Maior Melhor",IF(CG397&gt;=CF397,"Sim","Não"),IF(CG397&lt;=CF397,"Sim","Não")))</f>
        <v/>
      </c>
      <c r="CJ397" s="12"/>
      <c r="CK397" s="12"/>
      <c r="CL397" s="4" t="str">
        <f aca="false">IF(OR(CJ397="",CK397=""),"",IFERROR(IF($K397="%",CK397-CJ397,CK397/CJ397-1),""))</f>
        <v/>
      </c>
      <c r="CM397" s="5" t="str">
        <f aca="false">IF(OR(CJ397="",CK397=""),"",IF($F397="Maior Melhor",IF(CK397&gt;=CJ397,"Sim","Não"),IF(CK397&lt;=CJ397,"Sim","Não")))</f>
        <v/>
      </c>
      <c r="CN397" s="12"/>
      <c r="CO397" s="12"/>
      <c r="CP397" s="4" t="str">
        <f aca="false">IF(OR(CN397="",CO397=""),"",IFERROR(IF($K397="%",CO397-CN397,CO397/CN397-1),""))</f>
        <v/>
      </c>
      <c r="CQ397" s="5" t="str">
        <f aca="false">IF(OR(CN397="",CO397=""),"",IF($F397="Maior Melhor",IF(CO397&gt;=CN397,"Sim","Não"),IF(CO397&lt;=CN397,"Sim","Não")))</f>
        <v/>
      </c>
      <c r="CR397" s="2" t="s">
        <v>105</v>
      </c>
    </row>
  </sheetData>
  <autoFilter ref="A1:CR39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15" t="s">
        <v>208</v>
      </c>
    </row>
    <row r="2" customFormat="false" ht="15" hidden="false" customHeight="false" outlineLevel="0" collapsed="false">
      <c r="A2" s="16" t="s">
        <v>209</v>
      </c>
    </row>
    <row r="3" customFormat="false" ht="23.85" hidden="false" customHeight="false" outlineLevel="0" collapsed="false">
      <c r="A3" s="16" t="s">
        <v>210</v>
      </c>
    </row>
    <row r="4" customFormat="false" ht="15" hidden="false" customHeight="false" outlineLevel="0" collapsed="false">
      <c r="A4" s="16" t="s">
        <v>211</v>
      </c>
    </row>
    <row r="5" customFormat="false" ht="23.85" hidden="false" customHeight="false" outlineLevel="0" collapsed="false">
      <c r="A5" s="16" t="s">
        <v>212</v>
      </c>
    </row>
    <row r="6" customFormat="false" ht="15" hidden="false" customHeight="false" outlineLevel="0" collapsed="false">
      <c r="A6" s="16" t="s">
        <v>213</v>
      </c>
    </row>
    <row r="7" customFormat="false" ht="15" hidden="false" customHeight="false" outlineLevel="0" collapsed="false">
      <c r="A7" s="16" t="s">
        <v>214</v>
      </c>
    </row>
    <row r="8" customFormat="false" ht="15" hidden="false" customHeight="false" outlineLevel="0" collapsed="false">
      <c r="A8" s="16" t="s">
        <v>215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2026-10-14T22:31:44Z</dcterms:created>
  <dc:creator>openpyxl</dc:creator>
  <dc:description/>
  <dc:language>en-US</dc:language>
  <cp:lastModifiedBy/>
  <dcterms:modified xsi:type="dcterms:W3CDTF">2026-10-14T22:31:45Z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